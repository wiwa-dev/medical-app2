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70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c18" sheetId="1" r:id="rId4"/>
    <sheet state="visible" name="Feuille 3" sheetId="2" r:id="rId5"/>
    <sheet state="visible" name="Feuille 1" sheetId="3" r:id="rId6"/>
    <sheet state="visible" name="Jan19" sheetId="4" r:id="rId7"/>
    <sheet state="visible" name="Feuil2" sheetId="5" r:id="rId8"/>
    <sheet state="visible" name="fév19" sheetId="6" r:id="rId9"/>
    <sheet state="visible" name="mars19" sheetId="7" r:id="rId10"/>
    <sheet state="visible" name="avril19" sheetId="8" r:id="rId11"/>
    <sheet state="visible" name="mai19" sheetId="9" r:id="rId12"/>
    <sheet state="visible" name="juin19" sheetId="10" r:id="rId13"/>
    <sheet state="visible" name="Juil19" sheetId="11" r:id="rId14"/>
    <sheet state="visible" name="Août19" sheetId="12" r:id="rId15"/>
    <sheet state="visible" name="Sept19" sheetId="13" r:id="rId16"/>
    <sheet state="visible" name="Oct19" sheetId="14" r:id="rId17"/>
    <sheet state="visible" name="Nov19" sheetId="15" r:id="rId18"/>
    <sheet state="visible" name="Dec19" sheetId="16" r:id="rId19"/>
    <sheet state="visible" name="Année 2019" sheetId="17" r:id="rId20"/>
    <sheet state="visible" name="Feuil1" sheetId="18" r:id="rId21"/>
    <sheet state="visible" name="Janv.20" sheetId="19" r:id="rId22"/>
    <sheet state="visible" name="Fév.20" sheetId="20" r:id="rId23"/>
    <sheet state="visible" name="Mars20" sheetId="21" r:id="rId24"/>
    <sheet state="visible" name="AvrIL20" sheetId="22" r:id="rId25"/>
    <sheet state="visible" name="Mai20" sheetId="23" r:id="rId26"/>
    <sheet state="visible" name="Juin20" sheetId="24" r:id="rId27"/>
    <sheet state="visible" name="Juil20" sheetId="25" r:id="rId28"/>
    <sheet state="visible" name="Août20" sheetId="26" r:id="rId29"/>
    <sheet state="visible" name="Sep.20" sheetId="27" r:id="rId30"/>
    <sheet state="visible" name="Oct20" sheetId="28" r:id="rId31"/>
    <sheet state="visible" name="Nov20" sheetId="29" r:id="rId32"/>
    <sheet state="visible" name="Déc.20" sheetId="30" r:id="rId33"/>
    <sheet state="visible" name="Année 2020" sheetId="31" r:id="rId34"/>
    <sheet state="visible" name="Janv.21" sheetId="32" r:id="rId35"/>
    <sheet state="visible" name="Fév.21" sheetId="33" r:id="rId36"/>
    <sheet state="visible" name="Mars21" sheetId="34" r:id="rId37"/>
    <sheet state="visible" name="Avr21" sheetId="35" r:id="rId38"/>
    <sheet state="visible" name="Mai21" sheetId="36" r:id="rId39"/>
    <sheet state="visible" name="Juin21" sheetId="37" r:id="rId40"/>
    <sheet state="visible" name="Juil.21" sheetId="38" r:id="rId41"/>
    <sheet state="visible" name="Août21" sheetId="39" r:id="rId42"/>
    <sheet state="visible" name="Sep.21" sheetId="40" r:id="rId43"/>
    <sheet state="visible" name="Oct.21" sheetId="41" r:id="rId44"/>
    <sheet state="visible" name="Nov.21" sheetId="42" r:id="rId45"/>
    <sheet state="visible" name="Déc.21" sheetId="43" r:id="rId46"/>
    <sheet state="visible" name="Année 2021" sheetId="44" r:id="rId47"/>
    <sheet state="visible" name="Janv.22" sheetId="45" r:id="rId48"/>
    <sheet state="visible" name="Fév.22" sheetId="46" r:id="rId49"/>
    <sheet state="visible" name="Mars22" sheetId="47" r:id="rId50"/>
    <sheet state="visible" name="Avr.22" sheetId="48" r:id="rId51"/>
    <sheet state="visible" name="Mai22" sheetId="49" r:id="rId52"/>
    <sheet state="visible" name="Juin22" sheetId="50" r:id="rId53"/>
    <sheet state="visible" name="Juil.22" sheetId="51" r:id="rId54"/>
    <sheet state="visible" name="Aoû.22" sheetId="52" r:id="rId55"/>
    <sheet state="visible" name="Sep.22" sheetId="53" r:id="rId56"/>
    <sheet state="visible" name="Oct.22" sheetId="54" r:id="rId57"/>
    <sheet state="visible" name="Nov.22" sheetId="55" r:id="rId58"/>
    <sheet state="visible" name="Déc." sheetId="56" r:id="rId59"/>
    <sheet state="visible" name="Année 2022" sheetId="57" r:id="rId60"/>
    <sheet state="visible" name="Janv.23" sheetId="58" r:id="rId61"/>
    <sheet state="visible" name="Fév.23" sheetId="59" r:id="rId62"/>
    <sheet state="visible" name="Mars23" sheetId="60" r:id="rId63"/>
    <sheet state="visible" name="Avr.23" sheetId="61" r:id="rId64"/>
    <sheet state="visible" name="Mai23" sheetId="62" r:id="rId65"/>
    <sheet state="visible" name="Juin23" sheetId="63" r:id="rId66"/>
    <sheet state="visible" name="Juil.23" sheetId="64" r:id="rId67"/>
    <sheet state="visible" name="Août23" sheetId="65" r:id="rId68"/>
    <sheet state="visible" name="Sept.23" sheetId="66" r:id="rId69"/>
    <sheet state="visible" name="Oct.23" sheetId="67" r:id="rId70"/>
    <sheet state="visible" name="Nov.23" sheetId="68" r:id="rId71"/>
    <sheet state="visible" name="Déc;23" sheetId="69" r:id="rId72"/>
    <sheet state="visible" name="Année 2023" sheetId="70" r:id="rId73"/>
    <sheet state="visible" name="Janv.24" sheetId="71" r:id="rId74"/>
    <sheet state="visible" name="Fév.24" sheetId="72" r:id="rId75"/>
    <sheet state="visible" name="Mars24" sheetId="73" r:id="rId76"/>
    <sheet state="visible" name="Avr.24" sheetId="74" r:id="rId77"/>
    <sheet state="visible" name="Mai24" sheetId="75" r:id="rId78"/>
    <sheet state="visible" name="Juin24" sheetId="76" r:id="rId79"/>
    <sheet state="visible" name="Juil.24" sheetId="77" r:id="rId80"/>
    <sheet state="visible" name="Août24" sheetId="78" r:id="rId81"/>
    <sheet state="visible" name="SEP.24" sheetId="79" r:id="rId82"/>
    <sheet state="visible" name="Oct.24" sheetId="80" r:id="rId83"/>
    <sheet state="visible" name="Nov.24" sheetId="81" r:id="rId84"/>
    <sheet state="visible" name="Déc.24" sheetId="82" r:id="rId85"/>
    <sheet state="visible" name="Année 2024" sheetId="83" r:id="rId86"/>
    <sheet state="visible" name="JANVIER 2025" sheetId="84" r:id="rId87"/>
    <sheet state="visible" name="FEVRIER 2025" sheetId="85" r:id="rId88"/>
    <sheet state="visible" name="MARS 2025" sheetId="86" r:id="rId89"/>
    <sheet state="visible" name="AVRIL 2025" sheetId="87" r:id="rId90"/>
    <sheet state="visible" name=" MAI 2025" sheetId="88" r:id="rId91"/>
    <sheet state="visible" name="Juin 2025" sheetId="89" r:id="rId92"/>
    <sheet state="visible" name="Juillet 2025" sheetId="90" r:id="rId93"/>
    <sheet state="visible" name="aout 2025" sheetId="91" r:id="rId94"/>
    <sheet state="visible" name="Septembre 2025" sheetId="92" r:id="rId95"/>
    <sheet state="visible" name="Octobre 2025" sheetId="93" r:id="rId96"/>
    <sheet state="visible" name="Novembre" sheetId="94" r:id="rId97"/>
    <sheet state="visible" name="décembre 2025" sheetId="95" r:id="rId98"/>
    <sheet state="visible" name="Jan 2026" sheetId="96" r:id="rId99"/>
    <sheet state="visible" name="Fev 2026" sheetId="97" r:id="rId100"/>
    <sheet state="visible" name="Mars 2026" sheetId="98" r:id="rId101"/>
    <sheet state="visible" name="Avril 2026" sheetId="99" r:id="rId102"/>
    <sheet state="visible" name="Mai 2026" sheetId="100" r:id="rId103"/>
  </sheets>
  <definedNames/>
  <calcPr/>
  <extLst>
    <ext uri="GoogleSheetsCustomDataVersion2">
      <go:sheetsCustomData xmlns:go="http://customooxmlschemas.google.com/" r:id="rId104" roundtripDataChecksum="UcWc6ZXoHwmmewOSMltmtUtWGHzGKVUnJ80ht2NDfyc="/>
    </ext>
  </extLst>
</workbook>
</file>

<file path=xl/sharedStrings.xml><?xml version="1.0" encoding="utf-8"?>
<sst xmlns="http://schemas.openxmlformats.org/spreadsheetml/2006/main" count="8094" uniqueCount="4238">
  <si>
    <t>RAPPORT FINANCIER DU MOIS DE DECEMBRE 2018</t>
  </si>
  <si>
    <t>REPPORT SOLDE FINAL NOVEMBRE 2018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</si>
  <si>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</si>
  <si>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Recette semaine du 03 au 07 Décembre 2018</t>
  </si>
  <si>
    <t>Recette semaine du 10 au 14 Décembre 2018</t>
  </si>
  <si>
    <t>Recette semaine du 17 au 21 Décembre 2018</t>
  </si>
  <si>
    <t>Recette semaine du  24 au 28 Décembre 2018</t>
  </si>
  <si>
    <t>Recette journée du 31 Décembre 2018</t>
  </si>
  <si>
    <t xml:space="preserve">                               </t>
  </si>
  <si>
    <t>TOTAL RECETTES :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</si>
  <si>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</si>
  <si>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Salaires :</t>
  </si>
  <si>
    <t>Honoraires Docteur NIANG               FRS  – 40 %</t>
  </si>
  <si>
    <t>Honoraires Mr Abdoulaye DIOP</t>
  </si>
  <si>
    <t>Honoraires Mme LY Aïssata LY</t>
  </si>
  <si>
    <t>Honoraires Rosalie DIOUF</t>
  </si>
  <si>
    <t>Honoraires Mme GUEYE Aminata NDIAYE</t>
  </si>
  <si>
    <t xml:space="preserve">Honoraires Oumy COULIBALY        </t>
  </si>
  <si>
    <t>Total Honoraires :</t>
  </si>
  <si>
    <t>Autres dépenses :</t>
  </si>
  <si>
    <t>Régl. 4/b HbA1C Tech. Services</t>
  </si>
  <si>
    <t xml:space="preserve">Ampoule Labo                                          </t>
  </si>
  <si>
    <t>Transport Médina le 06/12/2018</t>
  </si>
  <si>
    <t>Paquet de sucre</t>
  </si>
  <si>
    <t xml:space="preserve">Colle souris + liquide cafards   </t>
  </si>
  <si>
    <t>Achat robinet + porte mentaux</t>
  </si>
  <si>
    <t>Transport Médina  le 13/12/2018</t>
  </si>
  <si>
    <t>Piles Holter ECG (5/P)                                                                                       5.000 FRS</t>
  </si>
  <si>
    <t>100 cartes groupe-sanguin</t>
  </si>
  <si>
    <t>Electrodes Holter ECG (2)</t>
  </si>
  <si>
    <t>Carton enveloppes 500</t>
  </si>
  <si>
    <t>Entretien électricité</t>
  </si>
  <si>
    <t>Transport Médina le 20/12/2018                                                                           2.000 FRS</t>
  </si>
  <si>
    <t>Colles souris (2)</t>
  </si>
  <si>
    <t>Entretien système informatique et téléphone (matériel)</t>
  </si>
  <si>
    <t>Carton gants latex (10)</t>
  </si>
  <si>
    <t>Transport Médina le 26/12/2018</t>
  </si>
  <si>
    <t>Ampoule + verre à jeter</t>
  </si>
  <si>
    <t>Entretien système informatique et téléphone main-d’œuvre (Sangoné DIOP)</t>
  </si>
  <si>
    <t>Douchette</t>
  </si>
  <si>
    <t>Technologies services HbA1C (2)</t>
  </si>
  <si>
    <t>Coton 5 rouleaux</t>
  </si>
  <si>
    <t>Paquet sucre</t>
  </si>
  <si>
    <t>Total autres dépenses</t>
  </si>
  <si>
    <t xml:space="preserve">      </t>
  </si>
  <si>
    <t>TOTAL DEPENSE</t>
  </si>
  <si>
    <t xml:space="preserve">   </t>
  </si>
  <si>
    <t>3 -    BENEFICE MOIS DE DECEMBRE 2018 :</t>
  </si>
  <si>
    <t>4-     INVESTISSEMENTS</t>
  </si>
  <si>
    <t>Reliquat achat appareil MAPA</t>
  </si>
  <si>
    <t>Reliquat achat appareil microscope</t>
  </si>
  <si>
    <t>TOTAL INVESTISSEMENTS</t>
  </si>
  <si>
    <t>Solde final fin Décembre 2018 :</t>
  </si>
  <si>
    <t>N.B. : Nous avons pu offrir gracieusement au courant du mois de Décembre 2018 des Analyses biologiques pour 1 Agent de l’Etat et  pour 4 non Agent de l’Etat soit un mon global de : 207100  FRS.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</si>
  <si>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</si>
  <si>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Dr Patrice Théophile SARR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</si>
  <si>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</si>
  <si>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Mme SADIO Amy NGOM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</si>
  <si>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Mr Abdoulaye DIOP</t>
    </r>
  </si>
  <si>
    <r>
      <rPr>
        <rFont val="Times New Roman"/>
        <color theme="1"/>
        <sz val="18.0"/>
      </rPr>
      <t>-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Mme LY Aïssata LY</t>
    </r>
  </si>
  <si>
    <t>RAPPORT FINANCIER DU MOIS DE JANVIER 2019</t>
  </si>
  <si>
    <t>REPPORT SOLDE FINAL DECEMBRE 2018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</si>
  <si>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</si>
  <si>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Première semaine</t>
  </si>
  <si>
    <t>Deuxième semaine</t>
  </si>
  <si>
    <t>Troisième semaine</t>
  </si>
  <si>
    <t>Quatrième semaine</t>
  </si>
  <si>
    <t>Dernièrs jours du mois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</si>
  <si>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</si>
  <si>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245000 - 40%</t>
  </si>
  <si>
    <t>Honoraires Docteur Ndèye Ndoumbé NGOM</t>
  </si>
  <si>
    <t>Transport Médina le 03/01/19</t>
  </si>
  <si>
    <t>Série groupage sanguin Fact. N° 102/18 du 26/12/18</t>
  </si>
  <si>
    <t>Accu-chek LancetB/2 (2)</t>
  </si>
  <si>
    <t>Thiack thiack HbA1C</t>
  </si>
  <si>
    <t>Cartes GSRH (1000)</t>
  </si>
  <si>
    <t>Journal Recette / Dépense</t>
  </si>
  <si>
    <t>Achat 4 piles</t>
  </si>
  <si>
    <t>Cachet Trodat Dr NGOM</t>
  </si>
  <si>
    <t>Remboursement ECG</t>
  </si>
  <si>
    <t>Amuses bouches Pot Mme WADE + transport</t>
  </si>
  <si>
    <t>Paul clim</t>
  </si>
  <si>
    <t xml:space="preserve">Ampoule </t>
  </si>
  <si>
    <t>Transport Médina le 10/01/19</t>
  </si>
  <si>
    <t>Paquet mouchoir + eau Royal 7/Packs+100 barquettes+sachets</t>
  </si>
  <si>
    <t>Verre à jetter 100</t>
  </si>
  <si>
    <t>Ether GM 55 cc</t>
  </si>
  <si>
    <t>Transport Médina le 17/01/19</t>
  </si>
  <si>
    <t>Préservatifs pour échographie 5/b de 3</t>
  </si>
  <si>
    <t>Fact. ASMA MEDIC du 11/01/19</t>
  </si>
  <si>
    <t>Fact. SALOUM PHARMA du 16/01/19</t>
  </si>
  <si>
    <t>Fact. Techbnologies Service du 04/01/19</t>
  </si>
  <si>
    <t>SSI + Dakin</t>
  </si>
  <si>
    <t>Fact. SALOUM PHARMA du 21/01/19</t>
  </si>
  <si>
    <t>Fact. Dablé Services du 21/01/19</t>
  </si>
  <si>
    <t>Transport Médina le 24/01/19</t>
  </si>
  <si>
    <t>Médaille Dr ANNE</t>
  </si>
  <si>
    <t>Entretien Unité de santé maternelle et infantile (cf Fact.)</t>
  </si>
  <si>
    <t xml:space="preserve">Matériel Unité de Santé maternelle et infantiles </t>
  </si>
  <si>
    <t xml:space="preserve">Main d'œuvre + complément achat matériel U. S. M. infantile </t>
  </si>
  <si>
    <t>Fact. MEDILABO N° 1901053 du 10/01/19</t>
  </si>
  <si>
    <t>Balai</t>
  </si>
  <si>
    <t>Transport Médina le 31/01/19</t>
  </si>
  <si>
    <t>Main d'œuvre salon CMSFP Rue Moussé Diop</t>
  </si>
  <si>
    <t>Main d'œuvre nettoyage CMSFP Rue Moussé Diop</t>
  </si>
  <si>
    <t>Transport bagages à la Médina</t>
  </si>
  <si>
    <t>Nettoyage CMSFP (Médina)</t>
  </si>
  <si>
    <t>Réabilitation salle d'attente, porte d'entrée principale du centre et Arm.</t>
  </si>
  <si>
    <t>Règlement fact. MEDILABO N°F1902005 du 01/02/2019</t>
  </si>
  <si>
    <t>3 -    BENEFICE MOIS DE JANVIER 2019 :</t>
  </si>
  <si>
    <t>Achat appareil MAPA</t>
  </si>
  <si>
    <t>Solde final fin Janvier 2019 :</t>
  </si>
  <si>
    <t>N.B. : Les analyses offertes gracieusement au courant du mois de JAN19:</t>
  </si>
  <si>
    <t>Pour les Agents de l'Etat</t>
  </si>
  <si>
    <t>Pour les non agents de l'Etat</t>
  </si>
  <si>
    <t>soit un Total de: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</si>
  <si>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</si>
  <si>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Dr Patrice Théophile SARR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</si>
  <si>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</si>
  <si>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Mme SADIO Amy NGOM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</si>
  <si>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Mr Abdoulaye DIOP</t>
    </r>
  </si>
  <si>
    <r>
      <rPr>
        <rFont val="Times New Roman"/>
        <color theme="1"/>
        <sz val="18.0"/>
      </rPr>
      <t>-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Mme LY Aïssata LY</t>
    </r>
  </si>
  <si>
    <t>RAPPORT FINANCIER DU MOIS DE FEVRIER 2019</t>
  </si>
  <si>
    <t>REPPORT SOLDE FINAL JANVIER 2019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</si>
  <si>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</si>
  <si>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</si>
  <si>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195000 - 40%</t>
  </si>
  <si>
    <t>Facture BTC carreaux faïences et grés cérames</t>
  </si>
  <si>
    <t>8 sacs de sable et 2 sacs de ciment + transport</t>
  </si>
  <si>
    <t>Réabilitation, carrelage paillasse Labo et supervision travaux</t>
  </si>
  <si>
    <t>Achat enveloppes moyennes (500)</t>
  </si>
  <si>
    <t>Matériel électrique pour l'entretien du centre</t>
  </si>
  <si>
    <t>Transport Médina le 07/02/2019</t>
  </si>
  <si>
    <t xml:space="preserve">Main-d'œuvre entretien électrique du centre </t>
  </si>
  <si>
    <t>Préservatifs pour échographie P/12</t>
  </si>
  <si>
    <t>Matériel plomberie</t>
  </si>
  <si>
    <t>Etagères Labo</t>
  </si>
  <si>
    <t>Chaises Labo (3)</t>
  </si>
  <si>
    <t>Paillasse Labo</t>
  </si>
  <si>
    <t>3 bouteilles eau BA EAU BAB</t>
  </si>
  <si>
    <t>Verre à jetter 50</t>
  </si>
  <si>
    <t>Piles (4)</t>
  </si>
  <si>
    <t>Colle souris (3/P)</t>
  </si>
  <si>
    <t>Transport Médina le 14/02/2019</t>
  </si>
  <si>
    <t>Technologies Services HbA1C (6/B)</t>
  </si>
  <si>
    <t>MEDILABO Anti-AB (MONOLONAL)</t>
  </si>
  <si>
    <t>Tuyau d'arrosage (20 mètres)</t>
  </si>
  <si>
    <t>Lance pour tuyau d'arrosage</t>
  </si>
  <si>
    <t>Facture Dablé services N° 05/19 du 12/02/19</t>
  </si>
  <si>
    <t>Sèche linge</t>
  </si>
  <si>
    <t>4 Piles</t>
  </si>
  <si>
    <t>5 Essui tout facture n° 205714 du 21/02/2019</t>
  </si>
  <si>
    <t>Transport Médina le 21/02/2019</t>
  </si>
  <si>
    <t>Salbutamol Nébulisateur</t>
  </si>
  <si>
    <t>MEDILABO Fact. N° 1902083 du 25/02/2019</t>
  </si>
  <si>
    <t>Tranport Médina le 28/02/2019</t>
  </si>
  <si>
    <t xml:space="preserve">Diclo-Denk 75 (injection) </t>
  </si>
  <si>
    <t>ASMA MEDIC FactureFév.2019</t>
  </si>
  <si>
    <t>Divers</t>
  </si>
  <si>
    <t>Senac 22 kg + seau peinture à huile</t>
  </si>
  <si>
    <t>Pot Plastiqua</t>
  </si>
  <si>
    <t>Facture quincaillerie Khadim Rassoul du 15/02/2019</t>
  </si>
  <si>
    <t>Cleaner</t>
  </si>
  <si>
    <t>3 -    BENEFICE MOIS DE FEVRIER 2019 :</t>
  </si>
  <si>
    <t>Solde final fin Février 2019 :</t>
  </si>
  <si>
    <t>N.B. : Les analyses offertes gracieusement au courant du mois de Fév19: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</si>
  <si>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</si>
  <si>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Dr Patrice Théophile SARR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</si>
  <si>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</si>
  <si>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Mme SADIO Amy NGOM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</si>
  <si>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Mr Abdoulaye DIOP</t>
    </r>
  </si>
  <si>
    <r>
      <rPr>
        <rFont val="Times New Roman"/>
        <color theme="1"/>
        <sz val="18.0"/>
      </rPr>
      <t>-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Mme LY Aïssata LY</t>
    </r>
  </si>
  <si>
    <t>RAPPORT FINANCIER DU MOIS DE MARS 2019</t>
  </si>
  <si>
    <t>REPPORT SOLDE FINAL FEVRIER 2019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</si>
  <si>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</si>
  <si>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</si>
  <si>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240000 - 40%</t>
  </si>
  <si>
    <t>Transport Médina le 07/03/19</t>
  </si>
  <si>
    <t>Piles 8</t>
  </si>
  <si>
    <t>Coton 250 g</t>
  </si>
  <si>
    <t>Thiack-Thiack cachet ADIE</t>
  </si>
  <si>
    <t>Gateau Journée Internationale de la femme</t>
  </si>
  <si>
    <t>Facture SALOUM PHARMA N°001/2019/SP</t>
  </si>
  <si>
    <t xml:space="preserve">Réparation photocopieuse RICHO + main d'œuvre  </t>
  </si>
  <si>
    <t>Paquet stylo à bile</t>
  </si>
  <si>
    <t>Eau de javel grain</t>
  </si>
  <si>
    <t>Menuisier</t>
  </si>
  <si>
    <t>Main d'œuvre photocopieuse</t>
  </si>
  <si>
    <t>Transport Médina le 14/03/19</t>
  </si>
  <si>
    <t>Technologies Services abonnement février HbA1C 2 boîtes</t>
  </si>
  <si>
    <t>Essui tout 8 rouleaux</t>
  </si>
  <si>
    <t>Technologies Services abonnement mars HbA1C 2 boîtes</t>
  </si>
  <si>
    <t xml:space="preserve">Pot de fleur + main-d'œuvre </t>
  </si>
  <si>
    <t>Diluant, colorant + transport</t>
  </si>
  <si>
    <t>Facture Dablé Services n° 14/19 du 13/03/2019</t>
  </si>
  <si>
    <t>Facture MEDILABO n° F1903052 du 12/03/2019</t>
  </si>
  <si>
    <t>Voltarène EMUGEL 1%</t>
  </si>
  <si>
    <t>Transport Médina le 21/03/2019</t>
  </si>
  <si>
    <t>Transport matériel DMTA</t>
  </si>
  <si>
    <t>Achat cartouche photocopieuse</t>
  </si>
  <si>
    <t>Essui tout 5 rouleaux</t>
  </si>
  <si>
    <t>Facture SALOUM PHARMA N°003/2019/SP</t>
  </si>
  <si>
    <t>Main d'œuvre peintre</t>
  </si>
  <si>
    <t>Grosse sucre</t>
  </si>
  <si>
    <t>Technologies Services fact. N° 190384 du 04/01/19 (7 HbA1C)</t>
  </si>
  <si>
    <t>2 Pots de fleur + fleurs</t>
  </si>
  <si>
    <t>Gateau anniversaire le 27/03/2019</t>
  </si>
  <si>
    <t xml:space="preserve">Fact. Tech. Ser. n° FA190817 du 19/03/19 (minidil &amp; miniclean) </t>
  </si>
  <si>
    <t>Transport Médina le 28/03/2019</t>
  </si>
  <si>
    <t>Achat ampoule toilettes médina</t>
  </si>
  <si>
    <t>Facture n° 0003/2019/SP (TSH B/25) SALOUM PHARMA</t>
  </si>
  <si>
    <t>3 -    BENEFICE MOIS DE MARS 2019 :</t>
  </si>
  <si>
    <t>INVESTISSEMENT</t>
  </si>
  <si>
    <t>Solde final fin Mars 2019 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</si>
  <si>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</si>
  <si>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Dr Patrice Théophile SARR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</si>
  <si>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</si>
  <si>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Mme SADIO Amy NGOM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</si>
  <si>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Mr Abdoulaye DIOP</t>
    </r>
  </si>
  <si>
    <r>
      <rPr>
        <rFont val="Times New Roman"/>
        <color theme="1"/>
        <sz val="18.0"/>
      </rPr>
      <t>-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Mme LY Aïssata LY</t>
    </r>
  </si>
  <si>
    <t>RAPPORT FINANCIER DU MOIS D'AVRIL 2019</t>
  </si>
  <si>
    <t>REPPORT SOLDE FINAL MARS 2019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</si>
  <si>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</si>
  <si>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</si>
  <si>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245000 40%  </t>
  </si>
  <si>
    <t>Piles Moyennes 8</t>
  </si>
  <si>
    <t xml:space="preserve">Stylos à billes </t>
  </si>
  <si>
    <t>Batterie ECG</t>
  </si>
  <si>
    <t>Piles PM appareil accu-check</t>
  </si>
  <si>
    <t xml:space="preserve">Ether </t>
  </si>
  <si>
    <t>Poubelles informerie et labo (3)</t>
  </si>
  <si>
    <t>Fact. ASMA MEDIC n° AVR 4 du 03/04/2019</t>
  </si>
  <si>
    <t>Dablé Services n° 18/19 du 01/04/2019</t>
  </si>
  <si>
    <t>MEDILABO n° 1904002 du 01/04/2019</t>
  </si>
  <si>
    <t>Cartes GSRH (1 000)</t>
  </si>
  <si>
    <t>Cachets (4)</t>
  </si>
  <si>
    <t>Fact. SOTELMED n° 7750/19</t>
  </si>
  <si>
    <t xml:space="preserve">Enveloppes (500) caki moyennes </t>
  </si>
  <si>
    <t>Enveloppes (500) blanches carrées</t>
  </si>
  <si>
    <t>Débouchage canalisation</t>
  </si>
  <si>
    <t>1 carton de draps d'examen (6)</t>
  </si>
  <si>
    <t>Technologie Services abonnement HBA1C avril 2019</t>
  </si>
  <si>
    <t>Transport Médina le 11 avril 2019</t>
  </si>
  <si>
    <t>Fact. Dablé  Services N° 20/19 du 09/04/2019</t>
  </si>
  <si>
    <t>Fact. SALOUM PHARMA N° 0004/2019 SP</t>
  </si>
  <si>
    <t>BA EAU BAB 3/B</t>
  </si>
  <si>
    <t>8 piles</t>
  </si>
  <si>
    <t>1 pompe Super Eclat</t>
  </si>
  <si>
    <t>Fact. Staburo N° 18505 1 Toner 2014AD/D - TYPE 2014H</t>
  </si>
  <si>
    <t>Transport Médina le 18 avril 2019</t>
  </si>
  <si>
    <t>Transport technicien photocopieuse</t>
  </si>
  <si>
    <t>Registres consultation sage-femme (3)</t>
  </si>
  <si>
    <t xml:space="preserve">Essui tout </t>
  </si>
  <si>
    <t>3 -    BENEFICE MOIS DE AVRIL 2019 :</t>
  </si>
  <si>
    <t>4 -</t>
  </si>
  <si>
    <t>INVESTISSEMENTS</t>
  </si>
  <si>
    <t>Machine Labo Finecare Fia Meter</t>
  </si>
  <si>
    <t>Solde final fin Avril 2019 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</si>
  <si>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</si>
  <si>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Dr Patrice Théophile SARR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</si>
  <si>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</si>
  <si>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Mme SADIO Amy NGOM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</si>
  <si>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Mr Abdoulaye DIOP</t>
    </r>
  </si>
  <si>
    <r>
      <rPr>
        <rFont val="Times New Roman"/>
        <color theme="1"/>
        <sz val="18.0"/>
      </rPr>
      <t>-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Mme LY Aïssata LY</t>
    </r>
  </si>
  <si>
    <t>RAPPORT FINANCIER DU MOIS DE MAI 2019</t>
  </si>
  <si>
    <t>REPPORT SOLDE FINAL AVRIL 2019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</si>
  <si>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</si>
  <si>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</si>
  <si>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315000 40%  </t>
  </si>
  <si>
    <t>Transport Médina le 02/05/2019</t>
  </si>
  <si>
    <t>Célestène injectable 1/B</t>
  </si>
  <si>
    <t>Dakin, Ether et SSI</t>
  </si>
  <si>
    <t>Préservatifs 2/B pour échographie</t>
  </si>
  <si>
    <t>Technologies Services abonnement mois de Mai HbA1C (2/B)</t>
  </si>
  <si>
    <t>Avance paiement blouses</t>
  </si>
  <si>
    <t>Transport Médina le 09/05/2019</t>
  </si>
  <si>
    <t>SALOUM PHARMA (HbA1C + hormones thyroidiennes</t>
  </si>
  <si>
    <t>Dablé Services fac. N° 25/10 du 06/05/2019</t>
  </si>
  <si>
    <t>Transport Médina le 16/05/2019</t>
  </si>
  <si>
    <t>Cas gratuit écho le 16/05/2019</t>
  </si>
  <si>
    <t>Reliquat paiement blouses</t>
  </si>
  <si>
    <t>Marqeurs Labo</t>
  </si>
  <si>
    <t>Cartes GSRH (1.000)</t>
  </si>
  <si>
    <t>4 piles Moyennes</t>
  </si>
  <si>
    <t>Tansport Médina le 23/05/2019</t>
  </si>
  <si>
    <t>Avance blouses</t>
  </si>
  <si>
    <t>Laborantin M. Papa Ngor SENE</t>
  </si>
  <si>
    <t>Fact. MEDILABO F1905076 du 20/05/19</t>
  </si>
  <si>
    <t>Fact. Dablé Services n° 25/19 du 06/05/19</t>
  </si>
  <si>
    <t>Fact. Dablé Services n° 32/19 du 22/05/19</t>
  </si>
  <si>
    <t>ASMA MEDIC Fact. N° MAI25 du 15/05/19</t>
  </si>
  <si>
    <t>SALOUM PHARMA Fact. N° 0005/2019/SP du 22/05/19</t>
  </si>
  <si>
    <t xml:space="preserve">Cartouche imprimante 26 A Labo Laser Pro Mu02m </t>
  </si>
  <si>
    <t>IMPEC - SERVICES Fact. N° 0000241 du 29/05/19</t>
  </si>
  <si>
    <t>Piles moyennes (4)</t>
  </si>
  <si>
    <t>3 -    BENEFICE MOIS DE MAI 2019 :</t>
  </si>
  <si>
    <t>Analyseur compact de coagulation 2 canneaux livré avec</t>
  </si>
  <si>
    <t>imprimante et kit de démarrage</t>
  </si>
  <si>
    <t>Fauteuil dentaire</t>
  </si>
  <si>
    <t xml:space="preserve">Onduleur Eaton 2 000 line interavtive </t>
  </si>
  <si>
    <t>Solde final fin Mai 2019 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</si>
  <si>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</si>
  <si>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Dr Patrice Théophile SARR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</si>
  <si>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</si>
  <si>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Mme SADIO Amy NGOM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</si>
  <si>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Mr Abdoulaye DIOP</t>
    </r>
  </si>
  <si>
    <r>
      <rPr>
        <rFont val="Times New Roman"/>
        <color theme="1"/>
        <sz val="18.0"/>
      </rPr>
      <t>-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Mme LY Aïssata LY</t>
    </r>
  </si>
  <si>
    <t>RAPPORT FINANCIER DU MOIS DE JUIN 2019</t>
  </si>
  <si>
    <t>REPPORT SOLDE FINAL MAI 2019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</si>
  <si>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</si>
  <si>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</si>
  <si>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215000 40%  </t>
  </si>
  <si>
    <t xml:space="preserve">Enseignes Médina </t>
  </si>
  <si>
    <t>Technologies Services N° FA191672 du 07/06/2019</t>
  </si>
  <si>
    <t>Transport Médina le 07/06/2019</t>
  </si>
  <si>
    <t>SALOUM PHARMA facture n° 0005/2019/SP</t>
  </si>
  <si>
    <t>Cachet CMSFP</t>
  </si>
  <si>
    <t>Transport Médina le 13/06/2019</t>
  </si>
  <si>
    <t>Barrettes de mémoire DDR PC 10 600 4 Go - Câble</t>
  </si>
  <si>
    <t>imprimante et rallonge</t>
  </si>
  <si>
    <t>Main-d'œuvre Informaticien</t>
  </si>
  <si>
    <t xml:space="preserve">BA EAU BAB 3 bouteilles </t>
  </si>
  <si>
    <t>Open Services 2 plaques (Médina)</t>
  </si>
  <si>
    <t xml:space="preserve">Gateau </t>
  </si>
  <si>
    <t xml:space="preserve">Verres à jetter </t>
  </si>
  <si>
    <t xml:space="preserve">Serrure toilette + main d'œuvre </t>
  </si>
  <si>
    <t>Transport Médina le 20/06/2019</t>
  </si>
  <si>
    <t xml:space="preserve">4 piles </t>
  </si>
  <si>
    <t>SALOUM PHARMA facture n° 0006/2019/SP</t>
  </si>
  <si>
    <t>Facture Technologies Services N°FA191557 du 28/05/19</t>
  </si>
  <si>
    <t>Facture Technologies Services N°FA191773 du 18/06/19</t>
  </si>
  <si>
    <t>SOTELMED Fact. N° 7853/19</t>
  </si>
  <si>
    <t>Centrifugeuse Labo (maintenance + main d'œuvre)</t>
  </si>
  <si>
    <t>Cartouche noire Labo (128)</t>
  </si>
  <si>
    <t>Piles 7 paquets</t>
  </si>
  <si>
    <t>10 Plaquettes conseil de santé</t>
  </si>
  <si>
    <t>Bandelettes Accuchek B/50 - Ban. Infinity 1/B</t>
  </si>
  <si>
    <t>Amuses bouches anniversaire</t>
  </si>
  <si>
    <t>Dismatic</t>
  </si>
  <si>
    <t>Gaz climatiseur</t>
  </si>
  <si>
    <t>JUMIA livraison café</t>
  </si>
  <si>
    <t>Transport Médina le 27/06/2019</t>
  </si>
  <si>
    <t>MEDILABO Fact. N°F1906025 du 12/06/2019</t>
  </si>
  <si>
    <t>SOTELMED Fact. N° 8121 du 25/06/2019</t>
  </si>
  <si>
    <t>SALOUM PHARMA Fact. N° 006/2019 du 26/06/18</t>
  </si>
  <si>
    <t>Location échelle + Trans. Aller retour + Trans Laye aller retour</t>
  </si>
  <si>
    <t>MEDILABO Fact. N°F1906071 du 25/06/2019 Av. sur Fact.)</t>
  </si>
  <si>
    <t>3 -    BENEFICE MOIS DE JUIN 2019 :</t>
  </si>
  <si>
    <t>Solde final fin Juin 2019 :</t>
  </si>
  <si>
    <t>N.B. : Les analyses offertes gracieusement au courant du mois de Juin 19: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</si>
  <si>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</si>
  <si>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Dr Patrice Théophile SARR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</si>
  <si>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</si>
  <si>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Mme SADIO Amy NGOM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</si>
  <si>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Mr Abdoulaye DIOP</t>
    </r>
  </si>
  <si>
    <r>
      <rPr>
        <rFont val="Times New Roman"/>
        <color theme="1"/>
        <sz val="18.0"/>
      </rPr>
      <t>-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Mme LY Aïssata LY</t>
    </r>
  </si>
  <si>
    <t>RAPPORT FINANCIER DU MOIS DE JUILLET 2019</t>
  </si>
  <si>
    <t>REPPORT SOLDE FINAL JUIN 2019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</si>
  <si>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</si>
  <si>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</si>
  <si>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295.000 40%  </t>
  </si>
  <si>
    <t>Fac. MEDILABO N° 1906071 du 25/06/19</t>
  </si>
  <si>
    <t>Remboursement Holter ECG</t>
  </si>
  <si>
    <t>1 kg plâtre - 1 kg ciment + colle + transp.</t>
  </si>
  <si>
    <t>100 verres à jetter + grosse sucre</t>
  </si>
  <si>
    <t>Transport Médina du 04/07/19</t>
  </si>
  <si>
    <t>Fact. Tech. Services N° FA191913 du 01/07/19 2/B HbA1C</t>
  </si>
  <si>
    <t>Transport Médina du 11/07/19</t>
  </si>
  <si>
    <t xml:space="preserve">BA EAU BAB 4 bouteilles </t>
  </si>
  <si>
    <t>SALOUM PHARMA fact. N° 0007/2019/SP du 09/07/19</t>
  </si>
  <si>
    <t>SALOUM PHARMA fact. N° 0007/2019/SP du 12/07/19</t>
  </si>
  <si>
    <t>SALOUM PHARMA fact. N° 0007/2019/SP du 17/07/2019</t>
  </si>
  <si>
    <t>Peinture + main-d'œuvre + Divers</t>
  </si>
  <si>
    <t>Honoraires Laborantin SENE</t>
  </si>
  <si>
    <t>Cartouche N° 650 (Noir et couleur)</t>
  </si>
  <si>
    <t>Transport Médina le 18/07/2019</t>
  </si>
  <si>
    <t>Fact. SOTELMED N° 7879/19 du 09/07/2019</t>
  </si>
  <si>
    <t>Fact. SOTELMED N° 7900/19 du 18/07/2019</t>
  </si>
  <si>
    <t>Reliquat 2 factures SALOUM PHARMA</t>
  </si>
  <si>
    <t xml:space="preserve">20 assiettes + 24 fourchettes </t>
  </si>
  <si>
    <t xml:space="preserve">Gateau aniverssaire </t>
  </si>
  <si>
    <t>Carton draps d'examen (6)</t>
  </si>
  <si>
    <t>1 bouteille d'alcool GM + sérum salé 9% Baxter</t>
  </si>
  <si>
    <t>10 boîtes de 10 sachets chacun</t>
  </si>
  <si>
    <t>Emails labo</t>
  </si>
  <si>
    <t>Transport technicien téléphone</t>
  </si>
  <si>
    <t xml:space="preserve">Plombier débouchage </t>
  </si>
  <si>
    <t>Transport Médina le 25/07/2019</t>
  </si>
  <si>
    <t>SALOUM PHARMA Fact. N° 007/2019/SP du 01/07/19</t>
  </si>
  <si>
    <t>SALOUM PHARMA Fact. N° 007/2019/SP du 30/07/19</t>
  </si>
  <si>
    <t>Piles P.M. 2/B</t>
  </si>
  <si>
    <t>3 -    BENEFICE MOIS DE JUILLET 2019 :</t>
  </si>
  <si>
    <t>Solde final fin Juillet 2019 :</t>
  </si>
  <si>
    <t>N.B. : Les analyses offertes gracieusement au courant du mois de Juil 19: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</si>
  <si>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</si>
  <si>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Dr Patrice Théophile SARR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</si>
  <si>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</si>
  <si>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Mme SADIO Amy NGOM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</si>
  <si>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Mr Abdoulaye DIOP</t>
    </r>
  </si>
  <si>
    <r>
      <rPr>
        <rFont val="Times New Roman"/>
        <color theme="1"/>
        <sz val="18.0"/>
      </rPr>
      <t>-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Mme LY Aïssata LY</t>
    </r>
  </si>
  <si>
    <t>RAPPORT FINANCIER DU MOIS D'AOÛT 2019</t>
  </si>
  <si>
    <t>REPPORT SOLDE FINAL JUILLET 2019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</si>
  <si>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</si>
  <si>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E.P.</t>
  </si>
  <si>
    <t>GSRH</t>
  </si>
  <si>
    <t>Sous Total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</si>
  <si>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</si>
  <si>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280.000  40%  </t>
  </si>
  <si>
    <t>Honoraires Laborantine Syvie</t>
  </si>
  <si>
    <t>150 Verres à jetter</t>
  </si>
  <si>
    <t>Bétadine rouge GM</t>
  </si>
  <si>
    <t>Transport Médina le 01/08/19</t>
  </si>
  <si>
    <t>Ensemble bols (4+couvercles)</t>
  </si>
  <si>
    <t>24 cuillères</t>
  </si>
  <si>
    <t>SALOUM PHARMA Fact. N° 008/2019/SP</t>
  </si>
  <si>
    <t>Piles 4 boîtes de 4/P</t>
  </si>
  <si>
    <t>ASMA MEDIC Fact. N° AOÛT 06 du 06/08/2019</t>
  </si>
  <si>
    <t>Lubrifiant pour meubles (2)</t>
  </si>
  <si>
    <t>Tournevis</t>
  </si>
  <si>
    <t>Technologies Service Fact. N° FA192376 du 02/08/2019</t>
  </si>
  <si>
    <t>Abonnement HbA1C (2)</t>
  </si>
  <si>
    <t>Pince (outil)</t>
  </si>
  <si>
    <t>Main d'œuvre plombier</t>
  </si>
  <si>
    <t xml:space="preserve">9 Factures (matériel plomberie + M.O carreleur + tranp. et repas  </t>
  </si>
  <si>
    <t>Laye 2 jours)</t>
  </si>
  <si>
    <t>Ramassage ordures</t>
  </si>
  <si>
    <t>Matériel plomberie fact. de ECOVA N° 0000674 du 10/08/19</t>
  </si>
  <si>
    <t>BA EAU BAB 4 bouteilles</t>
  </si>
  <si>
    <t>Transport Médina le 22/08/19</t>
  </si>
  <si>
    <t>Eosine et Dakin</t>
  </si>
  <si>
    <t>Transport Médina le 29/08/2019</t>
  </si>
  <si>
    <t>IMPEC SERVICES cartouche imprimante HP 650 noir et blanc</t>
  </si>
  <si>
    <t>MEDILABO Fact. N° 1908050 du 22/08/2019</t>
  </si>
  <si>
    <t>Piles 14 boîtes (GM et PM)</t>
  </si>
  <si>
    <t>3 -    BENEFICE MOIS D'AOÛT 2019 :</t>
  </si>
  <si>
    <t>Solde final fin août 2019 :</t>
  </si>
  <si>
    <t>N.B. : Les analyses offertes gracieusement au courant du mois d'Août 19: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</si>
  <si>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</si>
  <si>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Dr Patrice Théophile SARR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</si>
  <si>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</si>
  <si>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Mme SADIO Amy NGOM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</si>
  <si>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Mr Abdoulaye DIOP</t>
    </r>
  </si>
  <si>
    <r>
      <rPr>
        <rFont val="Times New Roman"/>
        <color theme="1"/>
        <sz val="18.0"/>
      </rPr>
      <t>-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Mme LY Aïssata LY</t>
    </r>
  </si>
  <si>
    <t>RAPPORT FINANCIER DU MOIS DE SEPTEMBRE 2019</t>
  </si>
  <si>
    <t>REPPORT SOLDE FINAL AOÛT 2019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</si>
  <si>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</si>
  <si>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</si>
  <si>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315.000 FRS -  40%  </t>
  </si>
  <si>
    <t>Honoraires Laborantine Syvie TERIM-NGAYE</t>
  </si>
  <si>
    <t>Verres à jetter 5 paquets de 100</t>
  </si>
  <si>
    <t>M.J.S. 2 cartons de draps d'examen (2 x 6)</t>
  </si>
  <si>
    <t>Transport Médina le 05/09/2019</t>
  </si>
  <si>
    <t xml:space="preserve">Serum salé </t>
  </si>
  <si>
    <t>SOTELMED Fact. N° 7853/19 du 19/06/2019</t>
  </si>
  <si>
    <t>SOTELMED Fact. N° 7863/19 du 25/06/2019</t>
  </si>
  <si>
    <t>SALOUM PHARMA Fact. N° 1 du 03/09/2019</t>
  </si>
  <si>
    <t>Capsules café 15/P</t>
  </si>
  <si>
    <t xml:space="preserve">Acide 10 bouteilles </t>
  </si>
  <si>
    <t xml:space="preserve">Paul clilmatiseur </t>
  </si>
  <si>
    <t>Laye samedi</t>
  </si>
  <si>
    <t>Ventilateur Labo</t>
  </si>
  <si>
    <t>Transport Médina le 12/09/2019</t>
  </si>
  <si>
    <t>Transport PNA pour aller chercher (coton, gants et alcool)</t>
  </si>
  <si>
    <t>BA EAU BAB 5/B</t>
  </si>
  <si>
    <t xml:space="preserve">Oduleur </t>
  </si>
  <si>
    <t>Technologies services Fact. N° FA192724 du 03/09/19</t>
  </si>
  <si>
    <t>Transport Médina le 19/09/2019</t>
  </si>
  <si>
    <t>Achat 3 ampoules pour Médina</t>
  </si>
  <si>
    <t>SOTELMED Fact. N° 7942 du 28/08/2019</t>
  </si>
  <si>
    <t>Transport (médicaments, table d'examen à SENEFA)</t>
  </si>
  <si>
    <t>Achats médicaments pour formation SENEFA</t>
  </si>
  <si>
    <t>Transport Médina le 26/09/2019</t>
  </si>
  <si>
    <t xml:space="preserve">Gateau anniversaire </t>
  </si>
  <si>
    <t>Pressing rideaux lourds Dr SARR</t>
  </si>
  <si>
    <t>Transport DMT pour chaises</t>
  </si>
  <si>
    <t>SOTELMED Fact. N° 7982/19</t>
  </si>
  <si>
    <t>6 rouleaux essui-tout</t>
  </si>
  <si>
    <t>3 -    BENEFICE MOIS DE SEPTEMBRE 2019 :</t>
  </si>
  <si>
    <t>Réfrigérateur ASTECH Vitrine 380 (garantie 12 mois)</t>
  </si>
  <si>
    <t>Dédouanement chaise dentaire et accessoires</t>
  </si>
  <si>
    <t xml:space="preserve"> </t>
  </si>
  <si>
    <t>Solde final fin Septembre 2019 :</t>
  </si>
  <si>
    <t>N.B. : Les analyses offertes gracieusement au courant du mois de Sep 19:</t>
  </si>
  <si>
    <t>(DABLE SERVICES - 4.499.700)  Dépenses : 1.619.000 - R. 3.380.700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</si>
  <si>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</si>
  <si>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Dr Patrice Théophile SARR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</si>
  <si>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</si>
  <si>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Mme SADIO Amy NGOM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</si>
  <si>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 xml:space="preserve">       </t>
    </r>
    <r>
      <rPr>
        <rFont val="Times New Roman"/>
        <color theme="1"/>
        <sz val="12.0"/>
      </rPr>
      <t>Mr Abdoulaye DIOP</t>
    </r>
  </si>
  <si>
    <r>
      <rPr>
        <rFont val="Times New Roman"/>
        <color theme="1"/>
        <sz val="18.0"/>
      </rPr>
      <t>-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Mme LY Aïssata LY</t>
    </r>
  </si>
  <si>
    <t>RAPPORT FINANCIER DU MOIS D'OCTOBRE 2019</t>
  </si>
  <si>
    <t xml:space="preserve">REPPORT SOLDE FINAL SEPTEMBRE 2019 :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</si>
  <si>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</si>
  <si>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</si>
  <si>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300.000 FRS -  40%  </t>
  </si>
  <si>
    <t>Tachnologies Servies fact. N°FA193094 du 02/10/2019</t>
  </si>
  <si>
    <t>Transport Médina du 03/10/2019</t>
  </si>
  <si>
    <t>Rallonge Labo</t>
  </si>
  <si>
    <t>Main d'œuvre Aliou THIOMBANE</t>
  </si>
  <si>
    <t>2 cartouche HP 650 (noir et blanc)</t>
  </si>
  <si>
    <t>Changement Logo frigo Labo</t>
  </si>
  <si>
    <t>Transport Laye samedi 05//10/19</t>
  </si>
  <si>
    <t>SALOUM PHARMA fact. N° 0010/2019 du 02/10/2019</t>
  </si>
  <si>
    <t xml:space="preserve">Montage et réparation chaises + main-d'œuvre </t>
  </si>
  <si>
    <t>Achat vis pour réparation chaises</t>
  </si>
  <si>
    <t>Electrodes précordialgies ventouses 24-MM appareil ECG (6)</t>
  </si>
  <si>
    <t>Transport le 10/10/2019</t>
  </si>
  <si>
    <t>Verres à jetter</t>
  </si>
  <si>
    <t>4 piles</t>
  </si>
  <si>
    <t>Barettes mémoire RAM 4G (Labo)</t>
  </si>
  <si>
    <t>Main d'œuvre réparation ordinateur Labo</t>
  </si>
  <si>
    <t>BA EAU BAB (5/b)</t>
  </si>
  <si>
    <t>Thermomètre infirmerie</t>
  </si>
  <si>
    <t>Technologies Services fac. N°FA193308 en date du 22/10/2019</t>
  </si>
  <si>
    <t>SOTELMED Fact. N° 8021/19 du 22/10/2019</t>
  </si>
  <si>
    <t>Anniversaire le 24/10/2019 (2)</t>
  </si>
  <si>
    <t>Transport Médina du 24/10/2019</t>
  </si>
  <si>
    <t>Transport samedi 26/10/19 Laye</t>
  </si>
  <si>
    <t>Tech. Serv. Abon. Nov. HbA1C fac. N°FA193449 du 30/10/19</t>
  </si>
  <si>
    <t>Ventilateur+Douille+ampoules</t>
  </si>
  <si>
    <t>Main d'œuvre électricien</t>
  </si>
  <si>
    <t>Transport Médina le 31/10/19</t>
  </si>
  <si>
    <t>Transport Laye vendredi férié</t>
  </si>
  <si>
    <t>Electrodes ECG "NM"42 DIAM.MM-S/50-REF : 14648</t>
  </si>
  <si>
    <t>3 -    BENEFICE MOIS D'OCTOBRE 2019 :</t>
  </si>
  <si>
    <t xml:space="preserve">04 Onduleurs 650 </t>
  </si>
  <si>
    <t>Solde final fin octobre 2019 :</t>
  </si>
  <si>
    <t>N.B. : Les analyses offertes gracieusement au courant du mois d'Oct 19:</t>
  </si>
  <si>
    <t>(DABLE SERVICES - 4.499.700)  Dépenses : 1.619.000 - Reste : 3.380.700</t>
  </si>
  <si>
    <t>(MEDILABO - 2.996.300)  Dépenses : 754.160  -  Reste : 2.242.140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</si>
  <si>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</si>
  <si>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t>- Dr Patrice Théophile SARR</t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</si>
  <si>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</si>
  <si>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- Dr Ndèye Ndoumbé NGOM</t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</si>
  <si>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</si>
  <si>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- Mr Abdoulaye DIOP</t>
  </si>
  <si>
    <t>- Mme LY Aïssata LY</t>
  </si>
  <si>
    <t>RAPPORT FINANCIER DU MOIS DE NOVEMBRE 2019</t>
  </si>
  <si>
    <t xml:space="preserve">REPPORT SOLDE FINAL D'OCTOBRE 2019 :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</si>
  <si>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</si>
  <si>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</si>
  <si>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195.000 FRS -  40%  </t>
  </si>
  <si>
    <t>SOTELMED fact. N° 8043/19 du 05/11/19 Kit groupage sanguin</t>
  </si>
  <si>
    <t>Piles (4 x 3)</t>
  </si>
  <si>
    <t>Transport Médina le 07/11/2019</t>
  </si>
  <si>
    <t>Carte GSRH (1 000)</t>
  </si>
  <si>
    <t>BA EAU BAB (4 b)</t>
  </si>
  <si>
    <t xml:space="preserve">Cartouche noir et couleur Impec Services N° 0000270 du </t>
  </si>
  <si>
    <t>13/11/2019 HP 650</t>
  </si>
  <si>
    <t xml:space="preserve">Piles 4 PM </t>
  </si>
  <si>
    <t>Informaticien réparation ordinateur secrétariat</t>
  </si>
  <si>
    <t>Transport Médina le 14/11/2019</t>
  </si>
  <si>
    <t>Fact. ASMA MEDIC N° Nov. 19 du 14/11/2019</t>
  </si>
  <si>
    <t>Main d'œuvre maçon (Diogoye)</t>
  </si>
  <si>
    <t>Javel grain 1 kg</t>
  </si>
  <si>
    <t>Ciment, sable et location échelle</t>
  </si>
  <si>
    <t>Piles (3 x 4)</t>
  </si>
  <si>
    <t>Transport Médina le 21/11/2019</t>
  </si>
  <si>
    <t>Ether 1 bouteille Fact. Du 22/11/2019</t>
  </si>
  <si>
    <t xml:space="preserve">Eau distillée </t>
  </si>
  <si>
    <t>Essui tout (7)</t>
  </si>
  <si>
    <t>Transport Médina le 28/11/2019</t>
  </si>
  <si>
    <t>SALOUM PHARMA fact. N° 011/2019/SP</t>
  </si>
  <si>
    <t>Tech. Services Fact. N° FA193838 du 27/11/19 abon. Déc.</t>
  </si>
  <si>
    <t>Remboursement MAPA</t>
  </si>
  <si>
    <t>3 -    BENEFICE MOIS DE NOVEMBRE 2019 :</t>
  </si>
  <si>
    <t>Solde final fin Novembre 2019 :</t>
  </si>
  <si>
    <t>(DABLE SERVICES - 4.499.700)  Dépenses : 2.419.000 - Reste : 2.580.700</t>
  </si>
  <si>
    <t>(MEDILABO - 2.996.300)  Dépenses : 1.051.160  -  Reste : 1.945.140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</si>
  <si>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</si>
  <si>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</si>
  <si>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</si>
  <si>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DECEMBRE 2019</t>
  </si>
  <si>
    <t xml:space="preserve">REPPORT SOLDE FINAL DE NOVEMBRE 2019 :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</si>
  <si>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</si>
  <si>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</si>
  <si>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165.000 FRS -  40%  </t>
  </si>
  <si>
    <t>BA EAU BAB (45b)</t>
  </si>
  <si>
    <t>Main d'œuvre fleuriste (DIOP)</t>
  </si>
  <si>
    <t>Fact. Tech. Serv. N° FA193915 du 03/12/2019</t>
  </si>
  <si>
    <t>Appareil téléphonique</t>
  </si>
  <si>
    <t>Transport Médina le 05/12/2019</t>
  </si>
  <si>
    <t>2 pots de fleur</t>
  </si>
  <si>
    <t>SOTELMED fact. N° 8079/19 du 28/11/19</t>
  </si>
  <si>
    <t xml:space="preserve">Tissu 2 pantalon + 2 foulards pour Saly </t>
  </si>
  <si>
    <t>SONKO</t>
  </si>
  <si>
    <t>Transport Laye Samedi 07/12/19</t>
  </si>
  <si>
    <t>1 Cartouche HP Laser 85A</t>
  </si>
  <si>
    <t xml:space="preserve">Main d'œuvre peintre </t>
  </si>
  <si>
    <t>Achat matériel Peinture</t>
  </si>
  <si>
    <t xml:space="preserve">Adophe THIAM (échange d'une imprimante en 2 imprimantes </t>
  </si>
  <si>
    <t>plus la somme de</t>
  </si>
  <si>
    <t>Achat piles (3x 4)</t>
  </si>
  <si>
    <t>Main d'œuvre débouchage égout</t>
  </si>
  <si>
    <t>Essui tout (6)</t>
  </si>
  <si>
    <t>Transport médina le 12/12/2019</t>
  </si>
  <si>
    <t>2 cartons de draps d'examen (18)</t>
  </si>
  <si>
    <t>Main d'œuvre pantalons et foulards Saly</t>
  </si>
  <si>
    <t>SOTELMED BL N° 8380 Fact. N° 8105/19 kit groupage sanguin</t>
  </si>
  <si>
    <t xml:space="preserve">DKI International fact.N° 019162 (Mme Awa TOURE </t>
  </si>
  <si>
    <t>Aniverssaire (3 personnes)</t>
  </si>
  <si>
    <t>1 boite capsule (café)</t>
  </si>
  <si>
    <t>Transport le 19/12/19</t>
  </si>
  <si>
    <t>ASMA MEDIC N° Fact. DEC.26 du 16/12/2019</t>
  </si>
  <si>
    <t xml:space="preserve">Cartes GSRH (1000) Facture N° 0402/0S/19 </t>
  </si>
  <si>
    <t>SALOUM PHARMA Fact. N° 012/2019/SP du 24/12/19</t>
  </si>
  <si>
    <t>Transport Médina le 26/12/2019</t>
  </si>
  <si>
    <t>Max Powet 2200 W</t>
  </si>
  <si>
    <t>NESPRESSO (80/P)</t>
  </si>
  <si>
    <t xml:space="preserve">Réparation poupinelle et main d'œuvre </t>
  </si>
  <si>
    <t xml:space="preserve">Punaises </t>
  </si>
  <si>
    <t>Cartouches HP 123 noir et couleur (4)</t>
  </si>
  <si>
    <t>Technologies Services fact. N° FA194302 du 30/12/19</t>
  </si>
  <si>
    <t>SALOUM PHARMA Fact. N° 002802 du 30/12/19</t>
  </si>
  <si>
    <t>3 -    BENEFICE MOIS DE DECEMBRE 2019 :</t>
  </si>
  <si>
    <t>Solde final fin décembre 2019 :</t>
  </si>
  <si>
    <t>N.B. : Les analyses offertes gracieusement au courant du mois de déc. 19:</t>
  </si>
  <si>
    <t>(DABLE SERVICES - 4.499.700)  Dépenses : 2.759.000 - Reste : 2.240.700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</si>
  <si>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</si>
  <si>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</si>
  <si>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</si>
  <si>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mois</t>
  </si>
  <si>
    <t>solde mois précédent</t>
  </si>
  <si>
    <t>Recette E.P.</t>
  </si>
  <si>
    <t>Recette GSRH</t>
  </si>
  <si>
    <t>Dépenses en personnel</t>
  </si>
  <si>
    <t>Autres dépenses</t>
  </si>
  <si>
    <t>Investissements</t>
  </si>
  <si>
    <t>Bénéfice</t>
  </si>
  <si>
    <t>Solde</t>
  </si>
  <si>
    <t>RAPPORT FINANCIER DU MOIS DE JANVIER 2020</t>
  </si>
  <si>
    <t xml:space="preserve">REPPORT SOLDE FINAL DE DECEMBRE 2019 :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</si>
  <si>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</si>
  <si>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</si>
  <si>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210.000 FRS -  40%  </t>
  </si>
  <si>
    <t>Transport Médina le 02/01/2020</t>
  </si>
  <si>
    <t>OPEN SERVICES cartes Sage-femme</t>
  </si>
  <si>
    <t>Essui tout (1)</t>
  </si>
  <si>
    <t>Appareil piles rechargebles + transport 2000)</t>
  </si>
  <si>
    <t>gateau aniv. + amuses bouches</t>
  </si>
  <si>
    <t>Transport Médina le 09/01/2020</t>
  </si>
  <si>
    <t>Cartouches HP 650 noir et couleur (2)</t>
  </si>
  <si>
    <t>Essui tout (3) + piles (4)</t>
  </si>
  <si>
    <t xml:space="preserve">Cartes GSRH (1000) </t>
  </si>
  <si>
    <t>SOTELMED Fact. N° 8144/20 du 14/01/2020</t>
  </si>
  <si>
    <t>SOTELMED Fact. N° 8145/20 du 14/01/2020</t>
  </si>
  <si>
    <t xml:space="preserve">SOTELMED Fact. N° 8111/19 du 31/12/2020 </t>
  </si>
  <si>
    <t xml:space="preserve">Débouchoir </t>
  </si>
  <si>
    <t>Piles (4 x 4)</t>
  </si>
  <si>
    <t>Seringue (10)</t>
  </si>
  <si>
    <t>Transport Médina le 16/01/2020</t>
  </si>
  <si>
    <t xml:space="preserve">ASMA MEDIC N° Fact. N° FACT.Janv. 20 du 16/01/2020 </t>
  </si>
  <si>
    <t>BA EAU BAB 4/B</t>
  </si>
  <si>
    <t>Déjeuner formatrices</t>
  </si>
  <si>
    <t>Essui tout (4)</t>
  </si>
  <si>
    <t>Carte Noire 100 capsules</t>
  </si>
  <si>
    <t>Transport Médina le 23/01/2020</t>
  </si>
  <si>
    <t>SOTELMED Fact. N° 8150 du 20/01/20</t>
  </si>
  <si>
    <t>Essui tout 6</t>
  </si>
  <si>
    <t>IMPEC SERVICES cartouche HP 650 2 (noire et blanc)</t>
  </si>
  <si>
    <t>Transport formatrices MFPRSP</t>
  </si>
  <si>
    <t>Piles (1 GM + 1 PM)</t>
  </si>
  <si>
    <t>Déjeuner formatrice</t>
  </si>
  <si>
    <t>SALOUM PHARMA Fact. N° 002803 du 29/01/20</t>
  </si>
  <si>
    <t>Technologies Services fact. N° FA200307 du 29/01/20 abo. Fév.20</t>
  </si>
  <si>
    <t>Quincaillerie Keur Serigne Fallou Fac. N°0000003 du 29/01/20</t>
  </si>
  <si>
    <t>Dakin STAB 500 ML</t>
  </si>
  <si>
    <t>Transport Médina le 30/01/2020</t>
  </si>
  <si>
    <t>Eau de javel 1 kg et 1 balai</t>
  </si>
  <si>
    <t>3 -    BENEFICE MOIS DE JANVIER 2020 :</t>
  </si>
  <si>
    <t xml:space="preserve">CARDIOVIT AT 102 G2 : </t>
  </si>
  <si>
    <t>Kit Holter Standar AFT1000+A+Lecteur et accessoires :  Euros</t>
  </si>
  <si>
    <t>MAPA à moniteur intégré + 2 brassards (22 &amp; 26)  Euros</t>
  </si>
  <si>
    <t>Electrodes Holter ECG : Euros</t>
  </si>
  <si>
    <t xml:space="preserve">Lot de 5 sous-brassards  Euros </t>
  </si>
  <si>
    <t>Solde final fin JANVIER 2020 :</t>
  </si>
  <si>
    <t>N.B. : Les analyses offertes gracieusement au courant du mois de janv 2020:</t>
  </si>
  <si>
    <t>(DABLE SERVICES - 4.499.700)  Dépenses : 3.475.500 - Reste : 1.524.200</t>
  </si>
  <si>
    <t>(MEDILABO - 2.996.300)  Dépenses : 1.690.660  -  Reste : 1.305.640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</si>
  <si>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</si>
  <si>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</si>
  <si>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- Dr Ndèye Ndoumbé NGOM BA</t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</si>
  <si>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</si>
  <si>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FEVRIER 2020</t>
  </si>
  <si>
    <t>REPPORT SOLDE FINAL DE JANVIER 2020 :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</si>
  <si>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</si>
  <si>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</si>
  <si>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230.000 FRS -  40%  </t>
  </si>
  <si>
    <t>Transport Médina le 06/02/2020</t>
  </si>
  <si>
    <t xml:space="preserve">Pass pour logiciel </t>
  </si>
  <si>
    <t>Verre à jetter</t>
  </si>
  <si>
    <t>Technologies Services fact. N° FA200433</t>
  </si>
  <si>
    <t>Cachet Trodat fact. N° 000913 du 11/02/20 OPEN SERVICES</t>
  </si>
  <si>
    <t>Piles 3/P</t>
  </si>
  <si>
    <t>Transport Médina le 13/02/2020</t>
  </si>
  <si>
    <t>Cahier Recette / Dépenses</t>
  </si>
  <si>
    <t>Cartons draps d'examen (2)</t>
  </si>
  <si>
    <t>2 Essui tout</t>
  </si>
  <si>
    <t xml:space="preserve">Vane habillée + rouleau + main-d'œuvre </t>
  </si>
  <si>
    <t>ACCU-CHEK LANCET B/25</t>
  </si>
  <si>
    <t>Essui tout (10)</t>
  </si>
  <si>
    <t>Transport médina le 20/02/2020</t>
  </si>
  <si>
    <t>Piles CR 20 32 (4)</t>
  </si>
  <si>
    <t>Perfalgan AD INJ</t>
  </si>
  <si>
    <t>Scotch GM 100 ML F/1 (4)</t>
  </si>
  <si>
    <t>Compress LABELL STER 30x30 B</t>
  </si>
  <si>
    <t>Batterie AA (12/P</t>
  </si>
  <si>
    <t>Bache 3m x 1 + impression AZ numériques + corde</t>
  </si>
  <si>
    <t>SALOUM PHARMA Fact. N° 001/2020 SP du 17/02/20</t>
  </si>
  <si>
    <t>Cartouche HP 123 Noir</t>
  </si>
  <si>
    <t>Cartouche HP 123 couleur</t>
  </si>
  <si>
    <t>Désodorisants (3)</t>
  </si>
  <si>
    <t>SOTELMED N° 7750/19</t>
  </si>
  <si>
    <t>Liquide pour cafards</t>
  </si>
  <si>
    <t>Transport médina le 27/02/2020</t>
  </si>
  <si>
    <t>3 -    BENEFICE MOIS DE FEVRIER 2020 :</t>
  </si>
  <si>
    <t>Solde final fin FEVRIER 2020 :</t>
  </si>
  <si>
    <t>N.B. : Les analyses offertes gracieusement au courant du mois de Fév. 2020: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</si>
  <si>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</si>
  <si>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</si>
  <si>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</si>
  <si>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 xml:space="preserve">         </t>
  </si>
  <si>
    <t>RAPPORT FINANCIER DU MOIS DE MARS 2020</t>
  </si>
  <si>
    <t xml:space="preserve">REPPORT SOLDE FINAL DE FEVRIER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</si>
  <si>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</si>
  <si>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</si>
  <si>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60.000 FRS -  40%  </t>
  </si>
  <si>
    <t>IMPEC SERVICES 4 cartouches (2 noirs et 2 couleurs) HP 650</t>
  </si>
  <si>
    <t>20 paquets capsules de café</t>
  </si>
  <si>
    <t>Transport Médina</t>
  </si>
  <si>
    <t>Technologies Services Fact FA200798 du 09/03/2020 Ab. Mars</t>
  </si>
  <si>
    <t>Modulaire N 20 quincaillerie Khadim Rassoul</t>
  </si>
  <si>
    <t>Carte GSRH (1.000)</t>
  </si>
  <si>
    <t>Transport DMTA</t>
  </si>
  <si>
    <t>IMPEC SERVICES N° 0000316 50 ordonnanciers</t>
  </si>
  <si>
    <t>Transport Médina du 12/03/20</t>
  </si>
  <si>
    <t>Piles rechargeables + appareil</t>
  </si>
  <si>
    <t>SALOUM PHARMA BL N° 002805 du 04/03/2020</t>
  </si>
  <si>
    <t>Transport Laye dimanche 15/03/2020 aller et retour</t>
  </si>
  <si>
    <t>Ampoules (2)</t>
  </si>
  <si>
    <t>Aniverssaire</t>
  </si>
  <si>
    <t>Désodorisants (2)</t>
  </si>
  <si>
    <t>Incinération des déchets du laboratoire</t>
  </si>
  <si>
    <t>Déchets</t>
  </si>
  <si>
    <t>Déjeuner du vendredi 20/03/2020</t>
  </si>
  <si>
    <t>Remboursement MAPA (obésité)</t>
  </si>
  <si>
    <t>Cartouches (4) HP123  2 couleurs et 2 noirs</t>
  </si>
  <si>
    <t>PRA DAKAR gants LATEX (50/b) + Alcogel (50/flacons)</t>
  </si>
  <si>
    <t xml:space="preserve">PRA DAKAR gants LATEX (20/b) </t>
  </si>
  <si>
    <t>3 -    BENEFICE MOIS DE MARS 2020 :</t>
  </si>
  <si>
    <t>Solde final fin Mars 2020 :</t>
  </si>
  <si>
    <t>N.B. : Les analyses offertes gracieusement au courant du mois de Mars 2020:</t>
  </si>
  <si>
    <t>(DABLE SERVICES - 4.499.700)  Dépenses : 4.929.900 - Reste : 69.800</t>
  </si>
  <si>
    <t>(MEDILABO - 2.996.300)  Dépenses : 2.722.660  -  Reste : 273.640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</si>
  <si>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</si>
  <si>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</si>
  <si>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</si>
  <si>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D'AVRIL 2020</t>
  </si>
  <si>
    <t xml:space="preserve">REPPORT SOLDE FINAL DE MARS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</si>
  <si>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</si>
  <si>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</si>
  <si>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140.000 FRS -  40%  </t>
  </si>
  <si>
    <t>Transport Médina du 01/04/2020</t>
  </si>
  <si>
    <t>Journeaux du mois de Mars 2020</t>
  </si>
  <si>
    <t>Journeaux 2 jours (01 et 02  2020)</t>
  </si>
  <si>
    <t>Technologies Services Fact FA201159 du 23/03/2020</t>
  </si>
  <si>
    <t>Technologies Services Fact FA201382 du 01/04/2020</t>
  </si>
  <si>
    <t>SALOUM PHARMA Fact. N° 003/2020/SP du 13/03/20</t>
  </si>
  <si>
    <t>1 paquet de sucre</t>
  </si>
  <si>
    <t>Comprese (7 x 200)</t>
  </si>
  <si>
    <t>Transport médina du 09/04/2020</t>
  </si>
  <si>
    <t>Technomogies services Fact. N° FA200917 du 12/03/2020</t>
  </si>
  <si>
    <t>BAEAUBAB (3/B)</t>
  </si>
  <si>
    <t>Transport Médina le 16/04/2020</t>
  </si>
  <si>
    <t>Masque (25) + transport</t>
  </si>
  <si>
    <t>Débouchage fosse septique</t>
  </si>
  <si>
    <t>Transport Médina le 23/04/2020</t>
  </si>
  <si>
    <t>Matériel de soins pour le CMSFP des sphères ministérielles</t>
  </si>
  <si>
    <t>Masques FFP2 (5)</t>
  </si>
  <si>
    <t>Bétadine Scrub 500 ml + Sérum salé 500 ml + compress 3/B</t>
  </si>
  <si>
    <t xml:space="preserve">Robinet labo + main d'œuvre </t>
  </si>
  <si>
    <t>Piles 4/B</t>
  </si>
  <si>
    <t>Transport Médina le30/04/2020</t>
  </si>
  <si>
    <t>3 -    BENEFICE MOIS D'AVRIL 2020 :</t>
  </si>
  <si>
    <t>Solde final fin Avril 2020 :</t>
  </si>
  <si>
    <t>N.B. : Les analyses offertes gracieusement au courant du mois d'Avril 2020:</t>
  </si>
  <si>
    <t>(DABLE SERVICES - 4.999.700)  Dépenses : 4.999.700</t>
  </si>
  <si>
    <t>On reste devoir à DABLE SERVICES un montant de 275.450 Francs</t>
  </si>
  <si>
    <t>(MEDILABO - 2.996.300)  Dépenses : 2.752.660  -  Reste : 243.640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</si>
  <si>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</si>
  <si>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</si>
  <si>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</si>
  <si>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MAI 2020</t>
  </si>
  <si>
    <t xml:space="preserve">REPPORT SOLDE FINAL MOIS D'AVRIL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</si>
  <si>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</si>
  <si>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</si>
  <si>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135.000 FRS -  40%  </t>
  </si>
  <si>
    <t>Masques FFP2 (20)</t>
  </si>
  <si>
    <t>Masques visière (2) F. DELTA MEDICAL</t>
  </si>
  <si>
    <t>Transport Médina le 07/05/2020</t>
  </si>
  <si>
    <t xml:space="preserve">Technologies Services Fact. N° FA201677 du 04/05/20 </t>
  </si>
  <si>
    <t>abonnement HbA1C</t>
  </si>
  <si>
    <t>SOTELMED F. N° 8259/20 DU 23/03/20 décaissé par Laye)</t>
  </si>
  <si>
    <t>SOTELMED F. N° 8296/20 DU 04/05/20 (décaissé par Laye)</t>
  </si>
  <si>
    <t>Réparation Moto matériel + main d'œuvre (décaissé par Laye)</t>
  </si>
  <si>
    <t>Cachet trodat pour CMSFP Sphères M. Ousmane T. Dieng</t>
  </si>
  <si>
    <t>Masques visières (15)</t>
  </si>
  <si>
    <t>Transport Médina le 14/05/2020</t>
  </si>
  <si>
    <t>SALOUM PHARMA fact. N° 005/2020/SP du 04/05/2020</t>
  </si>
  <si>
    <t>Achat robinet toilettes + main-d'œuvre</t>
  </si>
  <si>
    <t>Achat adaptateur AC/DC 6V2A pour appareil tensiomètre</t>
  </si>
  <si>
    <t>Transport ravitaillement MFPRSP le 22/05/20</t>
  </si>
  <si>
    <t>Transport Médina ravitaillement le 22/05/20</t>
  </si>
  <si>
    <t>COLY transport MSAS</t>
  </si>
  <si>
    <t>Transport Médina le 28/05/20</t>
  </si>
  <si>
    <t>3 -    BENEFICE MOIS DE MAI 2020 :</t>
  </si>
  <si>
    <t>Solde final fin Mai 2020 :</t>
  </si>
  <si>
    <t>N.B. : Les analyses offertes gracieusement au courant du mois de Mai 2020: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</si>
  <si>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</si>
  <si>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</si>
  <si>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</si>
  <si>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JUIN 2020</t>
  </si>
  <si>
    <t xml:space="preserve">REPPORT SOLDE FINAL MOIS DE MAI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</si>
  <si>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</si>
  <si>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</si>
  <si>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110.000 FRS -  60%  </t>
  </si>
  <si>
    <t>Transport MFPRSP (produits d'entretien)</t>
  </si>
  <si>
    <t>Transport Paul</t>
  </si>
  <si>
    <t>Poire à lavement pour Diamniadio</t>
  </si>
  <si>
    <t>Transport Médina le 04/06/20</t>
  </si>
  <si>
    <t>Transport produits d'entretien médina</t>
  </si>
  <si>
    <t>CONSOMED Fact. N° 4405/20 du 25/06/20 (compress)</t>
  </si>
  <si>
    <t>Cartes GRSH (1 000)</t>
  </si>
  <si>
    <t>Modulaire climatiseur bureau Assistance Sociale</t>
  </si>
  <si>
    <t>1 grosse sucre</t>
  </si>
  <si>
    <t>2 Cartons draps d'examen</t>
  </si>
  <si>
    <t>Transport médina le 11/06/20</t>
  </si>
  <si>
    <t>Transport table médina</t>
  </si>
  <si>
    <t>SALOUM PHARMA F. N° 0002/2020/SP du 02/06/20</t>
  </si>
  <si>
    <t>CONSOMED Fact. N° 4404/20 du 08/06/20</t>
  </si>
  <si>
    <t>Technologie Services N°FA202084 du 16/06/2020</t>
  </si>
  <si>
    <t>Menuisier Masse DIENG réparation et entretien mobilier de bur.</t>
  </si>
  <si>
    <t>Verres à jetter + Piles (4)</t>
  </si>
  <si>
    <t>Poignets, vis etc…</t>
  </si>
  <si>
    <t>Transport Médina le 18/06/20</t>
  </si>
  <si>
    <t>CONSOMED Compress F. N° 4405/20 du 25/06/20</t>
  </si>
  <si>
    <t>SOTELMED F. n° 8335/20 du 08/06/20</t>
  </si>
  <si>
    <t>SALOUM PHARMA F. N° 006/2020/SP du 12/06/20</t>
  </si>
  <si>
    <t>SALOUM PHARMA F. N° 006/2020/SP du 15/06/20</t>
  </si>
  <si>
    <t>ASMA MEDIC N° F. Juin15 du 2206/20</t>
  </si>
  <si>
    <t>Transport Médina le 25/06/2020</t>
  </si>
  <si>
    <t>Piles PM (4)</t>
  </si>
  <si>
    <t>Technologie Services N°FA202141 du 22/06/2020</t>
  </si>
  <si>
    <t>SALOUM PHARMA F. N° 002811 du 23/06/2020</t>
  </si>
  <si>
    <t>SALOUM PHARMA F.N° 002811 du 23/06/2020</t>
  </si>
  <si>
    <t>SOTELMED F. n° 8357/20 du 19/06/20</t>
  </si>
  <si>
    <t>Cartouche photocopieuse + transport</t>
  </si>
  <si>
    <t xml:space="preserve">Robinet lavabo secrétariat </t>
  </si>
  <si>
    <t>3 -    BENEFICE MOIS DE JUIN 2020 :</t>
  </si>
  <si>
    <t>Solde final fin Juin 2020 :</t>
  </si>
  <si>
    <t>2.996.300</t>
  </si>
  <si>
    <t xml:space="preserve"> On reste devoir à MEDILABO un montant de 819.520 Francs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</si>
  <si>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</si>
  <si>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</si>
  <si>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 BA</t>
    </r>
  </si>
  <si>
    <t>RAPPORT FINANCIER DU MOIS DE JUILLET 2020</t>
  </si>
  <si>
    <t xml:space="preserve">REPPORT SOLDE FINAL MOIS DE JUIN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</si>
  <si>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</si>
  <si>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</si>
  <si>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200.000 FRS -  60%  </t>
  </si>
  <si>
    <t>SALOUM PHARMAF. N° 006/2020 du 23/06/2020</t>
  </si>
  <si>
    <t>Piles Coffre</t>
  </si>
  <si>
    <t>BA EAU BAB 1/B pour Diamniadio</t>
  </si>
  <si>
    <t>Transport Médina le 02/07/2020</t>
  </si>
  <si>
    <t>Technologies services F. N° FA 202308 du 02/07/2020</t>
  </si>
  <si>
    <t xml:space="preserve">Verre à jetter </t>
  </si>
  <si>
    <t>BA EAU BAB 3/B + consignation</t>
  </si>
  <si>
    <t>Piles tensiomètre (4)</t>
  </si>
  <si>
    <t>Transport médina le 09/07/2020</t>
  </si>
  <si>
    <t>Eau distillée (12/B) F. N° 000057 du 10/07/20</t>
  </si>
  <si>
    <t>SALOUM PHARMAF. N° 006/2020 du 15/06/2020</t>
  </si>
  <si>
    <t>SOTELMED n) 8388/20 du 09/07/20</t>
  </si>
  <si>
    <t>(Kit groupage sanguin)</t>
  </si>
  <si>
    <t>Pantalon Abass</t>
  </si>
  <si>
    <t>Lancettes GSRH</t>
  </si>
  <si>
    <t>2 cordons téléphone</t>
  </si>
  <si>
    <t>Transport Sangoné DIOP</t>
  </si>
  <si>
    <t>Transport médina le 16/078/20</t>
  </si>
  <si>
    <t>SOTELMED F. N° 8393/20 du 14/07/2020</t>
  </si>
  <si>
    <t>Piles MAPA (4)</t>
  </si>
  <si>
    <t>10 solutions hydroalcooliques</t>
  </si>
  <si>
    <t>Balai (2)</t>
  </si>
  <si>
    <t xml:space="preserve">Serrure toilettes + main d'œuvre </t>
  </si>
  <si>
    <t>Transport Médina le 30/07/20</t>
  </si>
  <si>
    <t>Transport médina (aller et retour)</t>
  </si>
  <si>
    <t>Achat serrure médina + transport aller et retour</t>
  </si>
  <si>
    <t>3 -    BENEFICE MOIS DE JUILLET 2020 :</t>
  </si>
  <si>
    <t xml:space="preserve">CDSA F. N° F0241/2020 du 28/07/20 Ionogramme sanguin </t>
  </si>
  <si>
    <t>CDSA F. N° F0241/2020 du 20/07/20Centrifugeuse 12 trous</t>
  </si>
  <si>
    <t>Solde final fin Juillet 2020 :</t>
  </si>
  <si>
    <t>(DABLE SERVICES - 4.999.700)  Dépenses : 332.450 Reste : 4667250</t>
  </si>
  <si>
    <t>(MEDILABO - 2.999.800) Dépenses : 1.137.020 Reste : 1.862.780</t>
  </si>
  <si>
    <t>BE 20-113976 Mandat 20-031308 du 10/06/2020 Montant 2.999.800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</si>
  <si>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</si>
  <si>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</si>
  <si>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</si>
  <si>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D'AOÛT 2020</t>
  </si>
  <si>
    <t xml:space="preserve">REPPORT SOLDE FINAL MOIS DE JUILLET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</si>
  <si>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</si>
  <si>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</si>
  <si>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185.000 FRS -  60%  </t>
  </si>
  <si>
    <t>BA EAU BAB 2/B</t>
  </si>
  <si>
    <t>MJC draps d'examen 2 cartons</t>
  </si>
  <si>
    <t>Réparation carte mémoire imprimante</t>
  </si>
  <si>
    <t>Piles pour MAPA</t>
  </si>
  <si>
    <t>Technicien THIOMBANE</t>
  </si>
  <si>
    <t>Electrodes ECG 2 boîtes de 50</t>
  </si>
  <si>
    <t>SALBUTAMOL ARROW 5 mg</t>
  </si>
  <si>
    <t>Transport Médina le 06/08/2020</t>
  </si>
  <si>
    <t>Ampoule chambre gardien</t>
  </si>
  <si>
    <t>SALOUM PHARMA F. N° 002813 du 17/07/2020</t>
  </si>
  <si>
    <t>SALOUM PHARMAF. N° 002814 du 20/07/2020</t>
  </si>
  <si>
    <t>SOTELMED n° 841120 du 23/07/2020</t>
  </si>
  <si>
    <t>Technologies Services FA841120 du 29/07/20</t>
  </si>
  <si>
    <t>Transport Médina (laye et matériel médical) le 13/08/2020</t>
  </si>
  <si>
    <t>Ampoule bureau El Hadj</t>
  </si>
  <si>
    <t>Multi-prise</t>
  </si>
  <si>
    <t>SALOUM PHARMA fact. N° 002815 du 05/08/2020</t>
  </si>
  <si>
    <t>Transport médina le 20/08/2020</t>
  </si>
  <si>
    <t>Verres à jetter 5/P 50</t>
  </si>
  <si>
    <t>Transport samedi et dimanche Laye DIOP</t>
  </si>
  <si>
    <t>Transport masques MSAS aller et retour</t>
  </si>
  <si>
    <t>Solution hydroalcoolique 17/B</t>
  </si>
  <si>
    <t>Piles Othoscope</t>
  </si>
  <si>
    <t>Transport médina le 27/08/2020</t>
  </si>
  <si>
    <t>Water Lab eau distillée de qualité bidon de 5 litres</t>
  </si>
  <si>
    <t>3 -    BENEFICE MOIS D'AOÛT 2020 :</t>
  </si>
  <si>
    <t>1 Fauteuil dentaire</t>
  </si>
  <si>
    <t>Solde final fin Août 2020 :</t>
  </si>
  <si>
    <t>N.B. : Les analyses offertes gracieusement au courant du mois d'Août 2020:</t>
  </si>
  <si>
    <t>DABLE SERVICES - 4.999.700  Dépenses : 1.457.500 Reste : 3.542.200</t>
  </si>
  <si>
    <t>MEDILABO-2.999.800 Dépenses : 1.137.020 Reste : 1.862.780</t>
  </si>
  <si>
    <t>MEDILABO-2.999.800-Dépenses : 1.888.020 Reste : 1.111.280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</si>
  <si>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</si>
  <si>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</si>
  <si>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</si>
  <si>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SEPTEMBRE 2020</t>
  </si>
  <si>
    <t xml:space="preserve">REPPORT SOLDE FINAL MOIS D'AOÛT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</si>
  <si>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</si>
  <si>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</si>
  <si>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Sérum SS</t>
  </si>
  <si>
    <t>Transport Méina le 03/09/2020</t>
  </si>
  <si>
    <t>Serure Labo + main d'œuvre</t>
  </si>
  <si>
    <t>Technologies Services FA202958 du 07/09/20</t>
  </si>
  <si>
    <t>Transport médina le 10/09/2020</t>
  </si>
  <si>
    <t xml:space="preserve">Rechange pièce scanner et main d'œuvre </t>
  </si>
  <si>
    <t xml:space="preserve">SALOUM PHARMA F. N° 002816 du 10/09/2020 </t>
  </si>
  <si>
    <t>Technologies Services FA202791 du 27/08/20</t>
  </si>
  <si>
    <t>3/HbA1C</t>
  </si>
  <si>
    <t>Transport Médina le 17/09/2020</t>
  </si>
  <si>
    <t>Piles 4</t>
  </si>
  <si>
    <t>Vernis à ongles pour Test d'Emel</t>
  </si>
  <si>
    <t>Aliment souris</t>
  </si>
  <si>
    <t>Transport médina le 24/09/2020</t>
  </si>
  <si>
    <t>IMPEC-SERVICES F. n° 350 du 25/9/20 sachets LABO (500)</t>
  </si>
  <si>
    <t>SOTELMED F. N° 8476 du 16/09/2020</t>
  </si>
  <si>
    <t>Technologies Services F. N° FA203383 du 30/09/20</t>
  </si>
  <si>
    <t>3 -    BENEFICE MOIS DE SEPTEMBRE 2020 :</t>
  </si>
  <si>
    <t>Solde final fin Septembre 2020 :</t>
  </si>
  <si>
    <t>N.B. : Les analyses offertes gracieusement au courant du mois Sep 2020:</t>
  </si>
  <si>
    <t>DABLE SERVICES - 4.999.700  Dépenses : 1.580.000 Reste : 2.919.700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</si>
  <si>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</si>
  <si>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</si>
  <si>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</si>
  <si>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D'OCTOBRE 2020</t>
  </si>
  <si>
    <t xml:space="preserve">REPPORT SOLDE FINAL MOIS DE SEPTEMBRE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</si>
  <si>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</si>
  <si>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</si>
  <si>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170.000 FRS -  60%  </t>
  </si>
  <si>
    <t>Transport Médina le 01/10/2020</t>
  </si>
  <si>
    <t>Transport Ministère (repas)</t>
  </si>
  <si>
    <t>Classeur transparent (Labo)</t>
  </si>
  <si>
    <t>2 cartons draps d'examen</t>
  </si>
  <si>
    <t>Transport Médina 08/10/2020</t>
  </si>
  <si>
    <t>Piles GM (4) et PM (4)</t>
  </si>
  <si>
    <t>Transport Médina le 15/10/2020</t>
  </si>
  <si>
    <t>SALOUM PHARMA F. N° 002817 Ddu 01/10/2020</t>
  </si>
  <si>
    <t xml:space="preserve">Dakin </t>
  </si>
  <si>
    <t>Eau déminéralisée 5 litres</t>
  </si>
  <si>
    <t>Transport Médina le 22/10/2020</t>
  </si>
  <si>
    <t>ASMA MEDIC F.N° OCT. 19 du 20/10/20</t>
  </si>
  <si>
    <t>SOTELMED F. N° 8497 du 01/10/2020 BL N° 8857 &amp; 8295</t>
  </si>
  <si>
    <t>Matériel réparation magasin + main d'œuvre</t>
  </si>
  <si>
    <t>Verre à jetter (100)</t>
  </si>
  <si>
    <t>Technologies Serv. F. N° FA203557 du 23/09/2020</t>
  </si>
  <si>
    <t xml:space="preserve">Achat serrure toilettes </t>
  </si>
  <si>
    <t>Technologies Serv. F. N° FA203827 du 29/10/2020</t>
  </si>
  <si>
    <t>SALOUM PHARMA F. N° 002817 DU 19/10/2020</t>
  </si>
  <si>
    <t>SOTELMED F. N° 8512 du 12/10/2020 BL N° 8862</t>
  </si>
  <si>
    <t>3 -    BENEFICE MOIS D'OCTOBRE 2020 :</t>
  </si>
  <si>
    <t>Solde final fin Octobre 2020 :</t>
  </si>
  <si>
    <t>N.B. : Les analyses offertes gracieusement au courant du mois d'oct. 2020:</t>
  </si>
  <si>
    <t>DABLE SERVICES - 4.999.700  Dépenses : 2.097.500 Reste : 2.902.200</t>
  </si>
  <si>
    <t>MEDILABO-2.999.800-Dépenses : 2.921.020 Reste : 78.780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</si>
  <si>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</si>
  <si>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</si>
  <si>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</si>
  <si>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NOVEMBRE 2020</t>
  </si>
  <si>
    <t xml:space="preserve">REPPORT SOLDE FINAL MOIS D'OCTOBRE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</si>
  <si>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</si>
  <si>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</si>
  <si>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75.000 FRS -  60%  </t>
  </si>
  <si>
    <t>Piles 4/P</t>
  </si>
  <si>
    <t xml:space="preserve">Fiches (2) pour appareil Labo + main-d'œuvre </t>
  </si>
  <si>
    <t>SOTELMED BL N° 8612 F.N° 8553</t>
  </si>
  <si>
    <t xml:space="preserve">SALOUM PHARMA BLN° 002818 du 27/10/20 FN° 002818 </t>
  </si>
  <si>
    <t>Transport médina et Trésor le 06/11/2020</t>
  </si>
  <si>
    <t>PERFALGAN (5)</t>
  </si>
  <si>
    <t>DIAZEPAM RENAUDIN 10MG</t>
  </si>
  <si>
    <t>Piles 20 boîtes de 4 (80)</t>
  </si>
  <si>
    <t>Tranport week-end Laye</t>
  </si>
  <si>
    <t>Bétadine Rouge</t>
  </si>
  <si>
    <t>Sérum salé</t>
  </si>
  <si>
    <t>Transport médina le 13/11/2020</t>
  </si>
  <si>
    <t xml:space="preserve">Transport Bernadette </t>
  </si>
  <si>
    <t xml:space="preserve">Robinet + main d'œuvre </t>
  </si>
  <si>
    <t>Transport médina le 20/110/2020</t>
  </si>
  <si>
    <t>SOTELMED BL N° 8885 F.N° 8591 du 16/11/20</t>
  </si>
  <si>
    <t>SALOUM PHARMA Fact. N° 002819 du 16/11/20</t>
  </si>
  <si>
    <t xml:space="preserve">Thermomètre </t>
  </si>
  <si>
    <t>Transport médina le 26/112020</t>
  </si>
  <si>
    <t>CONSOMED F. N° 4404/20 du 25/11/2020</t>
  </si>
  <si>
    <t>DSA F. N° F0401/2020 du 17/11/2020</t>
  </si>
  <si>
    <t>3 -    BENEFICE MOIS DE NOVEMBRE 2020 :</t>
  </si>
  <si>
    <t>Confection 2 portes vitrées</t>
  </si>
  <si>
    <t>Solde final fin Novembre 2020 :</t>
  </si>
  <si>
    <t>N.B. : Les analyses offertes gracieusement au courant du mois de nov. 2020:</t>
  </si>
  <si>
    <t>DABLE SERVICES - 4.999.700  Dépenses : 2.971.200 Reste : 2.308.200</t>
  </si>
  <si>
    <t>MEDILABO-2.999.800-Dépenses : 2.985.920 Reste : 13.880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</si>
  <si>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</si>
  <si>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</si>
  <si>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</si>
  <si>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DECEMBRE 2020</t>
  </si>
  <si>
    <t xml:space="preserve">REPPORT SOLDE FINAL MOIS NOVEMBRE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</si>
  <si>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</si>
  <si>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</si>
  <si>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140.000 FRS -  60%  </t>
  </si>
  <si>
    <t>Technologie Services F.N° FA204385 Abon. Déc. Du 01/12/20</t>
  </si>
  <si>
    <t>SALOUM PHARMA F. N° 002820 du 02/12/20</t>
  </si>
  <si>
    <t>Transport Médina du 03/12/20</t>
  </si>
  <si>
    <t>SOTELMED BL 8894 - 8623 - 8900 du 03/12/2020</t>
  </si>
  <si>
    <t>AZANTOC injectable</t>
  </si>
  <si>
    <t>Transport CBM réception Equipement Labo</t>
  </si>
  <si>
    <t>Sérum salé 500ML</t>
  </si>
  <si>
    <t>Verre à jetter 5/P</t>
  </si>
  <si>
    <t>100 carnets ordonnancier (50 médina, 50 rue moussé Diop)</t>
  </si>
  <si>
    <t xml:space="preserve">MEDILABO BL N° 7513 reliquat du 09/12/20 </t>
  </si>
  <si>
    <t>MEDILABO BL N° 7490 du 04/12/20</t>
  </si>
  <si>
    <t>SALOUM PHARMA BL N° 002821 du 10/12/20</t>
  </si>
  <si>
    <t>Colles souris 5/P</t>
  </si>
  <si>
    <t>Transport médina du 17/12/20</t>
  </si>
  <si>
    <t>Electrodes ECG 6/P</t>
  </si>
  <si>
    <t>Essui tout 13/P</t>
  </si>
  <si>
    <t>SOTELMED F N° 8655/20 BL N° 8706 DU 2112/20</t>
  </si>
  <si>
    <t>SALOUM PHARMA BL N° 002822 F N° 012/2020/SP du 23/12/20</t>
  </si>
  <si>
    <t>Transport Médina du 24/12/2020</t>
  </si>
  <si>
    <t>Transport week-end Laye</t>
  </si>
  <si>
    <t>Cartes GSRH / 1000</t>
  </si>
  <si>
    <t>Transport Médina le 29/12/2020</t>
  </si>
  <si>
    <t>2 Cartons de draps d'examen</t>
  </si>
  <si>
    <t>SALOU PHARMA F N° 002823 du 28/12/20</t>
  </si>
  <si>
    <t>3 -    BENEFICE MOIS DE DECEMBRE 2020 :</t>
  </si>
  <si>
    <t>Supplément acquisition d'un équipement de chirurgie dentaire</t>
  </si>
  <si>
    <t xml:space="preserve">Confection paillasse Labo </t>
  </si>
  <si>
    <t>Solde final fin Décembre 2020 :</t>
  </si>
  <si>
    <t>N.B. : Les analyses offertes gracieusement au courant du mois de déc. 2020:</t>
  </si>
  <si>
    <t>Pour les Agents de l'Etat (2)</t>
  </si>
  <si>
    <t>Pour les non agents de l'Etat (6)</t>
  </si>
  <si>
    <t>DABLE SERVICES - 4.999.700  Dépenses : 2.691.000 Reste : 2.308.200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</si>
  <si>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</si>
  <si>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</si>
  <si>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</si>
  <si>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JANVIER 2021</t>
  </si>
  <si>
    <t xml:space="preserve">REPPORT SOLDE FINAL MOIS DE DECEMBRE 2020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</si>
  <si>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</si>
  <si>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</si>
  <si>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180.000 FRS -  60%  </t>
  </si>
  <si>
    <t>Pompe cafards et poudre</t>
  </si>
  <si>
    <t>Livreur pour réactifs labo</t>
  </si>
  <si>
    <t>Pots urine stérilisés sachet de 100 en PP</t>
  </si>
  <si>
    <t>Poison pour souris</t>
  </si>
  <si>
    <t>Transport médina le 07/01/2021</t>
  </si>
  <si>
    <t>Verres à jetter 5/P</t>
  </si>
  <si>
    <t>BA EAU BAB4/B</t>
  </si>
  <si>
    <t>CONSOMED Fact. N° 4430/21 du 12/01/2021</t>
  </si>
  <si>
    <t>DELTA MEDICAL 3 adaptateurs</t>
  </si>
  <si>
    <t>SALOUM PHARMA BL N° 002824 réf. 001/2021/SP</t>
  </si>
  <si>
    <t>Transport médina le 14/01/2021</t>
  </si>
  <si>
    <t xml:space="preserve">Ampoule toilettes </t>
  </si>
  <si>
    <t>Transport médina le 21/01/2021</t>
  </si>
  <si>
    <t>SALOUM PHARMA BL N° 002825 réf. 001/2021/SP</t>
  </si>
  <si>
    <t>Piles PM 3/B</t>
  </si>
  <si>
    <t xml:space="preserve">Eosine </t>
  </si>
  <si>
    <t>Technologies Services FA204830 du 31/12/2020 abonnement Janv. 21</t>
  </si>
  <si>
    <t>Médicaments pour Diamniadio</t>
  </si>
  <si>
    <t>Dakin stabilisée 500 ML (1/B)</t>
  </si>
  <si>
    <t>Water Lab 5 Litres (3 bidons)</t>
  </si>
  <si>
    <t>SOTELMED FAC/2021/01/0041 du 25/01/2021</t>
  </si>
  <si>
    <t>Transport Médina le 28/01/2021</t>
  </si>
  <si>
    <t>Liquide cafards</t>
  </si>
  <si>
    <t>MEDILABO facture F2101057 du 14/01/2021</t>
  </si>
  <si>
    <t>Transport Laye week-end aller et retour</t>
  </si>
  <si>
    <t>3 -    BENEFICE MOIS DE JANVIER 2021 :</t>
  </si>
  <si>
    <t>Solde final fin Janvier 2021 :</t>
  </si>
  <si>
    <t>N.B. : Les analyses offertes gracieusement au courant du mois de janv. 2021:</t>
  </si>
  <si>
    <t>Pour les Agents de l'Etat (1)</t>
  </si>
  <si>
    <t>Pour les non agents de l'Etat (5)</t>
  </si>
  <si>
    <t>DABLE SERVICES - 4.999.700  Dépenses : 3.146.500 Reste : 1.853.200</t>
  </si>
  <si>
    <t>MEDILABO-2.999.800-Dépenses : 2.999.800 Reste : 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</si>
  <si>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</si>
  <si>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</si>
  <si>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</si>
  <si>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FEVRIER 2021</t>
  </si>
  <si>
    <t xml:space="preserve">REPPORT SOLDE FINAL MOIS DE JANVIER 2021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</si>
  <si>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</si>
  <si>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</si>
  <si>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210.000 FRS -  60%  </t>
  </si>
  <si>
    <t>BSN Médical Facture N° 34 du 01/02/2021</t>
  </si>
  <si>
    <t>DSA BL N° 0063/2021 facture N° 0063/2021 du 01/02/21</t>
  </si>
  <si>
    <t>Remboursement montant analyses biologiques</t>
  </si>
  <si>
    <t>Piles GM 4</t>
  </si>
  <si>
    <t>Transport médina le 04/02/21</t>
  </si>
  <si>
    <t xml:space="preserve">Essui tout 8 rouleaux </t>
  </si>
  <si>
    <t>Cartes GSRH / 1 000</t>
  </si>
  <si>
    <t>Cachet Médecin Diamniadio</t>
  </si>
  <si>
    <t>SOTELMED Fact. N° FAC/2021/01/0048 du 29/01/21</t>
  </si>
  <si>
    <t>MEDILABO BL N° 7705 F2101093 du 26/01/21</t>
  </si>
  <si>
    <t>MEDILABO BL N° 7730 F2102006 du 01/02/21</t>
  </si>
  <si>
    <t>DELTA MEDICAL 2 Cartons de draps d'examen (12 x 6000)</t>
  </si>
  <si>
    <t>Transport DELTA MEDICAL</t>
  </si>
  <si>
    <t>Technologies Services FA210554 du 05/02/21 (HbA1C)</t>
  </si>
  <si>
    <t>Informaticien réparation ordinateurs</t>
  </si>
  <si>
    <t>Piles GM 2</t>
  </si>
  <si>
    <t>Trabar injection</t>
  </si>
  <si>
    <t>Transport Médina le 11/02/2021</t>
  </si>
  <si>
    <t>SALOUM PHARMA BLN° 002825 Réf002/2021/SP du 09/02</t>
  </si>
  <si>
    <t>Bétadine Scrub Rouge FL/125M</t>
  </si>
  <si>
    <t>Genpar 1g/3 + compresses</t>
  </si>
  <si>
    <t>DELTA MEDICAL FACTURE N° FC 244666 du 12/02/21</t>
  </si>
  <si>
    <t>Timbre facture DELTA MEDICAL du 12/02/21</t>
  </si>
  <si>
    <t>Piles Moyennes 3/B</t>
  </si>
  <si>
    <t>Tansport médina du 18/02/2021</t>
  </si>
  <si>
    <t>MEDILABO F2102048 du 10/02/21</t>
  </si>
  <si>
    <t>SALOUM PHARMA BL N° 002826 F. N° 002826</t>
  </si>
  <si>
    <t>SOTELMED Fact. N° FAC/2021/02/0045 du 18/02/21</t>
  </si>
  <si>
    <t>Solution Hydroalcoolique carton 20/B</t>
  </si>
  <si>
    <t>Menusier main-d'œuvre réparatrion + matériel</t>
  </si>
  <si>
    <t>Transport formation test COVID19 aller et retour</t>
  </si>
  <si>
    <t>Bétadine rouge + Dakin</t>
  </si>
  <si>
    <t>Canul de Guedel n° 1, n° 2 et lunettes à oxygène</t>
  </si>
  <si>
    <t>17 Essui tout et 20 sachets poubelle + transport</t>
  </si>
  <si>
    <t>BE EAU BAB 4/B</t>
  </si>
  <si>
    <t xml:space="preserve">Electricien (installation réfrigérateur chaîne de vaccination Unité </t>
  </si>
  <si>
    <t>mère-enfant) CMSFP médina</t>
  </si>
  <si>
    <t>Transport Médina le 25/02/2021</t>
  </si>
  <si>
    <t>Matériel entretien menuiserie</t>
  </si>
  <si>
    <t>SALOUM PHAARMA BL et F. N° 002827 du 23/025/21</t>
  </si>
  <si>
    <t>Gants 1 carton/10 B</t>
  </si>
  <si>
    <t xml:space="preserve">Peinture + diluant + main-d'œuvre </t>
  </si>
  <si>
    <t>3 -    BENEFICE MOIS DE FEVRIER 2021 :</t>
  </si>
  <si>
    <t>Réhabilitation d'une paillasse au niveau du Laboatoire</t>
  </si>
  <si>
    <t>Solde final fin Février 2021 :</t>
  </si>
  <si>
    <t>N.B. : Les analyses offertes gracieusement au courant du mois de fév. 2021:</t>
  </si>
  <si>
    <t>Pour les Agents de l'Etat (3)</t>
  </si>
  <si>
    <t>Pour les non agents de l'Etat (11)</t>
  </si>
  <si>
    <t>DABLE SERVICES - 4.999.700  Dépenses : 4.216.500 Reste : 783.200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</si>
  <si>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</si>
  <si>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</si>
  <si>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</si>
  <si>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MARS 2021</t>
  </si>
  <si>
    <t xml:space="preserve">REPPORT SOLDE FINAL MOIS DE FEVRIER 2021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</si>
  <si>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</si>
  <si>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</si>
  <si>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Entretien Menuiserie</t>
  </si>
  <si>
    <t>CONSOMED F. N° 4425/21 du 01/03/2021</t>
  </si>
  <si>
    <t>Confection blouses et uniforme (1 uniforme vigile + 4 blouses)</t>
  </si>
  <si>
    <t xml:space="preserve">Pake kirène PM </t>
  </si>
  <si>
    <t>Transport médina le 04/03/2021</t>
  </si>
  <si>
    <t>Technologies Service fact. N° FA210900 du 01/03/2021</t>
  </si>
  <si>
    <t>Technologies Service fact. N° FA210911 du 01/03/2021</t>
  </si>
  <si>
    <t>Transport médina le 11/03/2021</t>
  </si>
  <si>
    <t>IMPEC SERVICES 5 cartouches imprimante Labo</t>
  </si>
  <si>
    <t>Eau de javel grain + balai</t>
  </si>
  <si>
    <t>CONSOMED F. N° 4475/21</t>
  </si>
  <si>
    <t>Transport vaccin COVID-19</t>
  </si>
  <si>
    <t xml:space="preserve">Remboursement analyses biologiques FT3, FT4, TSH </t>
  </si>
  <si>
    <t>Tansport médina le 18/03/2021</t>
  </si>
  <si>
    <t>Technologies Services FA211150 du 11/03/2021</t>
  </si>
  <si>
    <t>MEDILABO F2102118 du 26/02/2021</t>
  </si>
  <si>
    <t>Multi-prise (2)</t>
  </si>
  <si>
    <t>Livre Recettes-Dépenses</t>
  </si>
  <si>
    <t>Débouchoir</t>
  </si>
  <si>
    <t>Remboursement FT4</t>
  </si>
  <si>
    <t>2 Encres Ricoh MP 2014 photocopieuse</t>
  </si>
  <si>
    <t>Remboursement TSH et FT4</t>
  </si>
  <si>
    <t>SOTELMED FAC/2021/03/0032 du 09/03/2021</t>
  </si>
  <si>
    <t>SOTELMED FAC/2021/03/0033 du 09/03/2021</t>
  </si>
  <si>
    <t>SALOUM PHARMA BL N° 002827 Réf. 003/2021/SP du 22/03/2021</t>
  </si>
  <si>
    <t>CONSOMED N° 4410/21 du 29/03/2021</t>
  </si>
  <si>
    <t>Matériel plomberie F. Wakeur Serigne Fallou N° 245 et 247 du 29/321</t>
  </si>
  <si>
    <t>Main-d'œuvre plombier</t>
  </si>
  <si>
    <t>Piles GM et PM 4/B</t>
  </si>
  <si>
    <t>Sachets PM pour Infirmerie</t>
  </si>
  <si>
    <t>IMPEC SERVICES F. N° 0000390 du 30/03/21 50 carnets ordonnanciers</t>
  </si>
  <si>
    <t>Entretien photocopieuse</t>
  </si>
  <si>
    <t xml:space="preserve">2 Bassines GM </t>
  </si>
  <si>
    <t xml:space="preserve">Transport Médina </t>
  </si>
  <si>
    <t>CONSOMED F. N° 4459/21</t>
  </si>
  <si>
    <t>3 -    BENEFICE MOIS DE MARS 2021 :</t>
  </si>
  <si>
    <t>Solde final fin Mars 2021 :</t>
  </si>
  <si>
    <t>N.B. : Les analyses offertes gracieusement au courant du mois de mars 2021:</t>
  </si>
  <si>
    <t>Pour les non agents de l'Etat (15)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</si>
  <si>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</si>
  <si>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</si>
  <si>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</si>
  <si>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D'AVRIL 2021</t>
  </si>
  <si>
    <t xml:space="preserve">REPPORT SOLDE FINAL MOIS DE MARS 2021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</si>
  <si>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</si>
  <si>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</si>
  <si>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312.000 FRS -  60%  </t>
  </si>
  <si>
    <t>CONSOMED F. N° 4489/21 DU 02/04/2021</t>
  </si>
  <si>
    <t>Quote part réparation tuyau direction pharmacie</t>
  </si>
  <si>
    <t>Transport Laye dimanche 04/04/21</t>
  </si>
  <si>
    <t>Technologies Services FA 211410 du 31/03/2021</t>
  </si>
  <si>
    <t>CONSOMED F. N° 4470/21 du 06/04/2021</t>
  </si>
  <si>
    <t>Nettoyage rideaux</t>
  </si>
  <si>
    <t>Remboursement Echo Doppler Cardiaque le 07/04/2021</t>
  </si>
  <si>
    <t>Transport médina le 08/04/2021</t>
  </si>
  <si>
    <t>MEDICAZONE F. N° 0024 du 02/04/2021</t>
  </si>
  <si>
    <t>Salbutamol nébuliseur</t>
  </si>
  <si>
    <t>Valium injectable</t>
  </si>
  <si>
    <t>Dimunition longueur rideaux</t>
  </si>
  <si>
    <t xml:space="preserve">IMPEC SERVICES 4 cartouches HP 123 noir F N° 0000397 </t>
  </si>
  <si>
    <t>14 blouses + une chemise vigile</t>
  </si>
  <si>
    <t>Technologies Services FA 211468 du 01/04/2021</t>
  </si>
  <si>
    <t>Transport médina le 15/04/2021</t>
  </si>
  <si>
    <t>Masques nébulisateur (3)</t>
  </si>
  <si>
    <t>SALOUM PHAR BL N° 002828 réf 004/2021/SP du 13/04</t>
  </si>
  <si>
    <t>Poubelle ordures Chérif AIDARA</t>
  </si>
  <si>
    <t xml:space="preserve">Plomberie Labo matériel et main d'œuvre </t>
  </si>
  <si>
    <t>Technologies Services FA211540 du 15/04/2021</t>
  </si>
  <si>
    <t>Electrodes ECG (GM) 1 sachet de 50 F. N° 449435 du 19/4/21</t>
  </si>
  <si>
    <t>CONSOMED F N° 5027/21 gants Latex 5 boîtes de 100</t>
  </si>
  <si>
    <t>Essuit tout 12/2500</t>
  </si>
  <si>
    <t>Transport médina le 22/04/2021</t>
  </si>
  <si>
    <t>MEDILABO BL N° 8098 F2104065 du 15/04/2021</t>
  </si>
  <si>
    <t>DELTA Electrodes ECG F. N° 450306 du 27/04/2021</t>
  </si>
  <si>
    <t>Piles rechargeables (2)</t>
  </si>
  <si>
    <t>Fiches pour piles rechargeables</t>
  </si>
  <si>
    <t>Remboursement échographies</t>
  </si>
  <si>
    <t xml:space="preserve">Transport COF </t>
  </si>
  <si>
    <t>Transport médina le 29/04/</t>
  </si>
  <si>
    <t>2 cartons de draps d'examen</t>
  </si>
  <si>
    <t>SALOUM PHAR BL N° 002829 réf 004/2021/SP du 27/04/2021</t>
  </si>
  <si>
    <t>Informatiocien Sangoné DIOP</t>
  </si>
  <si>
    <t xml:space="preserve">Bétadine scrub rouge FL/500 Ml </t>
  </si>
  <si>
    <t>Disque dur pour ordinateur secrétariat</t>
  </si>
  <si>
    <t>3 -    BENEFICE MOIS D'AVRIL 2021 :</t>
  </si>
  <si>
    <t>Solde final fin Avril 2021 :</t>
  </si>
  <si>
    <t>N.B. : Les analyses offertes gracieusement au courant du mois d'Avril 2021:</t>
  </si>
  <si>
    <t>Pour les Agents de l'Etat (0)</t>
  </si>
  <si>
    <t>Pour les non agents de l'Etat (12)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</si>
  <si>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</si>
  <si>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</si>
  <si>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</si>
  <si>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MAI 2021</t>
  </si>
  <si>
    <t xml:space="preserve">REPPORT SOLDE FINAL MOIS D'AVRIL 2021  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</si>
  <si>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</si>
  <si>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</si>
  <si>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306.000 FRS -  60%  </t>
  </si>
  <si>
    <t>Transport Médina le 03/05/2021</t>
  </si>
  <si>
    <t xml:space="preserve">4 piles moyennes </t>
  </si>
  <si>
    <t>Technologies Servivces FA211846 du 04/02/21 abon. Mai</t>
  </si>
  <si>
    <t>MEDILABO F2105005 du 04/05/21</t>
  </si>
  <si>
    <t>Diamniadio médicaments</t>
  </si>
  <si>
    <t>Transport COLY Dantec (gants)</t>
  </si>
  <si>
    <t>Transport médina le 06/05/2021</t>
  </si>
  <si>
    <t xml:space="preserve">Robinet de puisage + main d'œuvre </t>
  </si>
  <si>
    <t>Eau de javel grain 1 kg</t>
  </si>
  <si>
    <t xml:space="preserve">Piles 2/B </t>
  </si>
  <si>
    <t>Transport Médina le 10/05/2021</t>
  </si>
  <si>
    <t>CONSOMED F. N° 4499/21 du 11/05/2021</t>
  </si>
  <si>
    <t>Cartes GSRH 1000</t>
  </si>
  <si>
    <t>SOTELMED FAC/2021/05/0013 du 10/05/2021</t>
  </si>
  <si>
    <t>DABLE SERVICES reliquat factures</t>
  </si>
  <si>
    <t>Transport Médina le 17/05/2021</t>
  </si>
  <si>
    <t>Essui tout 1 rouleau (Médina)</t>
  </si>
  <si>
    <t>Transport Médina le 20/05/2021</t>
  </si>
  <si>
    <t xml:space="preserve">Technologies Servivces FA212065 du 19/05/21 </t>
  </si>
  <si>
    <t>MEDILABO F2105067 du 19/05/21</t>
  </si>
  <si>
    <t>DELTA MEDICAL FC 250207 du 26/05/21 ELECTRODES 10/B</t>
  </si>
  <si>
    <t>DABLE SERVICES F. N° 100/21 du 20/05/2021</t>
  </si>
  <si>
    <t>Transport médina le 27/05/2021</t>
  </si>
  <si>
    <t>Remboursement transport Laye week-end</t>
  </si>
  <si>
    <t>SALOUM PHARMA F. N° 002829 du 20/02/2021</t>
  </si>
  <si>
    <t>1 ampoule néon</t>
  </si>
  <si>
    <t>Transport Médina le 31/05/2021</t>
  </si>
  <si>
    <t xml:space="preserve">Factures DABLE SERVICES  </t>
  </si>
  <si>
    <t>Médical Distributioin de Solution et d'Application (DSA)</t>
  </si>
  <si>
    <t xml:space="preserve">Réparation photocopieuse et main d'œuvre </t>
  </si>
  <si>
    <t>3 -    BENEFICE MOIS DE MAI 2021 :</t>
  </si>
  <si>
    <t>Achat d'intrants et de produits consommables pour le Cab. Dentaire</t>
  </si>
  <si>
    <t>Solde final fin Mai 2021 :</t>
  </si>
  <si>
    <t>N.B. : Les analyses offertes gracieusement au courant du mois de Mai 2021:</t>
  </si>
  <si>
    <t>Pour les non agents de l'Etat (13)</t>
  </si>
  <si>
    <t>DABLE SERVICES - 4.999.700  Dépenses : 4.999.700 Reste : 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</si>
  <si>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</si>
  <si>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</si>
  <si>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</si>
  <si>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JUIN 2021</t>
  </si>
  <si>
    <t>REPPORT SOLDE FINAL MOIS DE MAI 2021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</si>
  <si>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</si>
  <si>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</si>
  <si>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283.000 FRS -  60%  </t>
  </si>
  <si>
    <t>Transport Médina le 03/06/2021</t>
  </si>
  <si>
    <t>SOTELMED FAC/2021/05/0054 du 28/05/2021</t>
  </si>
  <si>
    <t>SOTELMED FAC/2021//06/011 du 04/06/2021</t>
  </si>
  <si>
    <t>SALOUM PHARMA BL N0 002830 F. N° 002830 du 02/06/2021</t>
  </si>
  <si>
    <t>Déjeuner Informaticiens</t>
  </si>
  <si>
    <t xml:space="preserve">Technologies Servivces FA212270 du 01/06/21 </t>
  </si>
  <si>
    <t>DABLE SERVICES fact. N° 104/21 du 01/06/2021</t>
  </si>
  <si>
    <t>DABLE SERVICES Fact n° 106/21 du 07/06/2021</t>
  </si>
  <si>
    <t>Tansport médina le 07/06/2021</t>
  </si>
  <si>
    <t>Technologies Services FA212388 du 08/06/2021</t>
  </si>
  <si>
    <t>2 Cartons de drap d'examen MJS F N° 52005</t>
  </si>
  <si>
    <t>Transport médina le 10/06/2021</t>
  </si>
  <si>
    <t>SALOUM PHARMA BL N0 002831 F. N° 002831 du 09/06/2021</t>
  </si>
  <si>
    <t>Bandelettes INFINITY 5/B</t>
  </si>
  <si>
    <t>Installation d'un système de réseau avec wifi au niveau du labo</t>
  </si>
  <si>
    <t>Piles PM 8</t>
  </si>
  <si>
    <t>Transport Laye DIOP week-end du 12/06/21</t>
  </si>
  <si>
    <t xml:space="preserve">4 Pinces pour ECG (Diamniadio) Delta Médical F N° FC N° 251677    </t>
  </si>
  <si>
    <t>Transport Médina le 17/*06/2021</t>
  </si>
  <si>
    <t>Perfuseur</t>
  </si>
  <si>
    <t>Seringue Insuline (10)</t>
  </si>
  <si>
    <t>ASMA MEDIC Fact. Juin5 S/50 pots urines</t>
  </si>
  <si>
    <t>Tech. Serv. FA212445 du 14/06/2021</t>
  </si>
  <si>
    <t>Tech. Serv. FA212516 du 16/06/2021</t>
  </si>
  <si>
    <t>Tech. Serv. FA212517 du 16/06/2021</t>
  </si>
  <si>
    <t xml:space="preserve"> Verre à jetter 5/paquets de 50 </t>
  </si>
  <si>
    <t>Transport Médina le 21/06/2021</t>
  </si>
  <si>
    <t>Ordonnance PERFALGAN etc</t>
  </si>
  <si>
    <t xml:space="preserve">1 cartouche HP 123 noire IMPEC SERVICES  </t>
  </si>
  <si>
    <t>2 cachets Trodat OPEN SERICES N° 001414 du 22/06/21</t>
  </si>
  <si>
    <t>Transport Médina le 24/06/2021</t>
  </si>
  <si>
    <t>Compress Labell Ster 30 x 30</t>
  </si>
  <si>
    <t>Réparation photocopieuse (main-d'œuvre)</t>
  </si>
  <si>
    <t xml:space="preserve">DABLE-SERVICES F. N° 109 du 18/06/2021 </t>
  </si>
  <si>
    <t>Transport Médina le 28/06/2021</t>
  </si>
  <si>
    <t>MEDILABO F2106099 BL N° 8427 du 21/06/2021</t>
  </si>
  <si>
    <t>3 -    BENEFICE MOIS DE JUIN 2021 :</t>
  </si>
  <si>
    <t>Achat pièce pour photocopieuse</t>
  </si>
  <si>
    <t>Solde final fin JUIN 2021 :</t>
  </si>
  <si>
    <t>N.B. : Les analyses offertes gracieusement au courant du mois de Juin 2021:</t>
  </si>
  <si>
    <t>Pour les non agents de l'Etat (8)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</si>
  <si>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</si>
  <si>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</si>
  <si>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</si>
  <si>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JUILLET 2021</t>
  </si>
  <si>
    <t>REPPORT SOLDE FINAL MOIS DE JUIN 2021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</si>
  <si>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</si>
  <si>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</si>
  <si>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323.200 FRS   </t>
  </si>
  <si>
    <t>Transport Médina le 01/07/2021</t>
  </si>
  <si>
    <t xml:space="preserve">Remboursement Urée </t>
  </si>
  <si>
    <t>Tech. Serv. FA201934 du 03/06/2020 (Ab. Juin 2020)</t>
  </si>
  <si>
    <t>Papier SHILLER ECG 1/B</t>
  </si>
  <si>
    <t>Tech. Serv. FA212763 du 01/07/2021 Ab. Juillet 2021</t>
  </si>
  <si>
    <t>MEDILABO F N° F2106108 du 22/06/2021</t>
  </si>
  <si>
    <t>Tansport médina le 05/07/2021</t>
  </si>
  <si>
    <t>Cartouche HP 123 noir 2/b</t>
  </si>
  <si>
    <t>Electrodes ECG 3/B</t>
  </si>
  <si>
    <t>Perfuseur + Perfalgan + SSI 9% (Diamniadio)</t>
  </si>
  <si>
    <t>Cartes GSRH FN° 0103/OS/21 (1.000)</t>
  </si>
  <si>
    <t xml:space="preserve"> Sparadrap 1/B (Infirmerie)</t>
  </si>
  <si>
    <t xml:space="preserve">DABLE-SERVICES F. N° 110 du 23/06/2021 </t>
  </si>
  <si>
    <t>SOTELMED FAC/2021/06/0062</t>
  </si>
  <si>
    <t>CONSOMED F. N° 4507/21 du 07/07/2021</t>
  </si>
  <si>
    <t>Transport médina le 08/07/2021</t>
  </si>
  <si>
    <t>Sparadrap Labell  1/B (Labo)</t>
  </si>
  <si>
    <t xml:space="preserve">Menuiserie, achat serrure; achat pomelle et main d'œuvre </t>
  </si>
  <si>
    <t>Transport Médina le 12/07/21</t>
  </si>
  <si>
    <t>SOTELMED FAC/2021/07/0014 du 06/07/2021</t>
  </si>
  <si>
    <t>Lame de Bistouri B/100 (2)</t>
  </si>
  <si>
    <t>Ether Cooper 1/B</t>
  </si>
  <si>
    <t>Transport Médina le 15/07/21</t>
  </si>
  <si>
    <t>Gant latex pour Diamniadio 1 boîte</t>
  </si>
  <si>
    <t>Achat téléphone sans fil pour le Labo</t>
  </si>
  <si>
    <t>Téléphone pour l'infirmerie (Test COVID-19)</t>
  </si>
  <si>
    <t>Crédit téléphon infirmerie</t>
  </si>
  <si>
    <t xml:space="preserve">Tranqport bagages Médina </t>
  </si>
  <si>
    <t>Sparadrap B/300 (Labo)</t>
  </si>
  <si>
    <t>Venus Facture N° 003/2021 du 16/07/21 seringue 10cc et 5cc</t>
  </si>
  <si>
    <t>Transport médina le 19/07/2021</t>
  </si>
  <si>
    <t>Transport médina le 26/07/2021</t>
  </si>
  <si>
    <t>Robinet toilettes et main d'œuvre</t>
  </si>
  <si>
    <t>SOTELMED FAC/2021/07/0062 du 27/07/2021</t>
  </si>
  <si>
    <t>Transport médina le 29/07/2021</t>
  </si>
  <si>
    <t>Préservatif pour échographie</t>
  </si>
  <si>
    <t>Urgo extensible b/30</t>
  </si>
  <si>
    <t>Sparadrap Labell  1/P (Labo)</t>
  </si>
  <si>
    <t>Urgo 17/p de 10</t>
  </si>
  <si>
    <t>20 Get Tol alcoolisées</t>
  </si>
  <si>
    <t>STABURO 1 toner photocopieuse F. 21338 du 30/07/21</t>
  </si>
  <si>
    <t>MJS F. N° 61494 du 30/07/21 3 cartons de draps d'examen</t>
  </si>
  <si>
    <t>Tech. Serv. F.N° FA213041du 30/07/21 Ab. Août Hba1c</t>
  </si>
  <si>
    <t xml:space="preserve">Robinet médina + main d'œuvre </t>
  </si>
  <si>
    <t>Grosse sucre + kiène</t>
  </si>
  <si>
    <t>3 -    BENEFICE MOIS DE JUILLET 2021 :</t>
  </si>
  <si>
    <t>Confection mobilier pour la salle d'attente des Sages-femmes</t>
  </si>
  <si>
    <t>Achat d'un fauteuil dentaire</t>
  </si>
  <si>
    <t>Confection blouse CMSFP</t>
  </si>
  <si>
    <t>Réparation photocopieuse</t>
  </si>
  <si>
    <t>Solde final fin JUILLET 2021 :</t>
  </si>
  <si>
    <t>N.B. : Les analyses offertes gracieusement au courant du mois de Juillet 2021:</t>
  </si>
  <si>
    <t>Pour les non agents de l'Etat (9)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</si>
  <si>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</si>
  <si>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</si>
  <si>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</si>
  <si>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D'AOUT 2021</t>
  </si>
  <si>
    <t>REPPORT SOLDE FINAL MOIS DE JUILLET 2021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</si>
  <si>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</si>
  <si>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</si>
  <si>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Urgo B/300 CONSOMED F. N° 5055/21 du 17/07/2021</t>
  </si>
  <si>
    <t>Transport Médina le 02/08/2021</t>
  </si>
  <si>
    <t>Transport vaccins COVID-19</t>
  </si>
  <si>
    <t>Livreur réactif labo</t>
  </si>
  <si>
    <t>Verres à jetter 5/boîte de 50</t>
  </si>
  <si>
    <t>IMPEC SERVICES F.N°0000421 3/8/21 Cart. HP 123 noir 3/b</t>
  </si>
  <si>
    <t>OPEN-SERVICES F.N°0138/OS/21 3/8/21 cartes vac. 500</t>
  </si>
  <si>
    <t>Tansport médina le 05/08/2021</t>
  </si>
  <si>
    <t>Sachet poubelle 2/paquets de 20</t>
  </si>
  <si>
    <t>CONSOMED F,N° 5055/21 DU 09/08/2021</t>
  </si>
  <si>
    <t>Tech. Serv. FA2130 du 02/08/2021</t>
  </si>
  <si>
    <t>Transport médina le 09/08/2021</t>
  </si>
  <si>
    <t>Sparadrap 2/b</t>
  </si>
  <si>
    <t>Transport PNA</t>
  </si>
  <si>
    <t>Carte GSRH 1000</t>
  </si>
  <si>
    <t>Piles PM 4 (labo)</t>
  </si>
  <si>
    <t>Colle crézi (labo)</t>
  </si>
  <si>
    <t>Transport camion (médicaments PNA)</t>
  </si>
  <si>
    <t>Urgo B/50 x 10 (500)</t>
  </si>
  <si>
    <t>Transport médina le 12/08/2021</t>
  </si>
  <si>
    <t>Crédit TIGO infirmerie</t>
  </si>
  <si>
    <t>SOTELMED FAC/2021/08/0007 du 03/08/2021</t>
  </si>
  <si>
    <t>SOTELMED FAC/2021/08/0024 du 09/08/2021</t>
  </si>
  <si>
    <t>CONSOMED F N° 9010/21 du 16/08/2021</t>
  </si>
  <si>
    <t xml:space="preserve">Achat serrure infirmerie ) + main d'œuvre </t>
  </si>
  <si>
    <t>DSA FACT. N° 0000175 du 17/08/2021</t>
  </si>
  <si>
    <t>Transport médina le 16/08/2021</t>
  </si>
  <si>
    <t>CONSOMED F. N° 5075/21 du 23/08/21 aiguille BD vacutainer</t>
  </si>
  <si>
    <t>ECOWA F. N° 001687 du 25/08/21 mécanisme robinet lavabo</t>
  </si>
  <si>
    <t>Transport médina le 26/08/21</t>
  </si>
  <si>
    <t>Pompe ORO pour médina</t>
  </si>
  <si>
    <t>CONSOMED F N° 5055/21 du 27/08/21</t>
  </si>
  <si>
    <t>Electrodes ECG NM 42 Réf. 14648 du 25/08/21 3/P</t>
  </si>
  <si>
    <t>IMPEC SERVICES F. N° 0000438 du 27/08/21 4 cart. 1 N 3 C</t>
  </si>
  <si>
    <t>Plomberie médina</t>
  </si>
  <si>
    <t>IMPEC SERVICES F. N° 0000431 DU 30/08/21 4 cartouches HP</t>
  </si>
  <si>
    <t>Tech. Serv. FA213359 du 30/08/2021 Ab. Août 21 Hba1C</t>
  </si>
  <si>
    <t>Livreur réactifs labo</t>
  </si>
  <si>
    <t>Transport médina le 30/08/21</t>
  </si>
  <si>
    <t>Tech. Serv. FA213360 du 302/0821</t>
  </si>
  <si>
    <t>3 -    BENEFICE MOIS D'AOUT 2021 :</t>
  </si>
  <si>
    <t>Technologies Services ECG MAC 600 avec option PDF</t>
  </si>
  <si>
    <t>Solde final fin AOUT 2021 :</t>
  </si>
  <si>
    <t>N.B. : Les analyses offertes gracieusement au courant du mois de d'Août 2021:</t>
  </si>
  <si>
    <t>Pour les non agents de l'Etat (14)</t>
  </si>
  <si>
    <t>DABLE SERVICES - 13.990.000  Dépenses :  1.163.000 Reste : 12.827.000</t>
  </si>
  <si>
    <t>MEDILABO11.950.000-Dépenses : 1.096.400 Reste : 10.853.600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</si>
  <si>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</si>
  <si>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</si>
  <si>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</si>
  <si>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SEPTEMBRE 2021</t>
  </si>
  <si>
    <t>REPPORT SOLDE FINAL MOIS D'AOUT 2021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</si>
  <si>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</si>
  <si>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</si>
  <si>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Docteur NIANG  393.500 FRS   </t>
  </si>
  <si>
    <t>Grosse de sucre</t>
  </si>
  <si>
    <t>Transport Médina le 02/09/2021</t>
  </si>
  <si>
    <t>Entretien, réparation et électricité Médina</t>
  </si>
  <si>
    <t>ASMA MEDIC F. N° août 023 du 26/08/21</t>
  </si>
  <si>
    <t>SOTELMED FAC/2021/09/0009</t>
  </si>
  <si>
    <t>Transport Médina le 06/09/2021</t>
  </si>
  <si>
    <t>BA EAU BAB bouteille pleine + consigne</t>
  </si>
  <si>
    <t>Transport Médina le 09/09/2021</t>
  </si>
  <si>
    <t>URGO pour labo 1/b</t>
  </si>
  <si>
    <t>OPEN SERVICES F. N° 001500 document à imprimer + reliure</t>
  </si>
  <si>
    <t>Ventilateur CMSFP Rue Moussé Diop</t>
  </si>
  <si>
    <t xml:space="preserve">Ventilateur Médina </t>
  </si>
  <si>
    <t xml:space="preserve">Fil de raccordement Médina </t>
  </si>
  <si>
    <t>Essui tout (20)</t>
  </si>
  <si>
    <t>Transport médina le 13/09/21</t>
  </si>
  <si>
    <t>Transport MFPRSP aller et retour</t>
  </si>
  <si>
    <t>Transport médina le 15/09/21</t>
  </si>
  <si>
    <t>CONSOMED F, N° 5055/21 du 13/09/2021</t>
  </si>
  <si>
    <t>OPEN SERVICES F. N° 0172/0S/21 du 17/09/21</t>
  </si>
  <si>
    <t>Travaux Direction Pharmacie matériel</t>
  </si>
  <si>
    <t xml:space="preserve">Main d'œuvre </t>
  </si>
  <si>
    <t>Transport Médina le 20/09/21</t>
  </si>
  <si>
    <t>Batteries Blindées avec chargeur F N° 003970 du 20/09/21</t>
  </si>
  <si>
    <t xml:space="preserve">Ether cooper + Dakin Stab 500 ML </t>
  </si>
  <si>
    <t>Piles CR2016 (10)</t>
  </si>
  <si>
    <t xml:space="preserve">IMPEC SERVICES F. N° 0000441 du 21/09/21 HP 123 noire </t>
  </si>
  <si>
    <t>Piles moyennes 3 boîtes de 4</t>
  </si>
  <si>
    <t>Transport Médina le 23/09/2021</t>
  </si>
  <si>
    <t>Moussa DIAW stagiaire labo remboursement transport</t>
  </si>
  <si>
    <t>Technologies Services FA213653 du 20/09/2021</t>
  </si>
  <si>
    <t>Remb. de transport dans le cadre d'un dépannage informatique</t>
  </si>
  <si>
    <t>Transport médina le 30/09/2021</t>
  </si>
  <si>
    <t>3 -    BENEFICE MOIS DE SEPTEMBRE 2021 :</t>
  </si>
  <si>
    <t>Solde final fin Septembre 2021 :</t>
  </si>
  <si>
    <t>N.B. : Les analyses offertes gracieusement au courant du mois de de Septembre 2021:</t>
  </si>
  <si>
    <t>DABLE SERVICES - 13.990.000  Dépenses :  2.353.000 Reste : 11.637.000</t>
  </si>
  <si>
    <t>MEDILABO11.950.000-Dépenses : 1.485.125 Reste : 10.464.875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</si>
  <si>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</si>
  <si>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</si>
  <si>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</si>
  <si>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D'OCTOBRE 2021</t>
  </si>
  <si>
    <t>REPPORT SOLDE FINAL MOIS DE SEPTEMBRE 2021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</si>
  <si>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</si>
  <si>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</si>
  <si>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Radiologues total recette :  307.000 FRS   </t>
  </si>
  <si>
    <t>Ampoules</t>
  </si>
  <si>
    <t xml:space="preserve">Paul main d'œuvre </t>
  </si>
  <si>
    <t>Achat vis</t>
  </si>
  <si>
    <t xml:space="preserve">Piles PM </t>
  </si>
  <si>
    <t>Transport médina le 04/10/2021</t>
  </si>
  <si>
    <t>Transport médina le 07/10/2021</t>
  </si>
  <si>
    <t>IMPEC SERVICES F. N° 0000443 3 HP 123 noire-laser 26/A</t>
  </si>
  <si>
    <t>Réparation tableau permis de conduire</t>
  </si>
  <si>
    <t>Spot 7W, réglette 40 cm LED, réglette 60 cm</t>
  </si>
  <si>
    <t>Transport Laye</t>
  </si>
  <si>
    <t xml:space="preserve">Paul Clim </t>
  </si>
  <si>
    <t>CONSOMED F. N° 4479/21 du 11/10/2021</t>
  </si>
  <si>
    <t>CONSOMED F. N° 5211/21 du 16/10/2021</t>
  </si>
  <si>
    <t>SALOUM PHARMA F. N° 002832 du 01/10/21</t>
  </si>
  <si>
    <t xml:space="preserve"> Ampoule néon réglette</t>
  </si>
  <si>
    <t>Transport médina le 11/10/2021</t>
  </si>
  <si>
    <t>Draps d'examen 3 cartons F. N° 74654 du 11/10/21</t>
  </si>
  <si>
    <t>Technologies Services Ab. Oct. HbA1C FA213868 du 05/10/2021</t>
  </si>
  <si>
    <t>4 paquets de sucre</t>
  </si>
  <si>
    <t>250 sachets pour urines</t>
  </si>
  <si>
    <t>Transport médina le 14/10/2021</t>
  </si>
  <si>
    <t>Remboursement + frais Docteur Fallou NGOM</t>
  </si>
  <si>
    <t>SOTELMED FAC/2021/0027 du 07/10/2021</t>
  </si>
  <si>
    <t>ASMA MEDIC suarl N° FACT: OCTO18 du 14/10/2021</t>
  </si>
  <si>
    <t>SOTELMED FAC/2021/10/007 du 15/10/2021</t>
  </si>
  <si>
    <t>OPEN SERVICES F. N° 0189/0S/21 cartes GSRH/1000</t>
  </si>
  <si>
    <t>Transport médina le 18/10/2021</t>
  </si>
  <si>
    <t>Pompe pour mouches blanches</t>
  </si>
  <si>
    <t>Remboursement PSA</t>
  </si>
  <si>
    <t>CONSOMED F. N° 5101/21 du 03/11/21</t>
  </si>
  <si>
    <t>Distribution de solution det d'application N° 000181 du 21/10/2021</t>
  </si>
  <si>
    <t>3 -    BENEFICE MOIS D'OCTOBRE 2021 :</t>
  </si>
  <si>
    <t>2 Mapa, 1 Holter ECG, brassards et tous les frais compris</t>
  </si>
  <si>
    <t>Main d'œuvre plombier Moustapha FAYE</t>
  </si>
  <si>
    <t>Main d'œuvre peintre César BANGARE</t>
  </si>
  <si>
    <t>Transport Laye Samedi et Mardi</t>
  </si>
  <si>
    <t>Ampoules Néons</t>
  </si>
  <si>
    <t>Matériel peinture médina et transport (cf facture)</t>
  </si>
  <si>
    <t>Electricien MFPRSP (entretien, réparation et électricité)</t>
  </si>
  <si>
    <t>Mohamed MANE menuisier métallique (rép port, fen et vitres allu</t>
  </si>
  <si>
    <t xml:space="preserve">Serrure médina </t>
  </si>
  <si>
    <t>Transport Laye aller et retour</t>
  </si>
  <si>
    <t xml:space="preserve">Peinture </t>
  </si>
  <si>
    <t xml:space="preserve">Paul </t>
  </si>
  <si>
    <t>Concep et fabr.  Enseigne pour l'An médina OPEN SERVICES</t>
  </si>
  <si>
    <t>Travaux de réfection, menuiserie médina</t>
  </si>
  <si>
    <t>Matériel plomberie CCSI F N° 1320070 du 18/10/2021</t>
  </si>
  <si>
    <t>Achat barrette imprimante médina</t>
  </si>
  <si>
    <t>SOLDE FIN OCTOBRE 2021</t>
  </si>
  <si>
    <t>N.B. : Les analyses offertes gracieusement au courant du mois de d'Octobre 2021:</t>
  </si>
  <si>
    <t>Pour les non agents de l'Etat (10)</t>
  </si>
  <si>
    <t>MEDILABO 11.950.000-Dépenses : 2.650.125 Reste : 9.299.875</t>
  </si>
  <si>
    <t xml:space="preserve">  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</si>
  <si>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</si>
  <si>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</si>
  <si>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</si>
  <si>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NOVEMBRE 2021</t>
  </si>
  <si>
    <t>REPPORT SOLDE FINAL MOIS D'OCTOBRE 2021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</si>
  <si>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</si>
  <si>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</si>
  <si>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 479 500 FRS 60/%  </t>
  </si>
  <si>
    <t>Honoraires Seynabou NDIAYE</t>
  </si>
  <si>
    <t>Transport médina le 02/11/2021</t>
  </si>
  <si>
    <t>Catheter bleu 22G (2)</t>
  </si>
  <si>
    <t xml:space="preserve">IMPEC SERVICES F. N° 0000955 (4car HP 123 noire et couleur + 500 env) </t>
  </si>
  <si>
    <t>BA EAU BAB 04/B</t>
  </si>
  <si>
    <t>Tech. Serv. FA214314 du 8/11/21</t>
  </si>
  <si>
    <t>Tech. Serv.FA214283 du 8/11/21abon. HbA1C nov. 2021</t>
  </si>
  <si>
    <t>Tech. Serv. FA214362 du 12/11/2021</t>
  </si>
  <si>
    <t>4 paquets de piles PM</t>
  </si>
  <si>
    <t>5 piles plates pour pèse personne</t>
  </si>
  <si>
    <t>Catheter bleu  (1)</t>
  </si>
  <si>
    <t>Abaisse langue bois B/100</t>
  </si>
  <si>
    <t>Tansport médina le 18/11/2021</t>
  </si>
  <si>
    <t>Salbutamol ARROW</t>
  </si>
  <si>
    <t>DSA F0523/2021 du 23/11/21</t>
  </si>
  <si>
    <t>Réfection menuisierie-ébéniste au CMSFP</t>
  </si>
  <si>
    <t>Verres à jetter paquets de 50 (8/p)</t>
  </si>
  <si>
    <t>Eau de javel grain 1 kgs</t>
  </si>
  <si>
    <t>Réparation imprimante</t>
  </si>
  <si>
    <t>SOTELMED FAC/2021/09/0023 du 08/09/2021</t>
  </si>
  <si>
    <t>SOTELMED FAC/2021/09/0082 DU 30/09/21 (acompte 2)</t>
  </si>
  <si>
    <t>Remboursement Gammat GT</t>
  </si>
  <si>
    <t>IMPEC-SERVICE F N° 0000961 (128A-4 / 2-123)</t>
  </si>
  <si>
    <t xml:space="preserve">Serrure toilettes </t>
  </si>
  <si>
    <t>Piles 20/P</t>
  </si>
  <si>
    <t>Piles plates pour pèse personne (9)</t>
  </si>
  <si>
    <t>Sachet en papier</t>
  </si>
  <si>
    <t>Transport point E pour dossiers</t>
  </si>
  <si>
    <t>SALOUM PHARMA Fac N° 002833 du 30/11/2021</t>
  </si>
  <si>
    <t>Bandelettes INFINITY 5 boîtes de 50</t>
  </si>
  <si>
    <t>Cotisation du CMSFP à l'arbre de Noêl du MFPRSP</t>
  </si>
  <si>
    <t>3 -    BENEFICE MOIS DE NOVEMBRE 2021 :</t>
  </si>
  <si>
    <t>SOLDE FIN NOVEMBRE 2021</t>
  </si>
  <si>
    <t>N.B. : Les analyses offertes gracieusement au courant du mois de de Novembre 2021:</t>
  </si>
  <si>
    <t>MEDILABO 11.950.000-Dépenses : 3.355.625 Reste : 8.594.375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</si>
  <si>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</si>
  <si>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</si>
  <si>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</si>
  <si>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DECEMBRE 2021</t>
  </si>
  <si>
    <t>REPPORT SOLDE FINAL MOIS DE NOVEMBRE 2021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</si>
  <si>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</si>
  <si>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</si>
  <si>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 474 000 FRS 60/%  </t>
  </si>
  <si>
    <t>DELTA MEDICAL F.N° FC 262074 du 03/12/21 dr. D'ex 6</t>
  </si>
  <si>
    <t xml:space="preserve">IMPEC SERVICES F. N° 0000963 (3 registres + 1.000 env) </t>
  </si>
  <si>
    <t>SOTELMED F/ N° WH2/OUT/01332 du 01/12/21</t>
  </si>
  <si>
    <t>SOTELMED F. N° WH2/OUT/01338 du 02/12/21</t>
  </si>
  <si>
    <t>CONSOMED F. N° 5117/21 eau désionné Water LAB 5/L</t>
  </si>
  <si>
    <t>Tech. Serv. FA214726 du 7/12/21 abon. Déc. 2021 HbA1C</t>
  </si>
  <si>
    <t>Feldene injection et Trabar injection</t>
  </si>
  <si>
    <t xml:space="preserve">Vernis à ongles </t>
  </si>
  <si>
    <t>Achat fleurs</t>
  </si>
  <si>
    <t>Transport Laye diamanche</t>
  </si>
  <si>
    <t>Recharge afraffeuse 20/boîtes</t>
  </si>
  <si>
    <t xml:space="preserve">SOTELMED FAC/2021/09/0082 du 30/09/21 reliquat facture  </t>
  </si>
  <si>
    <t>Transport THIOMBANE</t>
  </si>
  <si>
    <t>Technologies Services FA214893 du 14/12/2021</t>
  </si>
  <si>
    <t>IMPEC-SERVICES 4 cartouches F N° 0000969 du 22/12/21</t>
  </si>
  <si>
    <t>1 Robinet F. N° 0000505 du 22/12/21</t>
  </si>
  <si>
    <t>Tech. Serv. FA214915 du 22/12/2021 dépannage PENTRA</t>
  </si>
  <si>
    <t xml:space="preserve">Robinet d'arrêt </t>
  </si>
  <si>
    <t>3 Cartouches HP 123 noire</t>
  </si>
  <si>
    <t>1 Cartouche HP 123 couleur</t>
  </si>
  <si>
    <t>1 Essui tout pour la médina</t>
  </si>
  <si>
    <t>Boîtes de 2/P recharge agrafeuse</t>
  </si>
  <si>
    <t>Agenda 2022</t>
  </si>
  <si>
    <t>BA EAU BAB 1/B consigne</t>
  </si>
  <si>
    <t>Docteur Racky Nancy WANE</t>
  </si>
  <si>
    <t>3 -    BENEFICE MOIS DECEMBRE 2021 :</t>
  </si>
  <si>
    <t>SOLDE FIN DECEMBRE 2021</t>
  </si>
  <si>
    <t>N.B. : Les analyses offertes gracieusement au courant du mois de de Décembre 2021:</t>
  </si>
  <si>
    <t>Pour les non agents de l'Etat (09)</t>
  </si>
  <si>
    <t>MEDILABO 11.950.000-Dépenses : 3.385.625 Reste : 8.564.375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</si>
  <si>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</si>
  <si>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</si>
  <si>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</si>
  <si>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JANVIER 2022</t>
  </si>
  <si>
    <t>REPPORT SOLDE FINAL MOIS DE DECEMBRE 2021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</si>
  <si>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</si>
  <si>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</si>
  <si>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 378 000 FRS 60/%  </t>
  </si>
  <si>
    <t>Electricité Médina</t>
  </si>
  <si>
    <t>Essui tout 24 rouleaux x 2500</t>
  </si>
  <si>
    <t>Draps d'examen DELTA MEDICAL FC263769 (2  cartons)</t>
  </si>
  <si>
    <t>Agenda 2022 pouyr MAPA et Holter ECG</t>
  </si>
  <si>
    <t>Matériel + main d'œuvre électricien CMSFP</t>
  </si>
  <si>
    <t>Vachette toilettes médina + transport</t>
  </si>
  <si>
    <t>CONSOMED FN° 5217/21 du 07/01/2022</t>
  </si>
  <si>
    <t>APPRO biens et servies HbA1C 25 tests</t>
  </si>
  <si>
    <t>2 appareils chargeur + batteries</t>
  </si>
  <si>
    <t>Electrodes Clamps 4 pièces Delta MEDICAL</t>
  </si>
  <si>
    <t>Cartes GSRH 1.000 OPEN SERVICES FN° 01/0S/22</t>
  </si>
  <si>
    <t>Eau de javier grain 1 kg 700</t>
  </si>
  <si>
    <t>SOTELMED FAC/2022/01/2205 du 01/22</t>
  </si>
  <si>
    <t>3 Médailles CMSFP</t>
  </si>
  <si>
    <t>Feutre (2 côtés) Laboratoire</t>
  </si>
  <si>
    <t>Réparateur photocopieuse et imprimante</t>
  </si>
  <si>
    <t xml:space="preserve">13 rouleaux draps d'examen </t>
  </si>
  <si>
    <t>Achat colle de transport Paul Samedi 22/01/22</t>
  </si>
  <si>
    <t>Transport Laye Samedi 22/01/2022</t>
  </si>
  <si>
    <t>Clé minute toilettes (pour le Labo)</t>
  </si>
  <si>
    <t>SOTELMED FAC/2021/11/0002 du 02/11/2021</t>
  </si>
  <si>
    <t>Savon Liquide Madar 2/B</t>
  </si>
  <si>
    <t>NESPRESSO (café)</t>
  </si>
  <si>
    <t>SOTELMED FAC/2022/01/0034 du 12/01/22</t>
  </si>
  <si>
    <t>SALOUM PHARMA N° 001/2022/SP du 25/01/2022</t>
  </si>
  <si>
    <t>Serrure toilettes Q. Kh. R. N° 001139 du 01/02/22</t>
  </si>
  <si>
    <t>Electrodes ECG 10/paquets</t>
  </si>
  <si>
    <t>3 -    BENEFICE MOIS DE JANVIER 2022 :</t>
  </si>
  <si>
    <t>SOLDE FIN Janvier 2022</t>
  </si>
  <si>
    <t>N.B. : Les analyses offertes gracieusement au courant du mois de de Janvier 2022: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</si>
  <si>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</si>
  <si>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</si>
  <si>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</si>
  <si>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FEVRIER 2022</t>
  </si>
  <si>
    <t>REPPORT SOLDE FINAL MOIS DE JANVIER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</si>
  <si>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</si>
  <si>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de Février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</si>
  <si>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</si>
  <si>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 350 000 FRS 60/%  </t>
  </si>
  <si>
    <t>Réparation portes CMSFP</t>
  </si>
  <si>
    <t>IMPEC SERVICES F. N° 000073 cartouche HP26 (labo)</t>
  </si>
  <si>
    <t>Ets keur serigne Fallou N° 000000 + main d'œuvre robinet toil.</t>
  </si>
  <si>
    <t xml:space="preserve">Grosse sucre  </t>
  </si>
  <si>
    <t xml:space="preserve"> Modulaire, boîte Module et main d'œuvre </t>
  </si>
  <si>
    <t xml:space="preserve">SOTELMED F. N° 4427/2022 water LAB Eau désiomusée 5 litres </t>
  </si>
  <si>
    <t>Tech. Serv. FA 220362 ab. Fév. du 04/02/2022</t>
  </si>
  <si>
    <t>DSA F. N° 000181 du 08/02/2022</t>
  </si>
  <si>
    <t>Infirmerie (Bétadine, Eosine et hyprafix)</t>
  </si>
  <si>
    <t>Madar (2)</t>
  </si>
  <si>
    <t>Cartes GSRH 1.000 OPEN SERVICES FN° 02/0S/22</t>
  </si>
  <si>
    <t>Cahier Recette-Dépenses</t>
  </si>
  <si>
    <t>Désodorisants 3</t>
  </si>
  <si>
    <t>6 blouse + 5 tenues agents de sécurité et 2 tenues tech. de surface</t>
  </si>
  <si>
    <t>Tech. Serv. FA 2200394 du 08/02/2022</t>
  </si>
  <si>
    <t>Transport Saly médina (produits d'entretien, draps d'examen etc)</t>
  </si>
  <si>
    <t>IMPEC SERVICES F. N° 0000984 du 24/02/22</t>
  </si>
  <si>
    <t xml:space="preserve">IMPEC SERVICES F. N° 0000985 du 24/02/2022 </t>
  </si>
  <si>
    <t>2 Registres Sages-femmes</t>
  </si>
  <si>
    <t>2 cartons MADAR + transport</t>
  </si>
  <si>
    <t xml:space="preserve">Plomberie médina + main d'œuvre </t>
  </si>
  <si>
    <t>Prise de terre et décamètre Médina</t>
  </si>
  <si>
    <t>tansp Seynabou Médina</t>
  </si>
  <si>
    <t>2 cartons NESPRESSO(x 20)</t>
  </si>
  <si>
    <t>Tech. Serv. FA220654 du 28/02/22</t>
  </si>
  <si>
    <t>CONSOMED F N° 5167/22 eau désionnisée lab bidon 5/l</t>
  </si>
  <si>
    <t>3 -    BENEFICE MOIS DE FEVRIER 2022 :</t>
  </si>
  <si>
    <t>Réparation appareils MAPA et frais de transfert (70 E + 10 E)</t>
  </si>
  <si>
    <t>SOLDE FIN Février 2022</t>
  </si>
  <si>
    <t>N.B. : Les analyses offertes gracieusement au courant du mois de de Février 2022:</t>
  </si>
  <si>
    <t>Pour les non agents de l'Etat (08)</t>
  </si>
  <si>
    <t>DABLE SERVICES - 13.990.000  Dépenses :  5.326.000 Reste : 8.664.000</t>
  </si>
  <si>
    <t>MEDILABO 11.950.000-Dépenses : 5.182.625 Reste : 6.767.375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</si>
  <si>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</si>
  <si>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</si>
  <si>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</si>
  <si>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MARS 2022</t>
  </si>
  <si>
    <t>REPPORT SOLDE FINAL MOIS DE FEVRIER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</si>
  <si>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</si>
  <si>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de Mars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</si>
  <si>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</si>
  <si>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 458 000 FRS 60/%  </t>
  </si>
  <si>
    <t>Tech. Serv. FA220731du 03/03/2022</t>
  </si>
  <si>
    <t>Sérum salé 500/ML</t>
  </si>
  <si>
    <t>Carton de 250 enveloppe GM</t>
  </si>
  <si>
    <t>BA EAU BAB 4/B + consigne et eau</t>
  </si>
  <si>
    <t>IMPEC SERV. F. N° 000004 50 carnets ordonnanciers</t>
  </si>
  <si>
    <t>Plomberie réparation bonde lavabo secrétariat</t>
  </si>
  <si>
    <t>Serplières (2)</t>
  </si>
  <si>
    <t xml:space="preserve">BUROTIC F. N° DE0084971 du 04/03/22 1 Rég. et 2 Ond. </t>
  </si>
  <si>
    <t xml:space="preserve">Frais d'Huissier Me Rassoul JOHNSON </t>
  </si>
  <si>
    <t xml:space="preserve">Transport médina Laye </t>
  </si>
  <si>
    <t>Serplières (10)</t>
  </si>
  <si>
    <t>Sparadrap perforé (2)</t>
  </si>
  <si>
    <t>SALOUM PHARMA F. N° 002835 en date du 28/02/22</t>
  </si>
  <si>
    <t>1 Balai devanture service</t>
  </si>
  <si>
    <t xml:space="preserve">Robinet lavabo secrétariat et main d'œuvre </t>
  </si>
  <si>
    <t>Sparadrap 1/B</t>
  </si>
  <si>
    <t>Tansport Laye week-end aller et retour</t>
  </si>
  <si>
    <t>Pharmacie République 3 perfuseurs</t>
  </si>
  <si>
    <t>Réparation frigo médina</t>
  </si>
  <si>
    <t>Remboursement Echo Doppler cardiaque Mr CAMARA</t>
  </si>
  <si>
    <t>Plumeau</t>
  </si>
  <si>
    <t xml:space="preserve">Dakin stab 500 ML </t>
  </si>
  <si>
    <t>Bétadine Scrub 500 ML</t>
  </si>
  <si>
    <t>Rouleau câble informatiquie</t>
  </si>
  <si>
    <t>Sparadrap labell 1/B</t>
  </si>
  <si>
    <t>Cartes GSRH 1.000</t>
  </si>
  <si>
    <t>Frais de transport CBM pour réception de biens</t>
  </si>
  <si>
    <t>Machine à calculer F N° 000017 du 25/03/2022</t>
  </si>
  <si>
    <t>Hyprafix bande adhes</t>
  </si>
  <si>
    <t>SSI perfuseur</t>
  </si>
  <si>
    <t xml:space="preserve">Perfuseur </t>
  </si>
  <si>
    <t>Loxa (ampoule)</t>
  </si>
  <si>
    <t>Fiches consultation (400) carnets RV (200) pour la Médina</t>
  </si>
  <si>
    <t>Cahier recettes / dépenses Médina</t>
  </si>
  <si>
    <t xml:space="preserve">Barette ordinateur médina + main d'œuvre </t>
  </si>
  <si>
    <t>3 -    BENEFICE MOIS DE MARS 2022 :</t>
  </si>
  <si>
    <t>Rideau alluminium bureau Docteur DIA</t>
  </si>
  <si>
    <t>Photocopieuse numérique multifonction RICHO AFICO IM 2701</t>
  </si>
  <si>
    <t>SOLDE FIN MARS 2022</t>
  </si>
  <si>
    <t>N.B. : Les analyses offertes gracieusement au courant du mois de de Mars 2022:</t>
  </si>
  <si>
    <t>DABLE SERVICES - 13.990.000  Dépenses :  5.721.000 Reste : 8.269.000</t>
  </si>
  <si>
    <t>MEDILABO 11.950.000-Dépenses : 5.922.625 Reste : 6.027.375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</si>
  <si>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</si>
  <si>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</si>
  <si>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</si>
  <si>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D'AVRIL 2022</t>
  </si>
  <si>
    <t>REPPORT SOLDE FINAL MOIS DE MARS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</si>
  <si>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</si>
  <si>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d'Avril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</si>
  <si>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</si>
  <si>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 496 000 FRS 60/%  </t>
  </si>
  <si>
    <t>Batterie onduleurs (2)</t>
  </si>
  <si>
    <t>Blouses (18) + tenues vigile (5) avance</t>
  </si>
  <si>
    <t>Transport Médina Laye</t>
  </si>
  <si>
    <t>SOTELMED FAC/2022/04/0007 du 06/04/22</t>
  </si>
  <si>
    <t xml:space="preserve">Electrodes ECG "NM 42 DFI (5) </t>
  </si>
  <si>
    <t>SALOUM PHARMA Facture N° 002836 du 07/04/22</t>
  </si>
  <si>
    <t>Pulmicort 1MG (suspension pour inhalation par nébulisateur)</t>
  </si>
  <si>
    <t>Batterie onduleurs (3)</t>
  </si>
  <si>
    <t>18 draps d'examen Ambroi'SY F. N° 004 du 22/04/2022</t>
  </si>
  <si>
    <t xml:space="preserve">Plomberie médina F. 0000229 du 22/04/22 + main d'œuvre </t>
  </si>
  <si>
    <t>DSA F0270/2022 du 02/04/2022</t>
  </si>
  <si>
    <t>Transport CMSFP Laye</t>
  </si>
  <si>
    <t xml:space="preserve">Feutres labo </t>
  </si>
  <si>
    <t>Transport CBM</t>
  </si>
  <si>
    <t>DELTA MEDICAL N° 491766 du 28/04/2022 papier ECG</t>
  </si>
  <si>
    <t>3 -    BENEFICE MOIS D'AVRIL 2022 :</t>
  </si>
  <si>
    <t>SOLDE FIN AVRIL 2022</t>
  </si>
  <si>
    <t>N.B. : Les analyses offertes gracieusement au courant du mois de d'Avril 2022:</t>
  </si>
  <si>
    <t>DABLE SERVICES - 13.990.000  Dépenses :  6.161.000 Reste : 7.829.000</t>
  </si>
  <si>
    <t>MEDILABO 11.950.000-Dépenses : 6.247.625 Reste : 5.702.375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</si>
  <si>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</si>
  <si>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</si>
  <si>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</si>
  <si>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MAI 2022</t>
  </si>
  <si>
    <t>REPPORT SOLDE FINAL MOIS D'AVRIL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</si>
  <si>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</si>
  <si>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de Mai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</si>
  <si>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</si>
  <si>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 436 500 FRS 60/%  </t>
  </si>
  <si>
    <t>Honoraires Khadija Jacqueline FAYE</t>
  </si>
  <si>
    <t>CONSOMED F,N° 4459/22 du 04/0522</t>
  </si>
  <si>
    <t>Ambroi'sy F,N° 005/22 du 04/05/22 un tensiomètre 3 brassards</t>
  </si>
  <si>
    <t xml:space="preserve">Grosse sucre </t>
  </si>
  <si>
    <t>Peintre matériel F,N° 530 du 08/05/22</t>
  </si>
  <si>
    <t>Dépannage automate biochimie Tech, Serv. FA221385 du 19/04</t>
  </si>
  <si>
    <t>Transport week-end</t>
  </si>
  <si>
    <t>Quincaillerie Khadim Rassoul N° 000921 du 16/05/22</t>
  </si>
  <si>
    <t xml:space="preserve">Menuisier métallique main d'œuvre </t>
  </si>
  <si>
    <t>Reliquat facture blouses</t>
  </si>
  <si>
    <t>CONSOMED F N° 4475/22 du 19/22</t>
  </si>
  <si>
    <t>SAOUM PHARMA F N° 002837 du 17/05/22</t>
  </si>
  <si>
    <t>Bandelttes INFINITY (5) F N° 00033 du 20/05/22</t>
  </si>
  <si>
    <t>CONSOMED F. N° 4485/22 du 23/05/22</t>
  </si>
  <si>
    <t>SOTELMED F, N° 6850 du 26/05/2022</t>
  </si>
  <si>
    <t>Médicaments Diamniadio F N° 22/0365180 du 27/02/22</t>
  </si>
  <si>
    <t>Diamniadio Dakin Stab 500 ML</t>
  </si>
  <si>
    <t xml:space="preserve">Fil de suture </t>
  </si>
  <si>
    <t xml:space="preserve">Machine àcalculer </t>
  </si>
  <si>
    <t>OPEN SERVICES 1.000 cartes GSRH</t>
  </si>
  <si>
    <t>Tech. Serv. Abonnement HbA1C mois de mai</t>
  </si>
  <si>
    <t>SSI (2) + Dakin (1)</t>
  </si>
  <si>
    <t xml:space="preserve">Salbutamo (1) </t>
  </si>
  <si>
    <t xml:space="preserve">Transport Diamniadio (Thiak Thiak </t>
  </si>
  <si>
    <t>Piles PM 1/B</t>
  </si>
  <si>
    <t>3 sachets</t>
  </si>
  <si>
    <t>Déjeuner Nabou</t>
  </si>
  <si>
    <t>Electricité réparation installation électrique médina (Sages-Femme)</t>
  </si>
  <si>
    <t>Piles (PM et GM) 10 de chaque</t>
  </si>
  <si>
    <t>3 -    BENEFICE MOIS DE MAI 2022 :</t>
  </si>
  <si>
    <t>SOLDE FIN MAI 2022</t>
  </si>
  <si>
    <t>N.B. : Les analyses offertes gracieusement au courant du mois de de Mai 2022:</t>
  </si>
  <si>
    <t>MEDILABO 11.950.000-Dépenses : 7.305.925 Reste : 4.664.075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</si>
  <si>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</si>
  <si>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</si>
  <si>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</si>
  <si>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JUIN 2022</t>
  </si>
  <si>
    <t>REPPORT SOLDE FINAL MOIS DE MAI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</si>
  <si>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</si>
  <si>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de Juin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</si>
  <si>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</si>
  <si>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 361 500 FRS 60/%  </t>
  </si>
  <si>
    <t>Cartes pélerinage (200)</t>
  </si>
  <si>
    <t>2 Blouses Khadidjia (laborantine)</t>
  </si>
  <si>
    <t>TVA</t>
  </si>
  <si>
    <t>50 ordonnanciers</t>
  </si>
  <si>
    <t>DSA pack CB5400 N° 000191 du 02/06/2022</t>
  </si>
  <si>
    <t>Tech. Serv. Abonnement HbA1C mois de juin</t>
  </si>
  <si>
    <t>IMPEC SERVICES HP noir 305 N° 000050 du 9/6/22</t>
  </si>
  <si>
    <t>Ampoules (10) Paul</t>
  </si>
  <si>
    <t>IMPEC SERVICE HP 203 (4 couleurs) N° 000051 du 10/06</t>
  </si>
  <si>
    <t>2 catheter</t>
  </si>
  <si>
    <t xml:space="preserve">Câble imprimante Diamniadio </t>
  </si>
  <si>
    <t>Transport technicien</t>
  </si>
  <si>
    <t>Electrodes ECG Delta Médical F N° 492564 du 17/06/22 (11)</t>
  </si>
  <si>
    <t>SALOUM PHARMA FN° 002838 du 16/06/22</t>
  </si>
  <si>
    <t>CONSOMED aiguilles F. N° 5060/22 du 16/06/22</t>
  </si>
  <si>
    <t>CONSOMED eau désionnisée 5 litres FN° 5067/22 du 17/06</t>
  </si>
  <si>
    <t>Feutres Labo (38)</t>
  </si>
  <si>
    <t>Tech. Serv. FA222409 du 30/6/22 Ab. Juin HbA1C</t>
  </si>
  <si>
    <t>Tech. Serv. FA222303 du 20/6/22 (2 HbA1C)</t>
  </si>
  <si>
    <t xml:space="preserve">Tech. Serv. FA221350 du 19/04/22 </t>
  </si>
  <si>
    <t>Café carte noire 1/P</t>
  </si>
  <si>
    <t xml:space="preserve">Menuiserie achat matériel + main d'œuvre </t>
  </si>
  <si>
    <t>Café carte noire 2/P</t>
  </si>
  <si>
    <t>3 -    BENEFICE MOIS DE JUIN 2022 :</t>
  </si>
  <si>
    <t>SODECI 10 Extincteurs + 10 Plaques signalétiques</t>
  </si>
  <si>
    <t>Achat de consommables pour le cabinet dentaire de la Médina</t>
  </si>
  <si>
    <t>Achat fauteuil roulante</t>
  </si>
  <si>
    <t>Complément acquisition fauteuil pour cabinet dentaire diamniadio</t>
  </si>
  <si>
    <t>SOLDE FIN JUIN 2022</t>
  </si>
  <si>
    <t>N.B. : Les analyses offertes gracieusement au courant du mois de de Juin 2022:</t>
  </si>
  <si>
    <t>MEDILABO 11.950.000-Dépenses : 7.902.925 Reste : 4.047.075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</si>
  <si>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</si>
  <si>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</si>
  <si>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</si>
  <si>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JUILLET 2022</t>
  </si>
  <si>
    <t>REPPORT SOLDE FINAL MOIS DE JUIN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</si>
  <si>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</si>
  <si>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de Juillet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</si>
  <si>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</si>
  <si>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 228.000 FRS   </t>
  </si>
  <si>
    <t>Piles plates (8)</t>
  </si>
  <si>
    <t>Serrures 2</t>
  </si>
  <si>
    <t>Insecticides 2</t>
  </si>
  <si>
    <t>Transport table gynécologique Médina</t>
  </si>
  <si>
    <t>MJS F N° 35376 du 6/7/22 carton/6</t>
  </si>
  <si>
    <t>Tech. Serv. FA222398 du 29/6/22 ABX Pack réact. 600 tests</t>
  </si>
  <si>
    <t>Tech. Serv. FA 215149 du 31/12/21 Ab. HbA1C Janv. 22</t>
  </si>
  <si>
    <t xml:space="preserve">Café NESPRESSO 120 capsules </t>
  </si>
  <si>
    <t>Verres à jetter 7/50</t>
  </si>
  <si>
    <t>MJS FN° 37617 du 20/7/22 4 cartons de 6 draps d'examen</t>
  </si>
  <si>
    <t>Cartouche HP 203 noire imprimante médina</t>
  </si>
  <si>
    <t>Matériel installation câble informatique Fn° 00091 du 20/07/22</t>
  </si>
  <si>
    <t>Mzin d'œuvre installation câble informatique</t>
  </si>
  <si>
    <t>Tournevis + vis</t>
  </si>
  <si>
    <t>Transport Médina (produits d'entretien)</t>
  </si>
  <si>
    <t>Essui tout 3/P (20)</t>
  </si>
  <si>
    <t>Cartouche HP 305 noire imprimante Diamniadio</t>
  </si>
  <si>
    <t>SOTELMED FAC/2022/07/0076 du 28/07/2022</t>
  </si>
  <si>
    <t>SALOUM PHARMA  fac 002839 du 28/07/22</t>
  </si>
  <si>
    <t>SOTELMED FAC/2022/08/0003 du 01/08/2022</t>
  </si>
  <si>
    <t>CONSOMED F N° 5070/22 du 01/08/22</t>
  </si>
  <si>
    <t>Tech. Serv. FA222827 du 28/07/22</t>
  </si>
  <si>
    <t>Transport Contrôleur Budgétaire Ministériel</t>
  </si>
  <si>
    <t>3 -    BENEFICE MOIS DE JUILLET 2022 :</t>
  </si>
  <si>
    <t>SOLDE FIN JUILLET 2022</t>
  </si>
  <si>
    <t>Pour les non agents de l'Etat (16)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</si>
  <si>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</si>
  <si>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</si>
  <si>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</si>
  <si>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D'AOUT 2022</t>
  </si>
  <si>
    <t>REPPORT SOLDE FINAL MOIS DE JUILLET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</si>
  <si>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</si>
  <si>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de Août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</si>
  <si>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</si>
  <si>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60 % 400.000 FRS   </t>
  </si>
  <si>
    <t>Honoraires Mme Alimatou SECK</t>
  </si>
  <si>
    <t>Carte GSRH (1000)</t>
  </si>
  <si>
    <t>Transport COF</t>
  </si>
  <si>
    <t>Plateau de service pour conseil de santé</t>
  </si>
  <si>
    <t>Réparation clim médina (moteur)</t>
  </si>
  <si>
    <t xml:space="preserve"> Menuiserie métallique rép.+mont.bur.+ser.porte labo+M.O</t>
  </si>
  <si>
    <t>DSA réactifs labo</t>
  </si>
  <si>
    <t>Tech. Serv. FA222984 du 08/08/2022</t>
  </si>
  <si>
    <t>Piles 2/p de 4 (8)</t>
  </si>
  <si>
    <t>CONSOMED F. N° 5070/22 du 10/08/2022</t>
  </si>
  <si>
    <t>Crédit téléphone Alassane</t>
  </si>
  <si>
    <t>Incinération déchet Labo</t>
  </si>
  <si>
    <t>Piles DURACEL (10/PM - 10/GM)</t>
  </si>
  <si>
    <t>CONSOMED F. N° 5087/22 du 17/08/2022</t>
  </si>
  <si>
    <t>Adaptateur pour frigo bar</t>
  </si>
  <si>
    <t xml:space="preserve">Médicament infirmerie </t>
  </si>
  <si>
    <t>SOTELMED FAC/2022/0040 du 11/05/2022</t>
  </si>
  <si>
    <t xml:space="preserve">Piles 2 </t>
  </si>
  <si>
    <t>Porte menteau bureau Docteur DIA</t>
  </si>
  <si>
    <t>SALOUM PHARMA Fact. N° 002840 du 25/08/2022</t>
  </si>
  <si>
    <t>3 -    BENEFICE MOIS D'AOÛT 2022 :</t>
  </si>
  <si>
    <t>SOLDE FIN AOUT 2022</t>
  </si>
  <si>
    <t>N.B. : Les analyses offertes gracieusement au courant du mois d'Août 2022: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</si>
  <si>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</si>
  <si>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</si>
  <si>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SADIO Amy NGOM</t>
    </r>
  </si>
  <si>
    <t>RAPPORT FINANCIER DU MOIS DE SEPTEMBRE 2022</t>
  </si>
  <si>
    <t>REPPORT SOLDE FINAL MOIS D'AOÛT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</si>
  <si>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</si>
  <si>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de Septembre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</si>
  <si>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</si>
  <si>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60 % 177600 FRS   </t>
  </si>
  <si>
    <t>STABURO F N° 22278 du 02/09/22</t>
  </si>
  <si>
    <t>SOTELMED FAC/2022/08/0064 du 22/08/2022</t>
  </si>
  <si>
    <t>Réparation réseau Internet ADIE</t>
  </si>
  <si>
    <t>CONSOMED F. N° 5167/22 du  07/09/22</t>
  </si>
  <si>
    <t>Tech. Serv. FA223106 du 30/08/2022</t>
  </si>
  <si>
    <t>Rasoirs à jetter</t>
  </si>
  <si>
    <t>UNIVERS MOBILE MULTIMEDIA téléphone médina (Echo)</t>
  </si>
  <si>
    <t>Serrure tiroirs secrétariat</t>
  </si>
  <si>
    <t>Puce orange téléphone médina (Echo)</t>
  </si>
  <si>
    <t>Rép. fauteuil salle d'attente médecin-chef et rép. t. d'ex. infirmerie</t>
  </si>
  <si>
    <t>Verre à jetter 10/P de 50</t>
  </si>
  <si>
    <t>Dakin 500ML et Eosine 500ML 1%</t>
  </si>
  <si>
    <t xml:space="preserve">Répa. 3 pla. + 3 tables de bur. +peinture escabeau et lit d'exam </t>
  </si>
  <si>
    <t>Achat éponge et houssagez de 6 poufs</t>
  </si>
  <si>
    <t>Tech. Serv. FA223436 du 23/09/2022 rajout HbA1C</t>
  </si>
  <si>
    <t>Réparation maintenance imprimante Labo</t>
  </si>
  <si>
    <t>Transport médina produits d'entretien et matériel</t>
  </si>
  <si>
    <t>Rasoirs à jetter 8/B de 5 pour infirmerie</t>
  </si>
  <si>
    <t>Tech. Serv. FA223434 du 23/09/2022</t>
  </si>
  <si>
    <t>3 -    BENEFICE MOIS DE SEPTEMBRE 2022 :</t>
  </si>
  <si>
    <t>Produits consommables cabinet dentaire du CMSFP</t>
  </si>
  <si>
    <t>SOLDE FIN SEPTEMBRE 2022</t>
  </si>
  <si>
    <t>N.B. : Les analyses offertes gracieusement au courant du mois de Septembre 2022: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</si>
  <si>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</si>
  <si>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</si>
  <si>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</si>
  <si>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D'OCTOBRE 2022</t>
  </si>
  <si>
    <t>RAPPORT FINANCIER DU MOIS DE DECEMBRE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</si>
  <si>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</si>
  <si>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d'Octobre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</si>
  <si>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</si>
  <si>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60 %     </t>
  </si>
  <si>
    <t>Tech. Serv. FA223624 ab. Oct. HbA1C</t>
  </si>
  <si>
    <t>Réparation serrure toilettes</t>
  </si>
  <si>
    <t>SALOUM PHARMA F. N° 002841 du 03/10/2022</t>
  </si>
  <si>
    <t xml:space="preserve">Dakin Stab 500 ML </t>
  </si>
  <si>
    <t>Achat robinet secrétariat + main d'œuvre F. N° 000192 12/10/22</t>
  </si>
  <si>
    <t>BA EAU BAB 4/B + recharge pleine</t>
  </si>
  <si>
    <t>Tech. Serv. FA223784 en date du 14/10/2022</t>
  </si>
  <si>
    <t>Désodorisants pour labo (2)</t>
  </si>
  <si>
    <t>Incinération déchets labo</t>
  </si>
  <si>
    <t>Dakin Infirmerie</t>
  </si>
  <si>
    <t>MJS 2/cartons draps d'examen (12)</t>
  </si>
  <si>
    <t>verres à jetter 10 paquets de 50</t>
  </si>
  <si>
    <t>Rideaux et accessoires Médina</t>
  </si>
  <si>
    <t>Masse (Dr DIOP)</t>
  </si>
  <si>
    <t xml:space="preserve">Menuisier </t>
  </si>
  <si>
    <t xml:space="preserve">Remboursement Anakyses Biologiques </t>
  </si>
  <si>
    <t xml:space="preserve">Dicaciline inj. </t>
  </si>
  <si>
    <t>Gucosé 5% (7)</t>
  </si>
  <si>
    <t>Tech. Serv. FA 223885 du 20/10/2022</t>
  </si>
  <si>
    <t>Dicaciline 2,4 M 3/b</t>
  </si>
  <si>
    <t>Electrodes "ECG" 9/B DELTA MEDICAL  BL n° 511843 du 26/10</t>
  </si>
  <si>
    <t>MJS 2/cartons draps d'examen (12) F n° 54746 du 26/10</t>
  </si>
  <si>
    <t>Remboursement MAPA le 27/10/2022</t>
  </si>
  <si>
    <t xml:space="preserve">IMPEC-SERVICES F. N° 000109 du 26/10/2022 </t>
  </si>
  <si>
    <t>CONSOMED F.N° 5167/22 du 28/10/22</t>
  </si>
  <si>
    <t>DSA Group F.N° F0611 du 26/10/2022 acompte</t>
  </si>
  <si>
    <t>Crédit téléphone médina</t>
  </si>
  <si>
    <t>Canon toilettes médina + main d'Œuvre</t>
  </si>
  <si>
    <t>Dépannage ordinateur infirmerie</t>
  </si>
  <si>
    <t>Capsules café 10/P</t>
  </si>
  <si>
    <t>IMPEC SERVICES FN° 000135 du 30/12/2022</t>
  </si>
  <si>
    <t xml:space="preserve">Ampoules médina + main d'œuvre </t>
  </si>
  <si>
    <t>Chaise Ophtalmo (vis)</t>
  </si>
  <si>
    <t>3 -    BENEFICE MOIS D'OCTBRE 2022 :</t>
  </si>
  <si>
    <t>3 -    BENEFICE MOIS DE DECEMBRE 2022 :</t>
  </si>
  <si>
    <t>SOLDE FIN OCTOBRE 2022</t>
  </si>
  <si>
    <t>N.B. : Les analyses offertes gracieusement au courant du mois d'Octobre 2022:</t>
  </si>
  <si>
    <t>N.B. : Les analyses offertes gracieusement au courant du mois de Décembre 2022:</t>
  </si>
  <si>
    <t>MEDILABO 11.950.000-Dépenses : 9.841.925 Reste : 2.108.075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</si>
  <si>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</si>
  <si>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</si>
  <si>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</si>
  <si>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DE NOVEMBRE 2022</t>
  </si>
  <si>
    <t>REPPORT SOLDE FINAL MOIS D'OCTOBRE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</si>
  <si>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</si>
  <si>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Novembre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</si>
  <si>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</si>
  <si>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Réparation électricité médina </t>
  </si>
  <si>
    <t>Chro. Pota. coo-2 chro. sod. 10% B/10 6 serin. Inj 1 Ml 100UI</t>
  </si>
  <si>
    <t>Désodorisants 6/b</t>
  </si>
  <si>
    <t xml:space="preserve">100 Sachets urines labo IMP.-SERV F. N¨N° 000108 du 8/11 </t>
  </si>
  <si>
    <t>BA EAU BAB 6/B</t>
  </si>
  <si>
    <t>Remboursement MAPA le 09/11/2022</t>
  </si>
  <si>
    <t>Sentech Corp FN° 000111 du 10/11/2022 7/B de 50 Bandelettes INFINITY</t>
  </si>
  <si>
    <t>6 Dicacilline inj. 2.4UI AMP</t>
  </si>
  <si>
    <t>DSA Group F.N° 0727/2021 DU 02/11</t>
  </si>
  <si>
    <t>ASMA MEDIC Suarl ASM 305 02/11/2022</t>
  </si>
  <si>
    <t xml:space="preserve">Tech. Serv. FA 224006 du 28/10/2022 </t>
  </si>
  <si>
    <t>F N° 0000092 du 14/11/2022 abattant toilette CMSFP + MO</t>
  </si>
  <si>
    <t>Recharge agraffeuse une grande boîte F N° 00025 du 16/11/22</t>
  </si>
  <si>
    <t xml:space="preserve">ARTESIANE AHP Inj 80 MGB/52 </t>
  </si>
  <si>
    <t>Tech. Serv. FA 224087 du 04/11/22 abon. Novembre</t>
  </si>
  <si>
    <t>IMPEC-SERVICES F. N° 000121 du 28/1/2022 3 HP 123</t>
  </si>
  <si>
    <t>SALOUM PHARMA N° 002841 du 03/11/2022</t>
  </si>
  <si>
    <t>Glucosé 5% (5)</t>
  </si>
  <si>
    <t>3 Boîtes de 100 abaisses langues</t>
  </si>
  <si>
    <t>Glucosé 5%  FRES FP (5) + Ringer la lacte ECOF (7)</t>
  </si>
  <si>
    <t xml:space="preserve">20 Essuis tout </t>
  </si>
  <si>
    <t>Ord. Infirmerie (Cathet bleu+2 Novalgin 500MG+Vitagen inj.</t>
  </si>
  <si>
    <t>Modulaire 16A+câble 3x2,5+prise 1p+T+contact simple+globe</t>
  </si>
  <si>
    <t xml:space="preserve">Main d'œuvre électricien </t>
  </si>
  <si>
    <t>BA EAU BAB 4/B le 21/11/22</t>
  </si>
  <si>
    <t>BA EAU BAB 4/B le 25/11/22</t>
  </si>
  <si>
    <t>CONSOMED N° 5265/22 du 24/11/2022</t>
  </si>
  <si>
    <t>Médicaments infirmerie</t>
  </si>
  <si>
    <t>Transport médina produits d'entretien</t>
  </si>
  <si>
    <t>Désodorisants 3/b</t>
  </si>
  <si>
    <t>Dakin GM 2/B</t>
  </si>
  <si>
    <t>BA EAU BAB 4/b médina</t>
  </si>
  <si>
    <t>Seynabou Crédit téléphone</t>
  </si>
  <si>
    <t>Abaisse langue</t>
  </si>
  <si>
    <t>3 -    BENEFICE MOIS DE NOVEMBRE 2022 :</t>
  </si>
  <si>
    <t>SOLDE FIN NOVEMBRE 2022</t>
  </si>
  <si>
    <t>N.B. : Les analyses offertes gracieusement au courant du mois de Novembre 2022: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</si>
  <si>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</si>
  <si>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</si>
  <si>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</si>
  <si>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REPPORT SOLDE FINAL MOIS DE NOVEMBRE 2022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</si>
  <si>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</si>
  <si>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Décembre 2022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</si>
  <si>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</si>
  <si>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Tech. Services FA N° 224496 du 30/11/22 Ab. Dec. HbA1C</t>
  </si>
  <si>
    <t>Pharmacie Sandiniéry F. N° 22/0446141 compress Label 40x40</t>
  </si>
  <si>
    <t>Vofalène inj.  + 1/b compress 40 x 40</t>
  </si>
  <si>
    <t>Bétadine gel dermique TP 30G FN° 468/B du 6/12/22</t>
  </si>
  <si>
    <t>Thermomètre FN° 468/B du 06/12/22</t>
  </si>
  <si>
    <t>Piles PM 08/B</t>
  </si>
  <si>
    <t>ASMA MEDIC Suarl ASM313 du 08/12/2022</t>
  </si>
  <si>
    <t>DSA Group F0865/22 du 12/12/22</t>
  </si>
  <si>
    <t>Vernis à ongles pour le Labo (12)</t>
  </si>
  <si>
    <t>Ampoule labo</t>
  </si>
  <si>
    <t>Remboursement transport Docteur Aminata NDIAYE</t>
  </si>
  <si>
    <t>CONSOMED FN° 5265/22 du 16/12/22</t>
  </si>
  <si>
    <t xml:space="preserve">01 Carnet Recette/Dépense </t>
  </si>
  <si>
    <t xml:space="preserve">02 Agenda </t>
  </si>
  <si>
    <t>Tech. Serv. FA225638 du 20/12/22 (ch.HDL + ABX pack réa.</t>
  </si>
  <si>
    <t>Transport thiak thiak réactifs Tech. Serv. Réactifs labo</t>
  </si>
  <si>
    <t>Nespresso 4/P de 10 (40)</t>
  </si>
  <si>
    <t>Glucose 5% (10) + perfuseur mélange (20) F22/0453268 21/12</t>
  </si>
  <si>
    <t>Valium 10 MG ampoule injectable 2 ML B/6</t>
  </si>
  <si>
    <t>Cartouche HP 203 noire IMPEC SERVICES FN° 13323/12</t>
  </si>
  <si>
    <t>Cartouche HP 203 3 couleurs IMPEC SERVICES FN° 13323/12</t>
  </si>
  <si>
    <t>Machine à calculer 12 chiffres CASIO FN°0000134 IMPEC SER.</t>
  </si>
  <si>
    <t>SALOUM PHARMA FN° 002843 du 22/12/2022</t>
  </si>
  <si>
    <t>MJS 3cartons draps d'examen FN° 678680 du 29/12/22</t>
  </si>
  <si>
    <t>5/B bandelettes INFINTY</t>
  </si>
  <si>
    <t>CONSOMED FN° 5375/22 du 30/12/2022</t>
  </si>
  <si>
    <t>Réparation appareil (MAPA)</t>
  </si>
  <si>
    <t>2 Climatiseurs + 1 support</t>
  </si>
  <si>
    <t>Appareil MEZI</t>
  </si>
  <si>
    <t>SOLDE FIN DECEMBRE 2022</t>
  </si>
  <si>
    <t>MEDILABO 11.950.000-Dépenses : 10.816.425 Reste : 1.133.575</t>
  </si>
  <si>
    <t xml:space="preserve">    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</si>
  <si>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</si>
  <si>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</si>
  <si>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</si>
  <si>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DE JANVIER 2023</t>
  </si>
  <si>
    <t>REPPORT SOLDE FINAL MOIS DE DECEMBRE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</si>
  <si>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</si>
  <si>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 mois de Janvier 2023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</si>
  <si>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</si>
  <si>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Honoraires Docteur Aminata NDIAYE</t>
  </si>
  <si>
    <t>Fatou Kiné DIEYE</t>
  </si>
  <si>
    <t>Incinération médicaments périmés et boîtes de sécurité</t>
  </si>
  <si>
    <t xml:space="preserve">Aniverssaire </t>
  </si>
  <si>
    <t>Transport congélateur CMSFP médina - PMI médina</t>
  </si>
  <si>
    <t xml:space="preserve">Recharge agraffeuse F N° 00077 </t>
  </si>
  <si>
    <t>Piles téléphone Docteur SARR</t>
  </si>
  <si>
    <t xml:space="preserve"> Transport bputeilles BA EAU BAB (BADJI)</t>
  </si>
  <si>
    <t>Dépannage internet CMSFP</t>
  </si>
  <si>
    <t>BA EAU BAB 10/B</t>
  </si>
  <si>
    <t>Pharmacie sandiniéry FN° 17/01/23 6-SG 5%</t>
  </si>
  <si>
    <t>Transport médina Laye</t>
  </si>
  <si>
    <t>SALOUM PHARMA FN° 002844 du 17/01/2023</t>
  </si>
  <si>
    <t>Gants Latex - Ringer LACT BB Ecoflac etc (Diamniadio)</t>
  </si>
  <si>
    <t>Informaticien Pape Amadou NDOYE</t>
  </si>
  <si>
    <t>Verres à jetter 10/P de 50</t>
  </si>
  <si>
    <t xml:space="preserve">Madar 5/b </t>
  </si>
  <si>
    <t>Piles GM 3/P</t>
  </si>
  <si>
    <t>Café 20/B de 10 (200 capsules)</t>
  </si>
  <si>
    <t xml:space="preserve">Chauffe-eau </t>
  </si>
  <si>
    <t>Travaux salle Ophtalmologie (électricité)</t>
  </si>
  <si>
    <t>Quincaillerie CISSE et Frères matériel électricité médina</t>
  </si>
  <si>
    <t>Madar 2/b</t>
  </si>
  <si>
    <t>BA EAU BAB 1/B</t>
  </si>
  <si>
    <t>Désodorisants (8) 1/1500</t>
  </si>
  <si>
    <t>Bétadine Gel Dermique TB 30G = vaseline cooper OFFIC</t>
  </si>
  <si>
    <t>Carton 500 enveloppes moyennes</t>
  </si>
  <si>
    <t xml:space="preserve">3 cartons Madar liquide </t>
  </si>
  <si>
    <t>Electrodes ECG (15)</t>
  </si>
  <si>
    <t>Dynapar-Pulmicort-Ventoline-Trabar (Médicaments Diamniadio)</t>
  </si>
  <si>
    <t>Crédit Seynabou</t>
  </si>
  <si>
    <t>BA EAU BAB 4/B - médina</t>
  </si>
  <si>
    <t>MAPA: contrôle fontion + Save USB MAPA + rép. Composants</t>
  </si>
  <si>
    <t xml:space="preserve">5 impressions A3 couleur </t>
  </si>
  <si>
    <t>Matériel montage climatiseurs</t>
  </si>
  <si>
    <t>Affichage enseigne Ophtalmo</t>
  </si>
  <si>
    <t>Télé commande climatiseur</t>
  </si>
  <si>
    <t xml:space="preserve">Transport Laye DIOP 3 jours </t>
  </si>
  <si>
    <t>3 -    BENEFICE MOIS DE JANVIER 2023 :</t>
  </si>
  <si>
    <t>2 splits + un support</t>
  </si>
  <si>
    <t>SOLDE FIN JANVIER 2023</t>
  </si>
  <si>
    <t>N.B. : Les analyses offertes gracieusement au courant du mois de Janvier 2023: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</si>
  <si>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</si>
  <si>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</si>
  <si>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</si>
  <si>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DE FEVRIER 2023</t>
  </si>
  <si>
    <t>REPPORT SOLDE FINAL MOIS DE JANVIER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</si>
  <si>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</si>
  <si>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</si>
  <si>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Transport Médina matériel Ophtalmologue</t>
  </si>
  <si>
    <t>IMPEC-SERVICES 70 carnets de reçu</t>
  </si>
  <si>
    <t xml:space="preserve">MJS F N° 75560 3 cartons de draps d'examen </t>
  </si>
  <si>
    <t>DSA F N° F0080/2022 DU 01/02/2023</t>
  </si>
  <si>
    <t>OPEN-SERVICES 1 cachet Trodat pour la Médina</t>
  </si>
  <si>
    <t>CONSOMED F N° 6700/23 Ddu 06/02/2023</t>
  </si>
  <si>
    <t>IMPEC-SERVICES F N° 000148 du 08/02/2023 65 ordon.</t>
  </si>
  <si>
    <t>IMPEC-SERVICES F N°000149 du 08/02/2023</t>
  </si>
  <si>
    <t>Tech. Services FA230378 du 01/02/2023 Ab. Février HBA1C</t>
  </si>
  <si>
    <t xml:space="preserve"> IMPEC-SERVICES 2 cartons d'env. A4 (250)+2 cart. A5</t>
  </si>
  <si>
    <t>CONSOMED F N° 5317/23 Ddu 10/02/2023</t>
  </si>
  <si>
    <t xml:space="preserve">Quincaillerie Khadim Rassoul 3 régulateurs </t>
  </si>
  <si>
    <t>SALOUM PHARMA FN° 002845 du 10/02/2023</t>
  </si>
  <si>
    <t xml:space="preserve">Déodorisants (7) </t>
  </si>
  <si>
    <t>5 Paquets de 50 verres  à jetter</t>
  </si>
  <si>
    <t xml:space="preserve">22/B de 10 café EXPRESSO </t>
  </si>
  <si>
    <t>Electroicien MFPTSP (réparation, installation électrique Médina</t>
  </si>
  <si>
    <t>IMPEC-SERVICES câble VS du 21/02/23</t>
  </si>
  <si>
    <t>DSA FN° F0126/2023</t>
  </si>
  <si>
    <t>Poudre  souris (4)</t>
  </si>
  <si>
    <t>SOTELMED F N°  FAC/2023/02/0065</t>
  </si>
  <si>
    <t>CONSOMED F N° 5325/23 du 22/02/2023</t>
  </si>
  <si>
    <t xml:space="preserve">Porte menteau  </t>
  </si>
  <si>
    <t>Quincaillerie Khadim Rassoul F N° 000418 du 16/02/23 gl+contact</t>
  </si>
  <si>
    <t>Globe</t>
  </si>
  <si>
    <t>Echelle</t>
  </si>
  <si>
    <t>Crédit téléphone Seynabou</t>
  </si>
  <si>
    <t>3 -    BENEFICE MOIS DE FEVRIER 2023 :</t>
  </si>
  <si>
    <t>SOLDE FIN FEVRIER 2023</t>
  </si>
  <si>
    <t>N.B. : Les analyses offertes gracieusement au courant du mois de Février 2023:</t>
  </si>
  <si>
    <t xml:space="preserve">Pour les Agents de l'Etat </t>
  </si>
  <si>
    <t>MEDILABO Bud. 2021 : 11.950.000-Dép. : 12.090.000 Reste : - 140.000</t>
  </si>
  <si>
    <t>MEDILABO Bud. 2022 : 11.950.000-Dép. : 12.060.000 Reste : - 115.000</t>
  </si>
  <si>
    <t>TOTAL dû à MEDILABO : 255.000</t>
  </si>
  <si>
    <t>DSA - 14.971.200 - Dépenses : 158.000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</si>
  <si>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</si>
  <si>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</si>
  <si>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</si>
  <si>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DE MARS 2023</t>
  </si>
  <si>
    <t>REPPORT SOLDE FINAL MOIS DE FEVRIER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</si>
  <si>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</si>
  <si>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de Mars 2023</t>
  </si>
  <si>
    <t>Consultations Ophtalmologiques mois de Mars (41 patients)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</si>
  <si>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</si>
  <si>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Docteur PIA</t>
  </si>
  <si>
    <t>Fatoumata WASSA</t>
  </si>
  <si>
    <t>Onduleur</t>
  </si>
  <si>
    <t xml:space="preserve">Ambroi'Sy Santé FN° 14032023 </t>
  </si>
  <si>
    <t>Cadenas</t>
  </si>
  <si>
    <t>Ampoules néons (10 ampoules+trans+main d'œuvre)</t>
  </si>
  <si>
    <t>Technologies services FA230386 du 01/02/2023</t>
  </si>
  <si>
    <t>Soudeur armoire Médina</t>
  </si>
  <si>
    <t>Plaque Ophtalmo</t>
  </si>
  <si>
    <t>CONSOMED F N° 5060/23 Ddu 28/03/2023</t>
  </si>
  <si>
    <t>Verres à jetter 10/sachet de 50</t>
  </si>
  <si>
    <t>Cartouche HP couleur  F N° 003668 du 30/03/23</t>
  </si>
  <si>
    <t>Ttansport réactifs Technologies Services</t>
  </si>
  <si>
    <t>SOLDE FIN  MARS 2023</t>
  </si>
  <si>
    <t>N.B. : Les analyses offertes gracieusement au courant du mois de Mars 2023: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</si>
  <si>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</si>
  <si>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</si>
  <si>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</si>
  <si>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D'AVRIL 2023</t>
  </si>
  <si>
    <t>REPPORT SOLDE FINAL MOIS DE MARS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</si>
  <si>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</si>
  <si>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d'Avril 2023</t>
  </si>
  <si>
    <t>Consultations Ophtalmologiques mois d'Avril (27 patients)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</si>
  <si>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</si>
  <si>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Genpar Inj. + perfuseur </t>
  </si>
  <si>
    <t xml:space="preserve">Nébulisateur Salbutamo </t>
  </si>
  <si>
    <t>6 paquets DURACEL 3/A</t>
  </si>
  <si>
    <t>Vitagen inj.</t>
  </si>
  <si>
    <t>Transport matériel de bureau DMTA</t>
  </si>
  <si>
    <t xml:space="preserve">Paracetamol inj. </t>
  </si>
  <si>
    <t>Transport Laye DIOP</t>
  </si>
  <si>
    <t>DELTA MEDICAL BL N° 530687 du, 11/04/2023</t>
  </si>
  <si>
    <t>CONSOMED F N° 6715/23 du 13/03/23</t>
  </si>
  <si>
    <t>SOTELMED FAC/2023/03/0048 du 14/03/2023</t>
  </si>
  <si>
    <t>SALOUM PHARMAR BL N° 002846 du 20/03/2023</t>
  </si>
  <si>
    <t xml:space="preserve">Médicament PNA </t>
  </si>
  <si>
    <t>CONSOMED F N° 6700/23/du 14/04/</t>
  </si>
  <si>
    <t>Tech. Serv. FA231491 du 19/04/2023</t>
  </si>
  <si>
    <t>SOTELMED FAC/2023/04/0051 du 14/03/2023</t>
  </si>
  <si>
    <t>Réparation frigo, montage 4 chaises + rép.serrure porte toil.</t>
  </si>
  <si>
    <t>Cadeau mariage Rosalie</t>
  </si>
  <si>
    <t>Xylocaïne injectable médina</t>
  </si>
  <si>
    <t>3 -    BENEFICE MOIS D'AVRIL 2023 :</t>
  </si>
  <si>
    <t>SOLDE FIN AVRIL 2023</t>
  </si>
  <si>
    <t>N.B. : Les analyses offertes gracieusement au courant du mois de d'Avril 2023:</t>
  </si>
  <si>
    <t>MEDILABO Bud. 2023 : 11.950.000-Dép. : 398.000 Reste : - 11.552.000</t>
  </si>
  <si>
    <t>DSA Bud. 2023 : - 14.971.200 - Dép. : 356.000 Reste : 14.615.200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</si>
  <si>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</si>
  <si>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</si>
  <si>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</si>
  <si>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DE MAI 2023</t>
  </si>
  <si>
    <t>REPPORT SOLDE FINAL MOIS D'AVRIL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</si>
  <si>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</si>
  <si>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de Mai 2023</t>
  </si>
  <si>
    <t>Consultations Ophtalmologiques mois de Mai (57 patients)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</si>
  <si>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</si>
  <si>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Garots labo (5)</t>
  </si>
  <si>
    <t>Films écho Médna (2)</t>
  </si>
  <si>
    <t>IMPEC SERVICES cartouches HP 650 (2)</t>
  </si>
  <si>
    <t xml:space="preserve">CONSOMED F N° 6700/23 </t>
  </si>
  <si>
    <t>SALOUM PHARMA F N° 002846 du 04/05/2023</t>
  </si>
  <si>
    <t>Draps d'examen 4 cartons</t>
  </si>
  <si>
    <t>Autocollant</t>
  </si>
  <si>
    <t>2 supports climatiseur F N° 00467 Darou Khoudouss</t>
  </si>
  <si>
    <t>IMPEC SERVICES 01 onduleur F N° 000170 du 05/05/2023</t>
  </si>
  <si>
    <t>Peinture armoire + main d'œuvre</t>
  </si>
  <si>
    <t xml:space="preserve">Ttansport </t>
  </si>
  <si>
    <t>montage supresseur</t>
  </si>
  <si>
    <t xml:space="preserve">Transport  </t>
  </si>
  <si>
    <t>SALOUM PHARMA F N° 002943du 10/04/2023</t>
  </si>
  <si>
    <t>CONSOMED F N° 5365du 10/05/2023</t>
  </si>
  <si>
    <t>STABURO F N° 22910 du 16/05/2023</t>
  </si>
  <si>
    <t xml:space="preserve">BA EAU BAB 6/B </t>
  </si>
  <si>
    <t>CONSOMED N° 6823/23 du 22/05/23</t>
  </si>
  <si>
    <t>Incinération déchets Labo</t>
  </si>
  <si>
    <t>ACTRAPID 100UI /10 ML</t>
  </si>
  <si>
    <t>IMPEC SERVICES F N° 0000173 2 cartouches HP couleur (123 et 650) du 31/05/2023</t>
  </si>
  <si>
    <t>CONSOMED FN° 6723/23 du 16/05/23</t>
  </si>
  <si>
    <t>ASMA MEDIC N° FACT mai 352 du 09/05/23</t>
  </si>
  <si>
    <t>ASMA MEDIC N° FACT mai 3524 du 12/05/23</t>
  </si>
  <si>
    <t>Tech. Servi. FA231667 Ab. HbA1C Mai 23</t>
  </si>
  <si>
    <t>Crédit téléphonique médina</t>
  </si>
  <si>
    <t>Tech. Serv. FA230778 du 27/02/2023</t>
  </si>
  <si>
    <t xml:space="preserve"> Tech. Serv. FA230576 du 17/02/2023 </t>
  </si>
  <si>
    <t>Tech. Serv. FA230846  du 28/02/2023 Ab. HbA1C Mars 2023</t>
  </si>
  <si>
    <t>Tech. Serv. FA231217 du 29/03/2023</t>
  </si>
  <si>
    <t>Tech. Serv. FA231234 du 31/03/2023 Ab. HbA1C Avril 2023</t>
  </si>
  <si>
    <t>3 -    BENEFICE MOIS DE MAI 2023 :</t>
  </si>
  <si>
    <t>SOLDE FIN MAI 2023</t>
  </si>
  <si>
    <t>N.B. : Les analyses offertes gracieusement au courant du mois de Mai 2023: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</si>
  <si>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</si>
  <si>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</si>
  <si>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</si>
  <si>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DE JUIN 2023</t>
  </si>
  <si>
    <t>REPPORT SOLDE FINAL MOIS DE MAI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</si>
  <si>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</si>
  <si>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de Juin 2023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</si>
  <si>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</si>
  <si>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Essui tout (8)</t>
  </si>
  <si>
    <t>Restriva 500 ML (2)</t>
  </si>
  <si>
    <t>VITAGEN injection (1)</t>
  </si>
  <si>
    <t>CONSOMED Facture N° 6700/23 du 30/05/2023</t>
  </si>
  <si>
    <t>Menuisier métallique Masse</t>
  </si>
  <si>
    <t>Poison souris</t>
  </si>
  <si>
    <t>SOTELMED FAC/2023/01/0003 du 03/01/2023</t>
  </si>
  <si>
    <t xml:space="preserve">Piles GM 12 paquets </t>
  </si>
  <si>
    <t xml:space="preserve">Seringue à insuline </t>
  </si>
  <si>
    <t>IMPEC-SERVICES FN° 000177 du 14/06/2023 cart. HP couleur(2)</t>
  </si>
  <si>
    <t>SOTELMED FAC/2023/01/0007 du 03/01/2023</t>
  </si>
  <si>
    <t>SOTELMED FAC/2023/06/0052</t>
  </si>
  <si>
    <t>SALOUM PHARMA Fact. N° 002846 du 30/05/2023</t>
  </si>
  <si>
    <t>Tech. Serv. FA232101 du 06/06/2023 Ab. HbA1C Juin</t>
  </si>
  <si>
    <t>Tech. Serv. FA232289 du 14/06/2023</t>
  </si>
  <si>
    <t>DELTA MEDICAL BL N° 537777 du 16/06/23 films Echo (2)</t>
  </si>
  <si>
    <t>Anv. El Hadji et Laye</t>
  </si>
  <si>
    <t xml:space="preserve">1Lecteur CD Samsung </t>
  </si>
  <si>
    <t>Serrure toilettes visiteurs</t>
  </si>
  <si>
    <t>DELTA LEDICAL BL N° 58325 du 21/06/23 Papier ECG 2/P</t>
  </si>
  <si>
    <t xml:space="preserve">BA EAU BAB 8/B </t>
  </si>
  <si>
    <t>Tech. Serv. FA232242 du 08/06/2023</t>
  </si>
  <si>
    <t>2/B de Dakin</t>
  </si>
  <si>
    <t>IMPEC-SERVICES FN° 000182 3 cartouches HP 123 couleur</t>
  </si>
  <si>
    <t>3 -    BENEFICE MOIS DE JUIN 2023 :</t>
  </si>
  <si>
    <t>SOLDE FIN JUIN 2023</t>
  </si>
  <si>
    <t>N.B. : Les analyses offertes gracieusement au courant du mois de Juin 2023:</t>
  </si>
  <si>
    <t>MEDILABO Bud. 2023 : 11.950.000-Dép. : 398..000 Reste : 11.552.000</t>
  </si>
  <si>
    <t>DSA Bud. 2023 : - 14.971.200 - Dép. : 2.103.000 Reste : 12.868.200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</si>
  <si>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</si>
  <si>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</si>
  <si>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</si>
  <si>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DE JUILLET 2023</t>
  </si>
  <si>
    <t>REPPORT SOLDE FINAL MOIS DE JUIN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</si>
  <si>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</si>
  <si>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de Juillet 2023</t>
  </si>
  <si>
    <t>Consultations Ophtalmologiques mois de Juillet 2023 (57 patients)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</si>
  <si>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</si>
  <si>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Désodorisants Labo</t>
  </si>
  <si>
    <t>CONSOMED Facture N° 6750/23 du 22/06/2023</t>
  </si>
  <si>
    <t>Piles DURACEL PM 6/B</t>
  </si>
  <si>
    <t xml:space="preserve">Quincallerie Khadim Rassoul Sifon </t>
  </si>
  <si>
    <t>Tech. Serv. FA232534 du 04/07/2023</t>
  </si>
  <si>
    <t>SALOUM PHARMA Fact. N° 00      du 23/06/2023</t>
  </si>
  <si>
    <t xml:space="preserve">Essui tout 10 rouleaux </t>
  </si>
  <si>
    <t>Ampoule Labo (1 néon)</t>
  </si>
  <si>
    <t xml:space="preserve">Main d'œuvre menuisier </t>
  </si>
  <si>
    <t>Ecrous</t>
  </si>
  <si>
    <t>10 Ampoules LED</t>
  </si>
  <si>
    <t>Verres à jetter 10/p</t>
  </si>
  <si>
    <t>BA EAU BAB 7/B</t>
  </si>
  <si>
    <t>CONSOMED F N° 6704 du 12/07/23</t>
  </si>
  <si>
    <t>Anv. Le 19/07/2023</t>
  </si>
  <si>
    <t>MJS F N° 24226 du 19/07/2023 2 cartons de draps d'examen (12)</t>
  </si>
  <si>
    <t>10 Lances (lame de bistouris)</t>
  </si>
  <si>
    <t>CONSOMED F N° 6757/23 du 14/07/2023</t>
  </si>
  <si>
    <t>CONSOMED F N° 6760/23 du 14/07/2023</t>
  </si>
  <si>
    <t>Cartouche HP 123/couleur IMPEC-SERVICES FN° 6760/23 14/7</t>
  </si>
  <si>
    <t>BA EAU BAB 9/B</t>
  </si>
  <si>
    <t xml:space="preserve">SOTELMED FN° FAC/2023/07/0015 du 06/07/2023 </t>
  </si>
  <si>
    <t>OPEN SERVICES FN° 08/OS/23 du 25/07/2023 cartes GSRH</t>
  </si>
  <si>
    <t xml:space="preserve">Eosine AQ 2% 500 ML </t>
  </si>
  <si>
    <t>SALOUM PHARMA F. N° 0002848 du 19/07/2023</t>
  </si>
  <si>
    <t>SODECI F. N° 0240 07 2023 du 06/07/2023</t>
  </si>
  <si>
    <t>Tech. Serv. FA 230118 du 10/01/2023</t>
  </si>
  <si>
    <t>Tech. Serv. FA 231147 du 23/03/2023</t>
  </si>
  <si>
    <t>Confection panneau réservation stationnement + sup. armoire</t>
  </si>
  <si>
    <t>Transp produits d'entetien dépense effectuée par Seynabou</t>
  </si>
  <si>
    <t>Electricité Médina dépense effectuée par Seynabou</t>
  </si>
  <si>
    <t>Climatisation dépene effectuée par Seynabou</t>
  </si>
  <si>
    <t>SOLDE FIN JUILLET 2023</t>
  </si>
  <si>
    <t>N.B. : Les analyses offertes gracieusement au courant du mois de Juillet 2023:</t>
  </si>
  <si>
    <t>DABLE SERVICES - 13.990.000  Dépenses :  6.208.000 Reste : 7.782.000</t>
  </si>
  <si>
    <t>MEDILABO Bud. 2023 : 11.950.000-Dép. : 5.762..000 Reste : 6.188.000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</si>
  <si>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</si>
  <si>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</si>
  <si>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</si>
  <si>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D'AOÛT 2023</t>
  </si>
  <si>
    <t>REPPORT SOLDE FINAL MOIS DE JUILLET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</si>
  <si>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</si>
  <si>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d'Août 2023 (64 patients)</t>
  </si>
  <si>
    <t>Consultations Ophtalmologiques mois d'Août 2023 (50 patients)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</si>
  <si>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</si>
  <si>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total recette : </t>
  </si>
  <si>
    <t>Tech. Serv. HbA1C abon. Août FA 232950 du 02/08/2023</t>
  </si>
  <si>
    <t>Remboursement A.B. agent du MFPTSP (visite périodique)</t>
  </si>
  <si>
    <t xml:space="preserve"> Remboursement MAPA </t>
  </si>
  <si>
    <t>Delta Médical film Echo et Câble ECG Fn° FC296384 du 9/8/23</t>
  </si>
  <si>
    <t>IMPEC-SERVICES FN°000188 2 cartouches HP/650 couleur</t>
  </si>
  <si>
    <t>SOTELMED F.N° FAC/2023/01/0007 du 03/01/2023</t>
  </si>
  <si>
    <t>BA EAU BAB 8/B</t>
  </si>
  <si>
    <t>Verres à jetter 10/P</t>
  </si>
  <si>
    <t>SOTELMED FAC/2022/09/0081 du 27/09/2022</t>
  </si>
  <si>
    <t>CONSOMED FN° 6800/23 du 03/08/2023</t>
  </si>
  <si>
    <t>CONSOMED N° 6753/23 du 18/08/23</t>
  </si>
  <si>
    <t>CONSOMED FN° 6810/23 du 14/08/2023</t>
  </si>
  <si>
    <t xml:space="preserve">Transp. Matériel CMSFP Diamniadio </t>
  </si>
  <si>
    <t>Désodorisants 2/P de 6 (12)</t>
  </si>
  <si>
    <t>1 Vitagen Inj. AMP/10ML B/5</t>
  </si>
  <si>
    <t>Transp. + Payage Diamniadio (Laye)</t>
  </si>
  <si>
    <t>Anniverssaire</t>
  </si>
  <si>
    <t>Etagère toilettes</t>
  </si>
  <si>
    <t>Achat batterie</t>
  </si>
  <si>
    <t>Montage chaise</t>
  </si>
  <si>
    <t>Réparation menuiserie + maçonnerie Rue Moussé diop</t>
  </si>
  <si>
    <t>Main d'œuvre informaticien (installation 3 onduleurs)</t>
  </si>
  <si>
    <t>Livraison petit déjeuner SAFAR Thiak Thiak</t>
  </si>
  <si>
    <t>2 Cartons de draps d'examen (12)</t>
  </si>
  <si>
    <t>Tech Serv. Acompte sur facture FA232566 du 05/07/2023</t>
  </si>
  <si>
    <t>Boubacar électricien (Seynabou)</t>
  </si>
  <si>
    <t>Thiak Thiak pour déposer les produits à la médina Seynabou)</t>
  </si>
  <si>
    <t>3 -    BENEFICE MOIS D'AOÛT 2023 :</t>
  </si>
  <si>
    <t>SOLDE FIN AOÛT 2023</t>
  </si>
  <si>
    <t>N.B. : Les analyses offertes gracieusement au courant du mois d'Août 2023:</t>
  </si>
  <si>
    <t>DABLE SERVICES 2022 : 13.990.000 / Dépenses :  6.208.000 Reste : 7.782.000</t>
  </si>
  <si>
    <t>MEDILABO Bud. 2023 : 11.950.000 / Dép. : 6.229..000 Reste : 5.721.000</t>
  </si>
  <si>
    <t>DSA Bud. 2023 : - 14.971.200 / Dép. : 3.838.000 Reste : 11.133.200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</si>
  <si>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</si>
  <si>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</si>
  <si>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</si>
  <si>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DE SEPTEMBRE 2023</t>
  </si>
  <si>
    <t>REPPORT SOLDE FINAL MOIS D'AOÛT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</si>
  <si>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</si>
  <si>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 xml:space="preserve">Echographies mois de Septembre 2023 </t>
  </si>
  <si>
    <t xml:space="preserve">Consultations Ophtalmologiques mois de Septembre 2023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</si>
  <si>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</si>
  <si>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 : </t>
  </si>
  <si>
    <t>Reliquat Tech. Serv. FA 232566 du 07/07/2023</t>
  </si>
  <si>
    <t>CONSOMED Facture N° 6723/23 du 25/08/2023</t>
  </si>
  <si>
    <t>CONSOMED Facture N° 6770/23 du 06/09/2023</t>
  </si>
  <si>
    <t>Ampoule (1)</t>
  </si>
  <si>
    <t>Pulmicort 1 MG SUSP/20</t>
  </si>
  <si>
    <t>ASMA MEDIC Suarl N° FACT : AOÛT 371 du 25/08/23</t>
  </si>
  <si>
    <t>6 paquets piles DURACEL</t>
  </si>
  <si>
    <t>Bétadine jaune + TRAGEN + VATAGEN inj.</t>
  </si>
  <si>
    <t>Bétadine jaune (4)</t>
  </si>
  <si>
    <t>ba eau bab 8/B</t>
  </si>
  <si>
    <t>OPEN SERVICES F. N° 010/0S/23 1000 CARTES GSRH</t>
  </si>
  <si>
    <t>Deta Médical BL N° 548006 du 22/9/23 5 film echo et ECG</t>
  </si>
  <si>
    <t>SALOUM PHARMA F N° 002849 du 23/082023</t>
  </si>
  <si>
    <t xml:space="preserve">Tech. Serv. Maint PENTRA 60C+ N° FXP234550 </t>
  </si>
  <si>
    <t>CONSOMED F N° 6775/23 du 15/09/23</t>
  </si>
  <si>
    <t>CONSOMED FN°6787/23 du 30/09/23</t>
  </si>
  <si>
    <t>Tech. Serv. FA 233342 du 05/09/23 (Abon.Sept 23) acompte</t>
  </si>
  <si>
    <t>3 -    BENEFICE MOIS DE SEPTEMBRE 2023 :</t>
  </si>
  <si>
    <t>SOLDE FIN SEPTEMBRE 2023</t>
  </si>
  <si>
    <t>N.B. : Les analyses offertes gracieusement au courant du mois de Septembre 2023:</t>
  </si>
  <si>
    <t>MEDILABO Bud. 2023 : 11.950.000 / Dép. : 7.409..000 Reste : 4.541.000</t>
  </si>
  <si>
    <t>DSA Bud. 2023 : - 14.971.200 / Dép. : 4.118.000 Reste : 10.853.200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</si>
  <si>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</si>
  <si>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</si>
  <si>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</si>
  <si>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t>RAPPORT FINANCIER DU MOIS D'OCTOBRE 2023</t>
  </si>
  <si>
    <t>REPPORT SOLDE FINAL MOIS DE SEPTEMBRE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</si>
  <si>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</si>
  <si>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 xml:space="preserve">Echographies mois d'Octobre 2023 </t>
  </si>
  <si>
    <t xml:space="preserve">Consultations Ophtalmologiques mois d'Octobre 2023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</si>
  <si>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</si>
  <si>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Tech. Serv. Reliquat facture N° 233342 du 05/09/23 Ab. Sep23</t>
  </si>
  <si>
    <t>Verres à jetter 10/50</t>
  </si>
  <si>
    <t>Piles Moyennes 1/P</t>
  </si>
  <si>
    <t>STABURO 1 toner 20144</t>
  </si>
  <si>
    <t>Bétadine scrub Rouge + Eosine</t>
  </si>
  <si>
    <t>Tech. Serv. FA233183 du 28/0/2023 Réf. Client : 10/08/2023</t>
  </si>
  <si>
    <t>12/B désodorisants</t>
  </si>
  <si>
    <t>Essui tout 3 paquets de 6</t>
  </si>
  <si>
    <t>4 piles PM</t>
  </si>
  <si>
    <t>Onduleur appareil Echo Doppler cardiaque</t>
  </si>
  <si>
    <t>Transport achat onduleur</t>
  </si>
  <si>
    <t>CONSOMED F N° 7701/23 du 10/10/2023</t>
  </si>
  <si>
    <t>VITAGEN Injection B/5</t>
  </si>
  <si>
    <t xml:space="preserve">Anniverssaire </t>
  </si>
  <si>
    <t>Perfalgan Injection (GENPAR)</t>
  </si>
  <si>
    <t xml:space="preserve">Piles moyennes 6/Paquets </t>
  </si>
  <si>
    <t>Essui tout pour le labo un rouleau</t>
  </si>
  <si>
    <t>SALOUM PHARMA F N° 002850 DU 11/10/2023</t>
  </si>
  <si>
    <t>CONSOMED FN° 7723/23 du   16/10/2023</t>
  </si>
  <si>
    <t>CONSOMED FN° 7723/23 du   20/10/2023</t>
  </si>
  <si>
    <t>IMPEC-SERVICES FN° 000205 du 25/10/2023 100 ordonnanciers</t>
  </si>
  <si>
    <t>Acompte Facture Tech. Serv. FA 233895 du 10/10/23</t>
  </si>
  <si>
    <t xml:space="preserve">Achat onduleur </t>
  </si>
  <si>
    <t xml:space="preserve">Achat fournitures de main d'œuvre </t>
  </si>
  <si>
    <t>Vérification panne 2/ECG + transport</t>
  </si>
  <si>
    <t>PARACET AWAL/UBI KABI 1000 MG</t>
  </si>
  <si>
    <t>VITAGEN injection B/5</t>
  </si>
  <si>
    <t>Clés USB (2)</t>
  </si>
  <si>
    <t>Ampoule Labo</t>
  </si>
  <si>
    <t>Remboursement Echo Doppler cardiaque</t>
  </si>
  <si>
    <t>delta medical FC301674 D du 3/11/23 5 film Echo</t>
  </si>
  <si>
    <t xml:space="preserve">Essui tout 24 </t>
  </si>
  <si>
    <t>Piles GM et Moyennes 14 + 2</t>
  </si>
  <si>
    <t>Essui tout 1/R pour le laboratoire</t>
  </si>
  <si>
    <t xml:space="preserve">Tech. Serv. Ab. Nov. HbA1C </t>
  </si>
  <si>
    <t>Draps d'exament 1 carton (Médina)</t>
  </si>
  <si>
    <t>Boubacar électricien achat fil et maind'œuvre (médina)</t>
  </si>
  <si>
    <t>Docteur WASSA achat bouteille d'eau</t>
  </si>
  <si>
    <t>Salle mamographie 4 ampoule etc</t>
  </si>
  <si>
    <t xml:space="preserve">Chifon lavabo et main d'œuvre </t>
  </si>
  <si>
    <t>3 -    BENEFICE MOIS D'OCTOBRE 2023 :</t>
  </si>
  <si>
    <t>SOLDE FIN OCTOBRE 2023</t>
  </si>
  <si>
    <t>N.B. : Les analyses offertes gracieusement au courant du mois d'octobre 2023:</t>
  </si>
  <si>
    <t>MEDILABO Bud. 2023 : 11.950.000 / Dép. : 7.764..000 Reste : 4.186.000</t>
  </si>
  <si>
    <t>DSA Bud. 2023 : - 14.971.200 / Dép. : 6.068.500 Reste : 8.902.700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</si>
  <si>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</si>
  <si>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</si>
  <si>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</si>
  <si>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RAPPORT FINANCIER DU MOIS DE NOVEMBRE 2023</t>
  </si>
  <si>
    <t>REPPORT SOLDE FINAL MOIS D'OCTO BRE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</si>
  <si>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</si>
  <si>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 xml:space="preserve">Echographies mois d'e Novembre 2023 </t>
  </si>
  <si>
    <t xml:space="preserve">Consultations Ophtalmologiques mois de Novembre 2023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</si>
  <si>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</si>
  <si>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Coton Hydrophyle 2 sachets</t>
  </si>
  <si>
    <t>Salbutamol arrow 5mg/2</t>
  </si>
  <si>
    <t>Salbutamol arrow 5mg/2 (Diamniadio)</t>
  </si>
  <si>
    <t>MJS 2 cartons de draps d'examen</t>
  </si>
  <si>
    <t>OPEN SERVICE FN° 012/05/23 du 06/11/23 1000 cartes GSRH</t>
  </si>
  <si>
    <t>Changement batterie ECG</t>
  </si>
  <si>
    <t>Vernis à ongles pour le Labo</t>
  </si>
  <si>
    <t>Achat téléphone pour seynabou + livraison</t>
  </si>
  <si>
    <t>Electrodes ECG 5/P</t>
  </si>
  <si>
    <t>IMPEC-SERVICES cartouche Laser HP 203 (bleue et noire)</t>
  </si>
  <si>
    <t>Bétadine jaune (providonde)</t>
  </si>
  <si>
    <t>SALOUM PHARMA F. N° 0002851 du 09/11/23</t>
  </si>
  <si>
    <t>CONSOMED FN° 6901/23 du 14/11/23</t>
  </si>
  <si>
    <t>Collation dans le cadre de l'organisation Journée Inter Diabète</t>
  </si>
  <si>
    <t>Trabar injection 1/B de 5</t>
  </si>
  <si>
    <t>CONSOMED FN° 6910/23 du 21/11/23</t>
  </si>
  <si>
    <t>2 Registres pour le labo</t>
  </si>
  <si>
    <t>ASMA MEDIC F N° 394 du 21/11/2023</t>
  </si>
  <si>
    <t xml:space="preserve">OPEN -SERVICES FN° 00341 du 30/11/2023 cachet trodat </t>
  </si>
  <si>
    <t>ASMA MEDIC F N° 372 du 25/08/2023</t>
  </si>
  <si>
    <t>Achat peinture + main d'œuvre fenêtre bureau Dr NGOM</t>
  </si>
  <si>
    <t>Piles PM 28</t>
  </si>
  <si>
    <t xml:space="preserve">Médina Eau Miya </t>
  </si>
  <si>
    <t xml:space="preserve">Gobelet médina </t>
  </si>
  <si>
    <t>Achat bouteille d'eau pour le médecin à la médina</t>
  </si>
  <si>
    <t>IMPEC-SERVICES cartouche Laser HP 203  noire</t>
  </si>
  <si>
    <t>Technologies Services FA234410 du 14/11/2023 (Acompte)</t>
  </si>
  <si>
    <t>3 -    BENEFICE MOIS DE NOVEMBRE 2023 :</t>
  </si>
  <si>
    <t>Achat de consommables pour le cabinet dentaire</t>
  </si>
  <si>
    <t>Achat batterie appareil ECG</t>
  </si>
  <si>
    <t>SOLDE FIN NOVEMBRE 2023</t>
  </si>
  <si>
    <t>N.B. : Les analyses offertes gracieusement au courant du mois de novembre 2023:</t>
  </si>
  <si>
    <t>MEDILABO Bud. 2023 : 11.950.000 / Dép. : 9.203.600 Reste : 2.746.400</t>
  </si>
  <si>
    <t>DSA Bud. 2023 : - 14.971.200 / Dép. : 7.902.000 Reste : 7.069.200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</si>
  <si>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</si>
  <si>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</si>
  <si>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</si>
  <si>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RAPPORT FINANCIER DU MOIS DE DECEMBRE 2023</t>
  </si>
  <si>
    <t>REPPORT SOLDE FINAL MOIS DE NOVEMBRE 2023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</si>
  <si>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</si>
  <si>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d'e Décembre 2023</t>
  </si>
  <si>
    <t xml:space="preserve">Consultations Ophtalmologiques mois de Décembre 2023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</si>
  <si>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</si>
  <si>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Vitagen ampoule boîte de 5</t>
  </si>
  <si>
    <t>Réparation réseau téléphonique ligne directe CMSFP</t>
  </si>
  <si>
    <t>Tech. Serv. FA 234670 du 01/12/2023 ab. HbA1C Décembre</t>
  </si>
  <si>
    <t>BA EAU BAB 14/B</t>
  </si>
  <si>
    <t>Tech. Serv reliquat facture N° FA234410 du 14/11/23</t>
  </si>
  <si>
    <t>SALOUM PHARMA F N° 002852 du 11/12/2023</t>
  </si>
  <si>
    <t>MJS  F N° 48620 du 12/12/23 de 2 cartons de draps d'examen</t>
  </si>
  <si>
    <t xml:space="preserve">Incinération déchets Labo </t>
  </si>
  <si>
    <t>Verres éjetter 10/p de 50</t>
  </si>
  <si>
    <t>Cuillères à jetter un paquet de 24</t>
  </si>
  <si>
    <t>GENPAR inj. 4/b</t>
  </si>
  <si>
    <t>Sachet pour appareil ECG + crédit téléphonique 'Alassane)</t>
  </si>
  <si>
    <t>Frais GP pour appareil ECG</t>
  </si>
  <si>
    <t>Cahier Recettes - Dépenses</t>
  </si>
  <si>
    <t>SOTELMED F N° 7701/23 du 14/12/2023</t>
  </si>
  <si>
    <t>SOTELMED F N° 7600/23 du 21/12/2023</t>
  </si>
  <si>
    <t>SOTELMED F N° 6790/23 du 28/12/2023</t>
  </si>
  <si>
    <t xml:space="preserve">Balai </t>
  </si>
  <si>
    <t>Machette</t>
  </si>
  <si>
    <t>Eau de javel (2)</t>
  </si>
  <si>
    <t xml:space="preserve">Acide </t>
  </si>
  <si>
    <t xml:space="preserve">Paquets mouchoirs </t>
  </si>
  <si>
    <t>Adptateur</t>
  </si>
  <si>
    <t>Couteau sol</t>
  </si>
  <si>
    <t xml:space="preserve">Salle Mammographie </t>
  </si>
  <si>
    <t>Eau Miya</t>
  </si>
  <si>
    <t>Clé Wifi</t>
  </si>
  <si>
    <t xml:space="preserve">Boubacar Electricien </t>
  </si>
  <si>
    <t xml:space="preserve">Spatule </t>
  </si>
  <si>
    <t>3 -    BENEFICE MOIS DE DECEMBRE 2023 :</t>
  </si>
  <si>
    <t>SOLDE FIN DECEMBRE 2023</t>
  </si>
  <si>
    <t>N.B. : Les analyses offertes gracieusement au courant du mois de Décembre 2023:</t>
  </si>
  <si>
    <t>Pour les non agents de l'Etat (07)</t>
  </si>
  <si>
    <t>MEDILABO Bud. 2023 : 11.950.000 / Dép. : 9.403.600 Reste : 2.546.400</t>
  </si>
  <si>
    <t>DSA Bud. 2023 : - 14.971.200 / Dép. : 8.990.600  Reste : 5.980.600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</si>
  <si>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</si>
  <si>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>-</t>
    </r>
    <r>
      <rPr>
        <rFont val="Times New Roman"/>
        <color theme="1"/>
        <sz val="7.0"/>
      </rPr>
      <t>  </t>
    </r>
    <r>
      <rPr>
        <rFont val="Times New Roman"/>
        <color theme="1"/>
        <sz val="12.0"/>
      </rPr>
      <t>Mme Amy NGOM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</si>
  <si>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</si>
  <si>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RAPPORT FINANCIER DU MOIS DE JANVIER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</si>
  <si>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</si>
  <si>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de Janvier 2024</t>
  </si>
  <si>
    <t xml:space="preserve">Consultations Ophtalmologiques mois de Janvier 2024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</si>
  <si>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</si>
  <si>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Coumba LY</t>
  </si>
  <si>
    <t>Achat tapis et accessoires pour l'installation salle ophtalmologie</t>
  </si>
  <si>
    <t>MJSn° 56363 du 17/01/24 de 1 carton de draps d'examen (Médina)</t>
  </si>
  <si>
    <t>Produits pour consultation ophtalmologique</t>
  </si>
  <si>
    <t>Eau Miya 3/B</t>
  </si>
  <si>
    <t>Eau Miya 5/B</t>
  </si>
  <si>
    <t>Prise électrique</t>
  </si>
  <si>
    <t>Ampoule toilette + serrure (Médina)</t>
  </si>
  <si>
    <t>3 CAC</t>
  </si>
  <si>
    <t>6 essuis tout PM (Médina)</t>
  </si>
  <si>
    <t>3 flacons SQUIACOL (médina)</t>
  </si>
  <si>
    <t xml:space="preserve">Livreur </t>
  </si>
  <si>
    <t>Mouchoirs à jetter 1/B</t>
  </si>
  <si>
    <t>Désodorisatns 6</t>
  </si>
  <si>
    <t>2 Brassards pour tens. DELTA N° FC306415 du 09/01/24</t>
  </si>
  <si>
    <t xml:space="preserve">Electrodes ECG 5/P DELTA MEDICAL F n° FC306415 du 09/1/24 </t>
  </si>
  <si>
    <t>Tech. Serv. FA240076 du 08/01/24 ab. Janv. 24</t>
  </si>
  <si>
    <t>Paracétamol + sérum salé</t>
  </si>
  <si>
    <t>2 cartons enveloppe A5</t>
  </si>
  <si>
    <t>Réunion de coordination achat 4 déjeuner pour les agents</t>
  </si>
  <si>
    <t xml:space="preserve">Robinet CRK + main d'œuvre </t>
  </si>
  <si>
    <t>Toner imprimante Staburo</t>
  </si>
  <si>
    <t xml:space="preserve">Main d'œuvre + transport </t>
  </si>
  <si>
    <t>Entretien fontaine Labo</t>
  </si>
  <si>
    <t xml:space="preserve">Parking </t>
  </si>
  <si>
    <t>Tcket de caisse frais coli ECG par poste en France</t>
  </si>
  <si>
    <t>Trabar 100 MG ampoule injectable</t>
  </si>
  <si>
    <t>Complément frais achat MAPA, Holter etc (en France)</t>
  </si>
  <si>
    <t>SALOUM PHARMA FN° 002853 du 12/01/2024</t>
  </si>
  <si>
    <t>1 carton de draps d'examen</t>
  </si>
  <si>
    <t xml:space="preserve">Essuis tout 25 rouleaux </t>
  </si>
  <si>
    <t>DELTA MEDICAL FC3070980 du 18/01/24 5 films écho</t>
  </si>
  <si>
    <t>Bétadine Scrub 125 ML rouge (4)</t>
  </si>
  <si>
    <t>Perfalgan (8)</t>
  </si>
  <si>
    <t xml:space="preserve">Réparation MAPA basique et remplacement batterie </t>
  </si>
  <si>
    <t>Désodorisants (6)</t>
  </si>
  <si>
    <t>BA EAU BAB (8)</t>
  </si>
  <si>
    <t>OPEN SERVICES FN° 00405 du 25/01/24 (10 Affiches)</t>
  </si>
  <si>
    <t>Cachet Dr Oumar MBAYE</t>
  </si>
  <si>
    <t xml:space="preserve">DELTA MEDICAL 2 brassards pour tensiomètre FC307876 </t>
  </si>
  <si>
    <t>Grézil 2/B</t>
  </si>
  <si>
    <t>Tech? Serv. FA 240312 du 23/01/2024</t>
  </si>
  <si>
    <t xml:space="preserve">Tech. Serv. FA 240456 ab. HbA1C Fév. </t>
  </si>
  <si>
    <t>3 -    BENEFICE MOIS DE JANVIER 2024 :</t>
  </si>
  <si>
    <t>SOLDE FIN JANVIER 2024</t>
  </si>
  <si>
    <t>N.B. : Les analyses offertes gracieusement au courant du mois de Janvier 2024:</t>
  </si>
  <si>
    <t>DSA Bud. 2023 : - 14.971.200 / Dép. : 12.528.600  Reste : 2.442.600</t>
  </si>
  <si>
    <t>SOTELMED Bud. 2023 : 5.873.800 / Dép. : 879.785  Reste : 4.994.015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</si>
  <si>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</si>
  <si>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t>Mme Amy NGOM</t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</si>
  <si>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</si>
  <si>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Mr Abdoulaye DIOP</t>
  </si>
  <si>
    <t>Mme Aïssata LY</t>
  </si>
  <si>
    <t>RAPPORT FINANCIER DU MOIS DE FEVRIER 2024</t>
  </si>
  <si>
    <t>REPPORT SOLDE FINAL MOIS DE JANVIER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</si>
  <si>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</si>
  <si>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de Février 2024</t>
  </si>
  <si>
    <t xml:space="preserve">Consultations Ophtalmologiques mois de Février 2024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</si>
  <si>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</si>
  <si>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MJS n° 59145 du 02/02/24 de 2 cartons de draps d'examen</t>
  </si>
  <si>
    <t>2 balais + 1 boulloir</t>
  </si>
  <si>
    <t xml:space="preserve">Remboursement Echo Cœur </t>
  </si>
  <si>
    <t>Remboursement Epreuve d'Effort</t>
  </si>
  <si>
    <t>SALOUM PHARMA FN° 002854 du 01/02/2024</t>
  </si>
  <si>
    <t>Réparation photocopieuse et imprimante transport technicien</t>
  </si>
  <si>
    <t>3 chargeurs pour appareil MAPA</t>
  </si>
  <si>
    <t>Balai et eau de javel grain</t>
  </si>
  <si>
    <t>Sérum salé (chlorure Sodium (chrolure sodium) 0.5% FL/500 M</t>
  </si>
  <si>
    <t>Cartes Pèlerinage (70)</t>
  </si>
  <si>
    <t xml:space="preserve">Achat ampoules </t>
  </si>
  <si>
    <t>Main d'œuvre informaticien</t>
  </si>
  <si>
    <t>Essui tout (25)</t>
  </si>
  <si>
    <t>Sérum glucosé 10%</t>
  </si>
  <si>
    <t>Genp. Inj., Acupansol. Inj., Pinger lact BB etc</t>
  </si>
  <si>
    <t>Tech. Serv. FA240595 du 13/02/2024</t>
  </si>
  <si>
    <t xml:space="preserve">ASMA MEDIC FACT Fév. 421 </t>
  </si>
  <si>
    <t>SALOUM PHARMA FN° 002855 du 14/02/2024</t>
  </si>
  <si>
    <t>Bandelettes INFINITY 10/B</t>
  </si>
  <si>
    <t>Tech. Serv. Abonnement février HbA1C FA240749 du 26/2/24</t>
  </si>
  <si>
    <t>2 paquets mouchoirs (Médina)</t>
  </si>
  <si>
    <t>Transport Ndiaye gardien médina (Produits d'entretien)</t>
  </si>
  <si>
    <t>Transport Seynabou</t>
  </si>
  <si>
    <t>Lait, sucre et café (Médina)</t>
  </si>
  <si>
    <t>Port Nescafé</t>
  </si>
  <si>
    <t>Poudre Nesquick</t>
  </si>
  <si>
    <t>Eau Miya 4/B</t>
  </si>
  <si>
    <t>Ampoule (médina)</t>
  </si>
  <si>
    <t>Garde pain</t>
  </si>
  <si>
    <t>Chauffe eau</t>
  </si>
  <si>
    <t xml:space="preserve">Sucrier </t>
  </si>
  <si>
    <t>Paquets 7 cuillières</t>
  </si>
  <si>
    <t>tasses pour petit déjeuner</t>
  </si>
  <si>
    <t>3 -    BENEFICE MOIS DE FEVRIER 2024 :</t>
  </si>
  <si>
    <t>SOLDE FIN FERVIER 2024</t>
  </si>
  <si>
    <t>Pour les non agents de l'Etat (05)</t>
  </si>
  <si>
    <t>DABLE SERVICES 2022 : 13.990.000 / Dépenses :  7.976.919 Reste : 6.013.081</t>
  </si>
  <si>
    <t>MEDILABO Bud. 2023 : 11.950.000 / Dép. : 10.603.600 Reste : 1.346.400</t>
  </si>
  <si>
    <t>DSA Bud. 2023 : - 14.971.200 / Dép. : 14.489.100  Reste : 482.100</t>
  </si>
  <si>
    <t>SOTELMED Bud. 2023 : 5.873.800 / Dép. : 936.205  Reste : 4.937.595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</si>
  <si>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</si>
  <si>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</si>
  <si>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- Dr Fatoumata Wagui WASSA</t>
  </si>
  <si>
    <t>RAPPORT FINANCIER DU MOIS DE MARS 2024</t>
  </si>
  <si>
    <t>REPPORT SOLDE FINAL MOIS DE FEVRIER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</si>
  <si>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</si>
  <si>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de Mars 2024</t>
  </si>
  <si>
    <t xml:space="preserve">Consultations Ophtalmologiques mois de Mars 2024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</si>
  <si>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</si>
  <si>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Radiologues : </t>
  </si>
  <si>
    <t>Coumba Sétou LY</t>
  </si>
  <si>
    <t>Tech. Serv. FA240925 du 04/03/2024 abon. HbA1C mars 2024</t>
  </si>
  <si>
    <t>CONSOMED F. N° 6820/24 du 04/03/2024</t>
  </si>
  <si>
    <t xml:space="preserve">Piles GM et PM  </t>
  </si>
  <si>
    <t>Acompte sur commande blouses et uniformes (46 - 16)</t>
  </si>
  <si>
    <t>3 carrtons de draps d'examen</t>
  </si>
  <si>
    <t>Eau déminéralisée fût 20 litres F. N° 2109275</t>
  </si>
  <si>
    <t>Sérum salé (3)</t>
  </si>
  <si>
    <t>Tech. Serv. FA 241258 du 22/03/2024</t>
  </si>
  <si>
    <t>Piles GM et PM 8/P</t>
  </si>
  <si>
    <t>Transport et destruction de documents (dir. Phar. Et Méd.)</t>
  </si>
  <si>
    <t>DELTA MEDICAL fc 312249 du 29/324 5 films échographie</t>
  </si>
  <si>
    <t>Transport NDIAYE et DIALLO (Nabou)</t>
  </si>
  <si>
    <t>Transport Nabou</t>
  </si>
  <si>
    <t>Paquets mouchoirs (2) Seynabou</t>
  </si>
  <si>
    <t>M.J.S. 1 carton de drap d'examen (Médina)</t>
  </si>
  <si>
    <t>Eau Miya 5/B (Médina)</t>
  </si>
  <si>
    <t>Travaux menuiserie Facture N° 002872 du 18/03/2024 (Médina)</t>
  </si>
  <si>
    <t>Main d'oeuvre menuisier</t>
  </si>
  <si>
    <t>OFFICE MEDICAL BL N° 07923/2024 du 20/03/2024 rég. Tension</t>
  </si>
  <si>
    <t>Rallonge (Médina)</t>
  </si>
  <si>
    <t>3 -    BENEFICE MOIS DE MARS 2024 :</t>
  </si>
  <si>
    <t>SOLDE FIN MARS 2024</t>
  </si>
  <si>
    <t>N.B. : Les analyses offertes gracieusement au courant du mois de Mars 2024:</t>
  </si>
  <si>
    <t>Pour les non agents de l'Etat (06)</t>
  </si>
  <si>
    <t>MEDILABO Bud. 2023 : 11.950.000 / Dép. : 11.950.000 Reste : 0</t>
  </si>
  <si>
    <t>Doit à MEDILABO la somme de 1.471.025 Francs</t>
  </si>
  <si>
    <t>DSA Bud. 2024 : - 7.995.500 / Dép. : 47.400  Reste : 7.948.100</t>
  </si>
  <si>
    <t>SOTELMED Bud. 2023 : 5.873.800 / Dép. : 1.769.536  Reste : 4.104.264</t>
  </si>
  <si>
    <t>Ophtalmologie recette : 1.225.000 Francs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</si>
  <si>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</si>
  <si>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</si>
  <si>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RAPPORT FINANCIER DU MOIS D'AVRIL 2024</t>
  </si>
  <si>
    <t>REPPORT SOLDE FINAL MOIS DE MARS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</si>
  <si>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</si>
  <si>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de d'Avril 2024</t>
  </si>
  <si>
    <t xml:space="preserve">Consultations Ophtalmologiques mois d'Avril 2024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</si>
  <si>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</si>
  <si>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Dynapar injection (2)</t>
  </si>
  <si>
    <t>CONSOMED FN° 6710/24 du 05/04/2024</t>
  </si>
  <si>
    <t>Tech. Serv. N° FA241412 du 03/04/2025 ab.HBA1Cavr. 24</t>
  </si>
  <si>
    <t>DELTA MEDICAL FN° FC312429 du 05/04/2024 Electrodes</t>
  </si>
  <si>
    <t>Electrodess ECG 5/P</t>
  </si>
  <si>
    <t>Vernis à ongles</t>
  </si>
  <si>
    <t>SALOUM PHARMA Fact. N° 002856 du 05/04/2024</t>
  </si>
  <si>
    <t>Tech. Serv. Fa241559 DU 12/04/2024</t>
  </si>
  <si>
    <t>Incinération déchet laboratoire</t>
  </si>
  <si>
    <t xml:space="preserve">Café </t>
  </si>
  <si>
    <t xml:space="preserve">Entretien Climatiseurs </t>
  </si>
  <si>
    <t>Tech. Serv. FA241591 du 14/04/2024</t>
  </si>
  <si>
    <t>Achat thé et café sticks réunion C.S</t>
  </si>
  <si>
    <t>Tech. Serv. FA241763 du 26/04/2024</t>
  </si>
  <si>
    <t>Entretien climatiseurs médina</t>
  </si>
  <si>
    <t>BE EAU BAB 5/B médina</t>
  </si>
  <si>
    <t>EAU MYA 5/B</t>
  </si>
  <si>
    <t>EAU MYA 4/B</t>
  </si>
  <si>
    <t>Routeur HVWEB</t>
  </si>
  <si>
    <t>Ampoules 4</t>
  </si>
  <si>
    <t>SKIACOL + transport</t>
  </si>
  <si>
    <t>Mouchoirs 2/P</t>
  </si>
  <si>
    <t>Tête de lou médina</t>
  </si>
  <si>
    <t>3 -    BENEFICE MOIS D'AVRIL 2024 :</t>
  </si>
  <si>
    <t>SOLDE FIN AVRIL 2024</t>
  </si>
  <si>
    <t>N.B. : Les analyses offertes gracieusement au courant du mois d'Avril 2024:</t>
  </si>
  <si>
    <t>DSA Bud. 2024 : - 7.995.500 / Dép. : 2.489.900  Reste : 5.505.200</t>
  </si>
  <si>
    <t>SOTELMED Bud. 2023 : 5.873.800 / Dép. : 1.991.536  Reste : 3.882.264</t>
  </si>
  <si>
    <t>Ophtalmologie recette : 1.740.000 Francs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</si>
  <si>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</si>
  <si>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</si>
  <si>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RAPPORT FINANCIER DU MOIS DE MAI 2024</t>
  </si>
  <si>
    <t>REPPORT SOLDE FINAL MOIS D'AVRIL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</si>
  <si>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</si>
  <si>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de Mai 2024</t>
  </si>
  <si>
    <t xml:space="preserve">Consultations Ophtalmologiques mois de Mai 2024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</si>
  <si>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</si>
  <si>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Tech. Serv. FA241873 abon. Mai 24 HBA1C du 03/05/2024</t>
  </si>
  <si>
    <t>Cartes GSRH/1000</t>
  </si>
  <si>
    <t>CONSOMED fn) 6783/24 du 07/05/2024</t>
  </si>
  <si>
    <t>BA EAU BAB 11/B</t>
  </si>
  <si>
    <t>Lidocaïne 1% injectable (4)</t>
  </si>
  <si>
    <t>STABURO achat toner + transport</t>
  </si>
  <si>
    <t xml:space="preserve">Piles GM </t>
  </si>
  <si>
    <t>IMPEC-SERVICES FN° 0000255 DU 15/05/24 cart. XEROX</t>
  </si>
  <si>
    <t>ASMA MEDIC n) fact. Mai 441 du 14/05/2024</t>
  </si>
  <si>
    <t>Verres à jetter 20/P</t>
  </si>
  <si>
    <t>Complément entretien climatiseurs CMSFP</t>
  </si>
  <si>
    <t>Cahiuer recettes/dépenses</t>
  </si>
  <si>
    <t>Electrodes ECG 10/P</t>
  </si>
  <si>
    <t>depenses divers a la medina</t>
  </si>
  <si>
    <t>Seringues Insulines</t>
  </si>
  <si>
    <t>3 -    BENEFICE MOIS DE MAI 2024 :</t>
  </si>
  <si>
    <t>achat medicaments dentaires</t>
  </si>
  <si>
    <t>SOLDE FIN MAI 2024</t>
  </si>
  <si>
    <t>N.B. : Les analyses offertes gracieusement au courant du mois de Mai 2024:</t>
  </si>
  <si>
    <t>DABLE SERVICES 2022: 13.990.000/Dépenses :  7.976.919 Reste : 6.013.081</t>
  </si>
  <si>
    <t>Doit à MEDILABO la somme de 1.521.400 Francs</t>
  </si>
  <si>
    <t>DSA Bud. 2024 : - 7.995.500 / Dép. : 2.489.900  Reste : 6.171.100</t>
  </si>
  <si>
    <t>Ophtalmologie recette : 2.243.000 Francs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</si>
  <si>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</si>
  <si>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</si>
  <si>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RAPPORT FINANCIER DU MOIS DE JUIN 2024</t>
  </si>
  <si>
    <t>REPPORT SOLDE FINAL MOIS MAI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</si>
  <si>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</si>
  <si>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Echographies mois de juin 2024</t>
  </si>
  <si>
    <t xml:space="preserve">Consultations Ophtalmologiques mois de juin 2024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</si>
  <si>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</si>
  <si>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TECHNOLOGIE Services FA242282</t>
  </si>
  <si>
    <t xml:space="preserve"> FA242282 BonMAI 2024 </t>
  </si>
  <si>
    <t>HBAIC Mai 24</t>
  </si>
  <si>
    <t>FA242398 Mai24 ABX pentra</t>
  </si>
  <si>
    <t>BA EAU BAB                                              10/B</t>
  </si>
  <si>
    <t>Batterie Duracell                                     6/P</t>
  </si>
  <si>
    <t>rcell GM</t>
  </si>
  <si>
    <t>9/B</t>
  </si>
  <si>
    <t>Reparation et achat appareil telephonique</t>
  </si>
  <si>
    <t xml:space="preserve">Frais  de livraison materiel ophtalmo </t>
  </si>
  <si>
    <t>carnet ordonnance</t>
  </si>
  <si>
    <t>entretien et achat clim</t>
  </si>
  <si>
    <t>lampe et montage</t>
  </si>
  <si>
    <t>depense a la medina</t>
  </si>
  <si>
    <t>3 -    BENEFICE MOIS DE JUIN 2024 :</t>
  </si>
  <si>
    <t>SOLDE FIN MOIS DE JUIN</t>
  </si>
  <si>
    <t>N.B. : Les analyses offertes gracieusement au courant du mois de JUIN 2024:</t>
  </si>
  <si>
    <t>2)</t>
  </si>
  <si>
    <t>5)</t>
  </si>
  <si>
    <t>DABLE SERVICES 2022: 13.990.000/Dépenses: 7.976.919 Reste: 6.013.081</t>
  </si>
  <si>
    <t>doit a medilabo la somme de 2451 600</t>
  </si>
  <si>
    <t>omme</t>
  </si>
  <si>
    <t>DSA Bud. 2024 : - 7.995.500 / Dép. : 2.489.900  Reste : 5.325,200</t>
  </si>
  <si>
    <t>reste 0</t>
  </si>
  <si>
    <t>DOIT  a DSA</t>
  </si>
  <si>
    <t>SOTELMED Bud. 2023 : 5.873.800 / Dép. : 1.991.536  Reste : 3.723674</t>
  </si>
  <si>
    <t>dep;2 150 126</t>
  </si>
  <si>
    <t>reste 3 723 674</t>
  </si>
  <si>
    <t>Ophtalmologie recette mois précédent</t>
  </si>
  <si>
    <t>Total recette Ophtamo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</si>
  <si>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</si>
  <si>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</si>
  <si>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RAPPORT FINANCIER DU MOIS DE JUILLET 2024</t>
  </si>
  <si>
    <t>REPPORT SOLDE FINAL MOIS JUIN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</si>
  <si>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</si>
  <si>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derniers jours du mois</t>
  </si>
  <si>
    <t>Consultations Echographies Juillet 2024</t>
  </si>
  <si>
    <t>Cosultations Ophtalomologiques</t>
  </si>
  <si>
    <t>mois de juil24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</si>
  <si>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</si>
  <si>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restauration diamniadio</t>
  </si>
  <si>
    <t>30/B</t>
  </si>
  <si>
    <t>Eau kirene</t>
  </si>
  <si>
    <t>10/L</t>
  </si>
  <si>
    <t>perfuseur</t>
  </si>
  <si>
    <t>achat carte GSRH</t>
  </si>
  <si>
    <t>Cachet Trodat</t>
  </si>
  <si>
    <t>Main d œuvre reparation toilette</t>
  </si>
  <si>
    <t xml:space="preserve">Goblet à eau </t>
  </si>
  <si>
    <t>main d œuvre climatiseur</t>
  </si>
  <si>
    <t>piece contact ventilo</t>
  </si>
  <si>
    <t>achat ventilo</t>
  </si>
  <si>
    <t>Avenir MEDICAL Fn 202407</t>
  </si>
  <si>
    <t>achat pompe oro</t>
  </si>
  <si>
    <t>CONSOMED Fact,n 6700/24</t>
  </si>
  <si>
    <t>3 -    BENEFICE MOIS DEJUILLET 2024 :</t>
  </si>
  <si>
    <t xml:space="preserve">miranza </t>
  </si>
  <si>
    <t>SOLDE FIN MOIS DE JUILLET</t>
  </si>
  <si>
    <t>N.B. : Les analyses offertes gracieusement au courant du mois de JUILLET 2024: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</si>
  <si>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</si>
  <si>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</si>
  <si>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RAPPORT FINANCIER DU MOIS D'AOÛT 2024</t>
  </si>
  <si>
    <t>REPPORT SOLDE FINAL MOIS JUILLET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</si>
  <si>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</si>
  <si>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 xml:space="preserve">Consultations Ophtalmologiques mois d'Août 2024 </t>
  </si>
  <si>
    <t>Consultations echographique mois d'Août 2024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</si>
  <si>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</si>
  <si>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DELTA MEDICAL BL N° 583555 du 01/08/24 film Echo</t>
  </si>
  <si>
    <t>Entretien clims bureaux permis et infirmerie</t>
  </si>
  <si>
    <t>Tech. Serv. FA242754 du 03/07/24</t>
  </si>
  <si>
    <t>Tech. Serv. FA242717 ab. HbA1C juil. 24 du 02/07/24</t>
  </si>
  <si>
    <t>Tech. Serv. FA243242 ab. HbA1C août 24 du 01/08/24</t>
  </si>
  <si>
    <t xml:space="preserve">Réparation toillettes 2 robinets, achat matériel et main-d'œuvre </t>
  </si>
  <si>
    <t>MJS 3 cartons de draps d'examen F. N° 90938 du 07/08/24</t>
  </si>
  <si>
    <t>F.N° 24/0725791 du 09/08/24 Dakin stab.  500 ML</t>
  </si>
  <si>
    <t>Thermomètre digital</t>
  </si>
  <si>
    <t>Tech. Serv. FA243451 du 08/08/24</t>
  </si>
  <si>
    <t>CONSOMED tests rapid. Malaria</t>
  </si>
  <si>
    <t xml:space="preserve">Reliquat blouses </t>
  </si>
  <si>
    <t>Livreur labo (NFS)</t>
  </si>
  <si>
    <t>SALOUM PHARMA FN° 002857 du 03/06/2024</t>
  </si>
  <si>
    <t>BA EAU BAB (5)</t>
  </si>
  <si>
    <t>Lvreur labo (NFS)</t>
  </si>
  <si>
    <t>Tech. Serv. FA243476 du 26/08/2024</t>
  </si>
  <si>
    <t>Médicaments pour l'infirmerie</t>
  </si>
  <si>
    <t>Staburo Toner imprimante F N° 23861 du 30/08/24</t>
  </si>
  <si>
    <t>Sénégalaise de l'Incinération etde la Revalorisation (SIR) F.002</t>
  </si>
  <si>
    <t>SIR F.N° 2024/009 du 30/08/2024</t>
  </si>
  <si>
    <t>Tech. Ser. FA243550 du 29/04/24</t>
  </si>
  <si>
    <t>Electricien (Médina)</t>
  </si>
  <si>
    <t>Transport NDIAYE médina</t>
  </si>
  <si>
    <t>Café 2/B (médina)</t>
  </si>
  <si>
    <t>Sérum physiologique (médina)</t>
  </si>
  <si>
    <t>NEOSYNEPHIQUE (médina)</t>
  </si>
  <si>
    <t>Quincaillerie LE TAÏF N° 000072 du 27/08/24</t>
  </si>
  <si>
    <t>Quincallerie Serigne Thioune FN°000043 du 20/08/24</t>
  </si>
  <si>
    <t>Distribution Service Aliance F.N° 062401du 12/8/24 papier impr.</t>
  </si>
  <si>
    <t xml:space="preserve">Menuisier Masse DIENG </t>
  </si>
  <si>
    <t>3 -    BENEFICE MOIS D'AOÛT 2024 :</t>
  </si>
  <si>
    <t>Avaance achat sonde cardiaque</t>
  </si>
  <si>
    <t>Avance (50%)  achat automate NFS 34 paramètres (reliquat payable en 10 mensualités)</t>
  </si>
  <si>
    <t>SOLDE FIN MOIS D'AOÛT 2024</t>
  </si>
  <si>
    <t>N.B. : Les analyses offertes gracieusement au courant du mois d'Août 2024:</t>
  </si>
  <si>
    <t>DABLE SERVICES Bud. : 2022 : 13.900.000 / Dépenses : 8.608.919 Reste : 5.291.081</t>
  </si>
  <si>
    <t xml:space="preserve"> MEDILABO Bud. 2023 : 11.950.000 / Dép. : 11.950.000 Reste : 0</t>
  </si>
  <si>
    <t>Doit à MEDILABO la somme de 3.236.000</t>
  </si>
  <si>
    <t>DSA Bud. 2024 : 7.995.500 / Dépenses : 7.995.500 Reste : 0</t>
  </si>
  <si>
    <t xml:space="preserve"> Doit à DSA la somme de </t>
  </si>
  <si>
    <t>SOTELMED Bud. 2023 : 5.873.800 / Dépenses : 2.150.126 Reste : 3.723.674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</si>
  <si>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</si>
  <si>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</si>
  <si>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RAPPORT FINANCIER DU MOIS DE SEPTEMBRE 2024</t>
  </si>
  <si>
    <t>REPPORT SOLDE FINAL MOIS D'AOÛT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</si>
  <si>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</si>
  <si>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</si>
  <si>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Essui tout 16/P</t>
  </si>
  <si>
    <t>SODECI vérification annuelle extincteurs</t>
  </si>
  <si>
    <t>Tech. Serv. FA243678 ab. HbA1C Sep.24 du 03/09/24</t>
  </si>
  <si>
    <t>6 Désodorisants</t>
  </si>
  <si>
    <t>Sonde Foley Mixte 10 ML</t>
  </si>
  <si>
    <t>Tech. Serv. FA243007 du 24/07/2024</t>
  </si>
  <si>
    <t>DELTA MEDICAL FC324522 du 10/09/2024 électrodes 10/P</t>
  </si>
  <si>
    <t>1 balai + 1 brosse pouy nettoyer les chaises anglaises</t>
  </si>
  <si>
    <t>IMPEC SERVICE FN°    onduleur 3.000 KVA pour la Médina</t>
  </si>
  <si>
    <t>STABURO FN° 23877 du 18/9/24 cartouche photocopieuse</t>
  </si>
  <si>
    <t>Sérum Salé 9% 500ML</t>
  </si>
  <si>
    <t>Piles Duracel 7/P</t>
  </si>
  <si>
    <t>MJS 2 cartons de draps d'examen N° 98364 du 23/09/2024</t>
  </si>
  <si>
    <t>10 paquets de 50 sachets d'urine pour le labo</t>
  </si>
  <si>
    <t>SALOUM PHARMA F. N° 002859 du 17/09/2024</t>
  </si>
  <si>
    <t>Gel main 2/B</t>
  </si>
  <si>
    <t>Serrure portes Unité Mère-enfant</t>
  </si>
  <si>
    <t>Transport aller retour Seynabou</t>
  </si>
  <si>
    <t>Dépenses effectuées à la médina</t>
  </si>
  <si>
    <t>3 -    BENEFICE MOIS DE SEPTEMBRE 2024 :</t>
  </si>
  <si>
    <t>2ème avance achat sonde cardiaque</t>
  </si>
  <si>
    <t>Versement à la livraison du champ visuel (sur un total de 7.000.000)</t>
  </si>
  <si>
    <t>1er versement reliquat  achat automate NFS 34 paramètres (reste 4.275.000)</t>
  </si>
  <si>
    <t>2ème versement reste 3.500.000 (champ visuel</t>
  </si>
  <si>
    <t>SOLDE FIN MOIS DE SEPTEMBRE 2024</t>
  </si>
  <si>
    <t>N.B. : Les analyses offertes gracieusement au courant du mois de Septembre 2024:</t>
  </si>
  <si>
    <t xml:space="preserve"> MEDILABO Bud. 2024 : 7.965.000 / Dép. : 3.411.600 Reste : 4.553.400</t>
  </si>
  <si>
    <t>Doit à DSA 3.150.900</t>
  </si>
  <si>
    <t>SOTELMED Bud. 2023 : 5.873.800 / Dépenses : 2.903.667 Reste : 2.970.133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</si>
  <si>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</si>
  <si>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r>
      <rPr>
        <rFont val="Times New Roman"/>
        <color theme="1"/>
        <sz val="12.0"/>
      </rPr>
      <t xml:space="preserve">- </t>
    </r>
    <r>
      <rPr>
        <rFont val="Times New Roman"/>
        <color theme="1"/>
        <sz val="7.0"/>
      </rPr>
      <t xml:space="preserve"> </t>
    </r>
    <r>
      <rPr>
        <rFont val="Times New Roman"/>
        <color theme="1"/>
        <sz val="12.0"/>
      </rPr>
      <t xml:space="preserve">Dr Mouhamadoul Mounir DIA </t>
    </r>
  </si>
  <si>
    <t>RAPPORT FINANCIER DU MOIS D'OCTOBRE 2024</t>
  </si>
  <si>
    <t>REPPORT SOLDE FINAL MOIS DE SEPTEMBRE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</si>
  <si>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</si>
  <si>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IMAGERIE</t>
  </si>
  <si>
    <t>OPHTALMO</t>
  </si>
  <si>
    <t>CARDIO</t>
  </si>
  <si>
    <t>LABO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</si>
  <si>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</si>
  <si>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Angélique NDIAYE Assistante médina</t>
  </si>
  <si>
    <t>Docteur Oumou Cécile DIOP Radiologue</t>
  </si>
  <si>
    <t>IMPEC-SERVICE cartouche 207/noire</t>
  </si>
  <si>
    <t>Tech. Serv. FA244029 du 25/09/2024</t>
  </si>
  <si>
    <t>Tech. Serv. FA244108abon. HbA1C (2)</t>
  </si>
  <si>
    <t xml:space="preserve">Pompe cafards </t>
  </si>
  <si>
    <t>DELTA MEDICAL FC326880 du 11/10/24 2 fils écho (médina)</t>
  </si>
  <si>
    <t xml:space="preserve">Veeres à jetter 20 paquets de 50 </t>
  </si>
  <si>
    <t>IMPEC-SERVICES FN° 0000297 2 cartons d'envel. GM et PM</t>
  </si>
  <si>
    <t>Avenir Médical F.N° 202410-009 du 09/10/2024</t>
  </si>
  <si>
    <t>Tech. Serv. FA244288 du 14/10/2024</t>
  </si>
  <si>
    <t>Ampoule toilettes</t>
  </si>
  <si>
    <t>CONSOMED F N° 6724/24 en date du 18/10</t>
  </si>
  <si>
    <t>10/B de compress (Diamniadio)</t>
  </si>
  <si>
    <t>PNA Livreur</t>
  </si>
  <si>
    <t>3/P piles PM Duracel</t>
  </si>
  <si>
    <t>4/P piles GM Duracel</t>
  </si>
  <si>
    <t>Cartes GSRH /1000</t>
  </si>
  <si>
    <t>IMPEC-SERVICES FN° 100 ordonnanciers</t>
  </si>
  <si>
    <t>IMPEC-SERVICES FN° 1 cartouche médina</t>
  </si>
  <si>
    <t>Tech. Serv. FA244512 du 25/10/2024</t>
  </si>
  <si>
    <t>Essui tout 2 paquets de 6 (12)</t>
  </si>
  <si>
    <t>Café 14/P de 10 capsules</t>
  </si>
  <si>
    <t xml:space="preserve">        </t>
  </si>
  <si>
    <t>Confection de panneau de réservation de statationnement</t>
  </si>
  <si>
    <t>4 flacons Pissette FN° 002102 du 28/10/2024</t>
  </si>
  <si>
    <t>Sachets poubelle Ets DIALLO et Frères N° 0000105 du 28/10/2024</t>
  </si>
  <si>
    <t xml:space="preserve">4 poubelles en plastique Boutique Cheikh Diagne FN° 136 du 28/10/24 </t>
  </si>
  <si>
    <t>3 flacons vides avec pompe</t>
  </si>
  <si>
    <t>Achat domaine OVHcloud bon N° 217430086 du 30/10/24</t>
  </si>
  <si>
    <t>Abonnement serveur Pyton Anywhere Support</t>
  </si>
  <si>
    <t>Déjeuner journée dépistage médina (Octobre Rose)</t>
  </si>
  <si>
    <t xml:space="preserve">Achat Dakin 2 bouteilles </t>
  </si>
  <si>
    <t>Mame Birame SARR main-d'œuvre travaux mécanisme toil. Médina</t>
  </si>
  <si>
    <t>Main d'œuvre travaux électricité (médina)</t>
  </si>
  <si>
    <t>Dépenses organisation journée dépistage (Octobre Rose)</t>
  </si>
  <si>
    <t>3 -    BENEFICE MOIS D'OCTOBRE 2024 :</t>
  </si>
  <si>
    <t>3ème avance achat sonde cardiaque</t>
  </si>
  <si>
    <t>3ème versement achat champ visuel reste 3.000.000</t>
  </si>
  <si>
    <t>2ème  versement reliquat  achat automate NFS 34 paramètres (reste 4.275.000)</t>
  </si>
  <si>
    <t>SOLDE FIN MOIS D'OCTOBRE 2024</t>
  </si>
  <si>
    <t>N.B. : Les analyses offertes gracieusement au courant du mois d'Octobre 2024:</t>
  </si>
  <si>
    <t>Pour les Agents de l'Etat  (2)</t>
  </si>
  <si>
    <t>Pour les non agents de l'Etat (38)</t>
  </si>
  <si>
    <t>DABLE SERVICES Bud. : 2022 : 13.900.000 / Dépenses : 8.788.919 Reste : 5.111.081</t>
  </si>
  <si>
    <t xml:space="preserve"> MEDILABO Bud. 2024 : 7.965.000 / Dép. : 6.593.825 Reste : 1.371.175</t>
  </si>
  <si>
    <t>Doit à DSA 4.496.400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</si>
  <si>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</si>
  <si>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t>Dr Patrice Théophile SARR</t>
  </si>
  <si>
    <t xml:space="preserve">Dr Mouhamadoul Mounir DIA </t>
  </si>
  <si>
    <t>Dr Ndèye Ndoumbé NGOM</t>
  </si>
  <si>
    <t>Dr Fatoumata Wagui WASSA</t>
  </si>
  <si>
    <t>Mme Seynabou NDIAYE</t>
  </si>
  <si>
    <t xml:space="preserve"> Dr Oumou Cécile DIOP</t>
  </si>
  <si>
    <t>RAPPORT FINANCIER DU MOIS DE NOVEMBRE 2024</t>
  </si>
  <si>
    <t>REPPORT SOLDE FINAL MOIS D'OCTOBRE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</si>
  <si>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</si>
  <si>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</si>
  <si>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3 paquets piles DURACEL PM</t>
  </si>
  <si>
    <t xml:space="preserve">ASMA MEDIC N° FACT nov. 285 </t>
  </si>
  <si>
    <t>Tech. Serv. FA244669 du 04/11/24 abon. Nov. HbA1C</t>
  </si>
  <si>
    <t>IMPEC-SERVICES N°0000305 onduleur 3000 KVA</t>
  </si>
  <si>
    <t>DELTA MEDICAL FN° FC329154 du 08/11/24 6 films écho</t>
  </si>
  <si>
    <t>IMPEC-SERVICES N° 0000308 2 cart. Noires = 1 couleur</t>
  </si>
  <si>
    <t>MJS 3 cartons de draps d'examen 6 par carton</t>
  </si>
  <si>
    <t>TRAMAGEN 100MG/2ML ampoule</t>
  </si>
  <si>
    <t>OPEN-SERVICES FN° 011/OS/24 du 15/11/24 cartes GSRH</t>
  </si>
  <si>
    <t>Gosse sucre</t>
  </si>
  <si>
    <t>IMPEC-SERVICE 2 cartons d'env. GM et PM + 1 agrafeuse</t>
  </si>
  <si>
    <t xml:space="preserve">SALOUM PHARMA FN° 02860 du 22/11/2024 </t>
  </si>
  <si>
    <t>130 capsules café</t>
  </si>
  <si>
    <t>Incinération Philippe Maguilène Senghor</t>
  </si>
  <si>
    <t>Essui tout 18/R FN° 451 du 26/11/24 + Transp.</t>
  </si>
  <si>
    <t>Entretien 4 climatiseurs et changement CAPA</t>
  </si>
  <si>
    <t>Quincaillerie SECK et FRERES facture N° 000199 du 26/11/24</t>
  </si>
  <si>
    <t xml:space="preserve">5 mètres câble quincaillerie SECK e FRERES </t>
  </si>
  <si>
    <t>Dépenses Médina (cf factures)</t>
  </si>
  <si>
    <t>Fauteuil roulant Delta Médical F331698 du 09/12/24</t>
  </si>
  <si>
    <t>Cideaux à disséquer Delta Médical F331679 du 09/12/24</t>
  </si>
  <si>
    <t>Delta Médical FC331675 du 09/12/24</t>
  </si>
  <si>
    <t>3 -    BENEFICE MOIS DE NOVEMBRE 2024 :</t>
  </si>
  <si>
    <t>4ème avance achat sonde cardiaque</t>
  </si>
  <si>
    <t>4ème versement achat champ visuel reste 2.500.000</t>
  </si>
  <si>
    <t>3ème  versement reliquat  achat automate NFS 34 paramètres (reste 4.275.000)</t>
  </si>
  <si>
    <t>SOLDE FIN MOIS DE NOVEMBRE 2024</t>
  </si>
  <si>
    <t>N.B. : Les analyses offertes gracieusement au courant du mois de Novembre 2024:</t>
  </si>
  <si>
    <t>Pour les non agents de l'Etat (24)</t>
  </si>
  <si>
    <t>DABLE SERVICES Bud. : 2022 : 13.900.000 / Dépenses : 8.972.919 Reste : 4.927.081</t>
  </si>
  <si>
    <t xml:space="preserve"> MEDILABO Bud. 2024 : 7.965.000 / Dép. : 6.961.825 Reste : 1.003.175</t>
  </si>
  <si>
    <t>Doit à DSA 4.964.400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</si>
  <si>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</si>
  <si>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t>RAPPORT FINANCIER DU MOIS DE DECEMBRE 2024</t>
  </si>
  <si>
    <t>REPPORT SOLDE FINAL MOIS DE NOVEMBRE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</si>
  <si>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</si>
  <si>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</si>
  <si>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Installation coffret Osse-Poumon électricité à la Médina</t>
  </si>
  <si>
    <t xml:space="preserve">Eau de Javel </t>
  </si>
  <si>
    <t>Désodorisants 6/B</t>
  </si>
  <si>
    <t>5/B Bandelette INFINITY</t>
  </si>
  <si>
    <t>Piles DURACEL pm et GM 14/paquets</t>
  </si>
  <si>
    <t>IMPEC-SERVICES  2 cartons d'enveloppe PM et GM</t>
  </si>
  <si>
    <t>Tech. Serv. FA245129 abo. Déc. HbA1C</t>
  </si>
  <si>
    <t>SALOUM PHARMA facture N° 002862 du 18/12/2024</t>
  </si>
  <si>
    <t>ASMA MEDIC Fact.nov.298 du 17/12/2024</t>
  </si>
  <si>
    <t>DELTA MEDICAL BL N° 600827 1 brassard OMRON</t>
  </si>
  <si>
    <t>Papier film rouleau 300 mètres</t>
  </si>
  <si>
    <t xml:space="preserve">Eosine Pharmacie Sandiniéry </t>
  </si>
  <si>
    <t>Seringue</t>
  </si>
  <si>
    <t xml:space="preserve">Tech. Serv. FA245490 DU 23/12/24 </t>
  </si>
  <si>
    <t>SALOUM PHARMA facture N° 002863 du 24/12/2024</t>
  </si>
  <si>
    <t>OPEN-SERVICES facture N° 013/OS/24</t>
  </si>
  <si>
    <t>Cahier recettes-dépenses</t>
  </si>
  <si>
    <t>2 registres Arrivée et Départ</t>
  </si>
  <si>
    <t>Remboursement FT3</t>
  </si>
  <si>
    <t>2 Films Echo Delta MEDICAL n) fc33128 du 31/12/2024</t>
  </si>
  <si>
    <t>Transport tabouret réglable</t>
  </si>
  <si>
    <t xml:space="preserve">3 dateurs </t>
  </si>
  <si>
    <t>1 carnet autocopiant 3 volets</t>
  </si>
  <si>
    <t>Paquet de 125 capsules de café SOLIPARTA N° 311/12</t>
  </si>
  <si>
    <t>Electricien Boubacar reliquat main-d'œuvre travaux médina</t>
  </si>
  <si>
    <t>SIR collecte et incinération déchts Laboratoire</t>
  </si>
  <si>
    <t>Boîte de 20 paquets de recharge agraffeuse</t>
  </si>
  <si>
    <t>Acquisition de consommables de bureau</t>
  </si>
  <si>
    <t>Total dépenses Médina (cf factures)</t>
  </si>
  <si>
    <t>3 -    BENEFICE MOIS DE DECEMBRE 2024 :</t>
  </si>
  <si>
    <t>Dernier versement achat sonde cardiaque</t>
  </si>
  <si>
    <t>5ème versement achat champ visuel reste 2.000.000</t>
  </si>
  <si>
    <t>4ème  versement reliquat  achat automate NFS 34 paramètres (reste 4.275.000)</t>
  </si>
  <si>
    <t>Acquisition défibrilateur et Eléectrocardiogramme (SM Diamniadio)</t>
  </si>
  <si>
    <t>SOLDE FIN MOIS DE DECEMBRE 2024</t>
  </si>
  <si>
    <t>N.B. : Les analyses offertes gracieusement au courant du mois de Décembre 2024:</t>
  </si>
  <si>
    <t>Pour les Agents de l'Etat  (0)</t>
  </si>
  <si>
    <t>Pour les non agents de l'Etat (33)</t>
  </si>
  <si>
    <t>DSA Bud. 2024 : 6.998.700 / Dépenses : 5.009.900 Reste : 1.988.800</t>
  </si>
  <si>
    <t>SOTELMED Bud. 2023 : 5.873.800 / Dépenses : 3.234.183 Reste : 2.639.617</t>
  </si>
  <si>
    <r>
      <rPr>
        <rFont val="Times New Roman"/>
        <b/>
        <color theme="1"/>
        <sz val="12.0"/>
        <u/>
      </rPr>
      <t>Feuille de Présences</t>
    </r>
    <r>
      <rPr>
        <rFont val="Times New Roman"/>
        <b val="0"/>
        <color theme="1"/>
        <sz val="12.0"/>
        <u/>
      </rPr>
      <t> :</t>
    </r>
  </si>
  <si>
    <t>Recette Totale</t>
  </si>
  <si>
    <t>RAPPORT FINANCIER DU MOIS DE JANVIER 2025</t>
  </si>
  <si>
    <t>REPORT SOLDE FINAL MOIS DE DECEMBRE 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</si>
  <si>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</si>
  <si>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DENTISTE</t>
  </si>
  <si>
    <t>Dernière  semaine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</si>
  <si>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</si>
  <si>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Oumou</t>
  </si>
  <si>
    <t>Maman Aita Diouf</t>
  </si>
  <si>
    <t xml:space="preserve">Achats matériels peintre+ frais d'envoi wave </t>
  </si>
  <si>
    <t xml:space="preserve">Cahier recettes-dépenses </t>
  </si>
  <si>
    <t xml:space="preserve">Main d'œuvre pentre + frais </t>
  </si>
  <si>
    <t xml:space="preserve">Carnets de reçu 3 volets </t>
  </si>
  <si>
    <t xml:space="preserve">Agrafeuse GM </t>
  </si>
  <si>
    <t xml:space="preserve">Cachet bodat 2040 </t>
  </si>
  <si>
    <r>
      <rPr>
        <rFont val="Times New Roman"/>
        <color theme="1"/>
        <sz val="12.0"/>
      </rPr>
      <t>Dakin 500 ml</t>
    </r>
    <r>
      <rPr>
        <rFont val="Times New Roman"/>
        <color rgb="FFFF0000"/>
        <sz val="12.0"/>
      </rPr>
      <t xml:space="preserve"> </t>
    </r>
  </si>
  <si>
    <t>Saloum pharma Fact n°002865</t>
  </si>
  <si>
    <t>Saloum pharma Fact n°002864</t>
  </si>
  <si>
    <t>Réparation porte magasin +  main d'oeuvre</t>
  </si>
  <si>
    <t>Carnet bon de commande (carnet , registre+ fiche PF)</t>
  </si>
  <si>
    <t>Produit P F</t>
  </si>
  <si>
    <t>Sucre</t>
  </si>
  <si>
    <t xml:space="preserve">Cartouche imprimente Toner intégral Ricoh 2014 </t>
  </si>
  <si>
    <t xml:space="preserve">Alèses 2 catons </t>
  </si>
  <si>
    <t xml:space="preserve">Stylo paquet de 50 </t>
  </si>
  <si>
    <t xml:space="preserve">BA EAU BAB </t>
  </si>
  <si>
    <r>
      <rPr>
        <rFont val="Times New Roman"/>
        <color theme="1"/>
        <sz val="12.0"/>
      </rPr>
      <t>Carte groupe sanguin 1000 Fact n° 001/OS/25</t>
    </r>
    <r>
      <rPr>
        <rFont val="Times New Roman"/>
        <color rgb="FFFF0000"/>
        <sz val="12.0"/>
      </rPr>
      <t xml:space="preserve"> </t>
    </r>
  </si>
  <si>
    <t xml:space="preserve">Carton de 500 enveloppes A5  </t>
  </si>
  <si>
    <t xml:space="preserve">Film Echo Delta médical </t>
  </si>
  <si>
    <t>Mouchoires Lucart+ brosse toilette+Ttransport</t>
  </si>
  <si>
    <r>
      <rPr>
        <rFont val="Times New Roman"/>
        <color theme="1"/>
        <sz val="12.0"/>
      </rPr>
      <t>Déodorisant</t>
    </r>
    <r>
      <rPr>
        <rFont val="Times New Roman"/>
        <color rgb="FFFF0000"/>
        <sz val="12.0"/>
      </rPr>
      <t xml:space="preserve"> </t>
    </r>
  </si>
  <si>
    <t xml:space="preserve">Serrure acol </t>
  </si>
  <si>
    <t xml:space="preserve">Serrure cas </t>
  </si>
  <si>
    <t xml:space="preserve">Micc </t>
  </si>
  <si>
    <t xml:space="preserve">Ambrois'y Sante Fact n° 0081140125 </t>
  </si>
  <si>
    <t xml:space="preserve">Avance porte plombée radiologie </t>
  </si>
  <si>
    <t xml:space="preserve">Carnets de reçu 2volets autocopiants </t>
  </si>
  <si>
    <t xml:space="preserve">Carburant  incinération déchets Laboratoire </t>
  </si>
  <si>
    <t xml:space="preserve">Boîte de 20 paquets de recharge agrafeuse </t>
  </si>
  <si>
    <t xml:space="preserve">Démontage,entretien et main d'œuvre de 3 climatiseurs rue mousse diop </t>
  </si>
  <si>
    <t>Démontage,entretien et main d'œuvre du  climatiseur rue mousse</t>
  </si>
  <si>
    <t>Démontage et montage de climatiseur à la salle écho</t>
  </si>
  <si>
    <t xml:space="preserve"> Asma Medic Fact n°401 janv </t>
  </si>
  <si>
    <t>Asma Medic Fact n° 402 janv</t>
  </si>
  <si>
    <t>Saloum pharma fact n 002866</t>
  </si>
  <si>
    <r>
      <rPr>
        <rFont val="Times New Roman"/>
        <color theme="1"/>
        <sz val="12.0"/>
      </rPr>
      <t>Achats de produits super U + tiak tiak</t>
    </r>
    <r>
      <rPr>
        <rFont val="Times New Roman"/>
        <color rgb="FFFF0000"/>
        <sz val="12.0"/>
      </rPr>
      <t xml:space="preserve"> </t>
    </r>
  </si>
  <si>
    <t xml:space="preserve">Achat de laicran </t>
  </si>
  <si>
    <t xml:space="preserve">2 paquets de rouleaux imprimente de caisse ophtalmo </t>
  </si>
  <si>
    <t xml:space="preserve">Pile pour tensionmètre ophalmo </t>
  </si>
  <si>
    <t xml:space="preserve">Eau Miya </t>
  </si>
  <si>
    <t xml:space="preserve">Moucchoires ophtamo </t>
  </si>
  <si>
    <t xml:space="preserve">Achats de matériels + m'ain d'œuvre à l'unité mère -enfant </t>
  </si>
  <si>
    <t>Cappucino</t>
  </si>
  <si>
    <t>Déodorisant + laicran</t>
  </si>
  <si>
    <t>Anesthesie dentiste</t>
  </si>
  <si>
    <t>Javel , madar, mouchoires dentiste</t>
  </si>
  <si>
    <t>Aiguilles dentiste</t>
  </si>
  <si>
    <t>Anesthésie dentiste</t>
  </si>
  <si>
    <t>Ba Eau Bab dentiste</t>
  </si>
  <si>
    <t>Reçu dentiste</t>
  </si>
  <si>
    <t>Pulpotec dentiste</t>
  </si>
  <si>
    <t>Tasses à jetter</t>
  </si>
  <si>
    <t>Corde 20 mètres</t>
  </si>
  <si>
    <t>Cartouche imprimente HP 107A</t>
  </si>
  <si>
    <t>Registre mère-enfant</t>
  </si>
  <si>
    <t>Laicran</t>
  </si>
  <si>
    <t>Produit dératisation</t>
  </si>
  <si>
    <t>1000 cartes de groupe sanguin Fact n 002/05/25</t>
  </si>
  <si>
    <t>Réfection cable internet</t>
  </si>
  <si>
    <t>Masque( dentiste)</t>
  </si>
  <si>
    <t>BENEFICE</t>
  </si>
  <si>
    <t>Achat d'équipement cardiologique</t>
  </si>
  <si>
    <t>6ème versement achat champ visuel reste 1 500 000</t>
  </si>
  <si>
    <t>5ème  versement reliquat  achat automate NFS 34 paramètres (reste 3 800 000)</t>
  </si>
  <si>
    <t>SOLDE FIN MOIS DE JANVIER 2025</t>
  </si>
  <si>
    <t xml:space="preserve">Pour les Agents de l'Etat  </t>
  </si>
  <si>
    <t xml:space="preserve">Pour les non agents de l'Etat </t>
  </si>
  <si>
    <t xml:space="preserve"> MEDILABO Bud. 2024 : 7.965.000 / Dép. : 7.397.150 Montant :435325</t>
  </si>
  <si>
    <t>DSA Bud. 2024 : 6.998.700 / Dépenses : 6.917.900 Reste : 80.800</t>
  </si>
  <si>
    <t>SOTELMED Bud. 2023 : 5.873.800 / Dépenses : 2.652.427 Reste : 2.626.807</t>
  </si>
  <si>
    <r>
      <rPr>
        <rFont val="Times New Roman"/>
        <b/>
        <color theme="1"/>
        <sz val="14.0"/>
        <u/>
      </rPr>
      <t>Feuille de presences</t>
    </r>
    <r>
      <rPr>
        <rFont val="Times New Roman"/>
        <b/>
        <color theme="1"/>
        <sz val="14.0"/>
      </rPr>
      <t xml:space="preserve"> :</t>
    </r>
  </si>
  <si>
    <t>Dr Aninata Ndiaye</t>
  </si>
  <si>
    <t>Dr Oumy cécile Diop</t>
  </si>
  <si>
    <t>Dr Mouhamed Sow</t>
  </si>
  <si>
    <t>Mme Amy Tall Diakite</t>
  </si>
  <si>
    <t>Dr Mamou  Diop</t>
  </si>
  <si>
    <t xml:space="preserve">Mme  Seynabou Ndiaye  </t>
  </si>
  <si>
    <t>RAPPORT FINANCIER DU MOIS DE FEVRIER 2025</t>
  </si>
  <si>
    <t>REPPORT SOLDE FINAL MOIS DE JANVIER 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</si>
  <si>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</si>
  <si>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</si>
  <si>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TS Radiologues : </t>
  </si>
  <si>
    <t>Dr Sall dentiste vacataire</t>
  </si>
  <si>
    <t>Mme Gueye Aminata Ndiaye</t>
  </si>
  <si>
    <t>Mme Niang Oumou</t>
  </si>
  <si>
    <t>Coumba Sétou Ly</t>
  </si>
  <si>
    <t xml:space="preserve">Angélique Ndiaye </t>
  </si>
  <si>
    <t>Honoraire infirmière ziguinchor decharge pas encore reçu</t>
  </si>
  <si>
    <t xml:space="preserve">3 batteries onduleur 12V/7A </t>
  </si>
  <si>
    <t>14 paquets de capsules café</t>
  </si>
  <si>
    <t>Ba eau bab dentiste</t>
  </si>
  <si>
    <t xml:space="preserve">Carton de 250 enveloppes A4 kraft </t>
  </si>
  <si>
    <t xml:space="preserve">Reliquat porte plombée </t>
  </si>
  <si>
    <t xml:space="preserve">Alèses 2 cartons </t>
  </si>
  <si>
    <t xml:space="preserve">3 agrafeuses CB </t>
  </si>
  <si>
    <r>
      <rPr>
        <rFont val="Times New Roman"/>
        <color theme="1"/>
        <sz val="12.0"/>
      </rPr>
      <t>Achat consommations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</si>
  <si>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Ligne  téléphonique</t>
    </r>
    <r>
      <rPr>
        <rFont val="Times New Roman"/>
        <color rgb="FFFF0000"/>
        <sz val="12.0"/>
      </rPr>
      <t xml:space="preserve"> </t>
    </r>
  </si>
  <si>
    <t xml:space="preserve">Alèse 1 carton médina </t>
  </si>
  <si>
    <t>Onduleur 1000 VA</t>
  </si>
  <si>
    <t>Eugenol medina</t>
  </si>
  <si>
    <t>Eau oxygenée medina</t>
  </si>
  <si>
    <t xml:space="preserve">Cable FTP cat G </t>
  </si>
  <si>
    <t>Rouleau Tube</t>
  </si>
  <si>
    <t xml:space="preserve">Eau miya </t>
  </si>
  <si>
    <t xml:space="preserve">Cartouche  HP 207A </t>
  </si>
  <si>
    <r>
      <rPr>
        <rFont val="Times New Roman"/>
        <color theme="1"/>
        <sz val="12.0"/>
      </rPr>
      <t>Cartouche  85A</t>
    </r>
    <r>
      <rPr>
        <rFont val="Times New Roman"/>
        <color rgb="FFFF0000"/>
        <sz val="12.0"/>
      </rPr>
      <t xml:space="preserve"> </t>
    </r>
  </si>
  <si>
    <t xml:space="preserve">Cartouche 26A </t>
  </si>
  <si>
    <t xml:space="preserve">Tasses à jetter  medina rdc </t>
  </si>
  <si>
    <t>Pile tensionmètre</t>
  </si>
  <si>
    <t xml:space="preserve">Mouchoires </t>
  </si>
  <si>
    <t>Javel</t>
  </si>
  <si>
    <t>Madar</t>
  </si>
  <si>
    <t>Pile CR 2032</t>
  </si>
  <si>
    <t>Achat de matériel + main d'œuvre pour l'alimentation d'eau</t>
  </si>
  <si>
    <t>Ralonge</t>
  </si>
  <si>
    <t>2 film echo + transport</t>
  </si>
  <si>
    <t>Achat de matériel électrique + main d'œuvre médina                               13000</t>
  </si>
  <si>
    <t>Chaises ziguinchor il rete la facture</t>
  </si>
  <si>
    <t>Consomed fact n 1025/25</t>
  </si>
  <si>
    <t xml:space="preserve">Kakemono </t>
  </si>
  <si>
    <t>Serrure  sofab</t>
  </si>
  <si>
    <t>Déodorisant</t>
  </si>
  <si>
    <t>Enveloppe</t>
  </si>
  <si>
    <t>Tasses</t>
  </si>
  <si>
    <t>Piles duracel</t>
  </si>
  <si>
    <t>Prise étanche + main d'œuvre dentiste</t>
  </si>
  <si>
    <t>H2 O2 dentiste</t>
  </si>
  <si>
    <t>Lubrifiant dentiste</t>
  </si>
  <si>
    <t>Piles</t>
  </si>
  <si>
    <t>Carton  papier A4 double</t>
  </si>
  <si>
    <t>Saloum farma Fact n 002867</t>
  </si>
  <si>
    <t>Saloum farma Fact n 002869</t>
  </si>
  <si>
    <t>Saloum farma Fact n 002868</t>
  </si>
  <si>
    <t>Cartes groupe sanguin 1000</t>
  </si>
  <si>
    <t>Complément plombage salle dentaire</t>
  </si>
  <si>
    <t>Eau miya</t>
  </si>
  <si>
    <t>Transport produit LABO</t>
  </si>
  <si>
    <t>Carnets de reçu 2 volets</t>
  </si>
  <si>
    <t>Crédit téléphonique</t>
  </si>
  <si>
    <t>Consomed Fact n 1028/25</t>
  </si>
  <si>
    <t>Saloum farma Fact n 002870</t>
  </si>
  <si>
    <t>Technologies Services Fact n : FA250807</t>
  </si>
  <si>
    <t>Technologies Services Fact  n : FA250469</t>
  </si>
  <si>
    <t>Technologies Services Fact n : FA250189</t>
  </si>
  <si>
    <t>Technologies Services Fact n : FA250449</t>
  </si>
  <si>
    <t>Papier pour vitre</t>
  </si>
  <si>
    <t>Raclette</t>
  </si>
  <si>
    <t>Valdafrique Fact n 2212005</t>
  </si>
  <si>
    <t>Technologies Services Fact n : FA250808</t>
  </si>
  <si>
    <t>BENEFICE DU MOIS</t>
  </si>
  <si>
    <t>7ème versement achat champ visuel reste 1 000 000</t>
  </si>
  <si>
    <t>6ème  versement reliquat  achat automate NFS 34 paramètres (reste 2 325 000)</t>
  </si>
  <si>
    <t>Achat de deux fauteuils dentaires pour un cout global de 13300000</t>
  </si>
  <si>
    <t>SOLDE FIN MOIS DE FEVRIER 2025</t>
  </si>
  <si>
    <t>N.B. : Les analyses offertes gracieusement au courant du mois de Février 2025:</t>
  </si>
  <si>
    <t xml:space="preserve"> MEDILABO Bud. 2024 : 7.965.000 / Dép. : 9 295 000  Montant due :  -1. 330 .325</t>
  </si>
  <si>
    <t>DSA Bud. 2024 : 6.998.700 / Dépenses : 7.562.900 Montant due : 564 200</t>
  </si>
  <si>
    <t>SOTELMED Bud. 2023 : 5.873.800 / Dépenses : 3.314.583 Reste : 2.559.217</t>
  </si>
  <si>
    <r>
      <rPr>
        <rFont val="Times New Roman"/>
        <b/>
        <color theme="1"/>
        <sz val="12.0"/>
        <u/>
      </rPr>
      <t>Feuille de presences</t>
    </r>
    <r>
      <rPr>
        <rFont val="Times New Roman"/>
        <b/>
        <color theme="1"/>
        <sz val="12.0"/>
      </rPr>
      <t xml:space="preserve"> :</t>
    </r>
  </si>
  <si>
    <t>Dr mouhamed Sow</t>
  </si>
  <si>
    <t xml:space="preserve">Mme Amy Tall Diakite </t>
  </si>
  <si>
    <t>Mme Amy  Ngom</t>
  </si>
  <si>
    <t>RAPPORT FINANCIER DU MOIS DE MARS 2025</t>
  </si>
  <si>
    <t>REPPORT SOLDE FINAL MOIS DE FEVRIER  2024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</si>
  <si>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</si>
  <si>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</si>
  <si>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Assistant cms ziguinchor</t>
  </si>
  <si>
    <t xml:space="preserve">1 carton enveloppe + paquet stylo  imagerie médicale  </t>
  </si>
  <si>
    <t xml:space="preserve">Produits PF  unité mère enfant  </t>
  </si>
  <si>
    <t xml:space="preserve">Produits cons imagerie médicale  </t>
  </si>
  <si>
    <t xml:space="preserve">4 carton enveloppe A4 </t>
  </si>
  <si>
    <t xml:space="preserve">Poche à urine  </t>
  </si>
  <si>
    <t xml:space="preserve">Sonde urinaire  </t>
  </si>
  <si>
    <t xml:space="preserve">100 cartes de santé pèlerinage  </t>
  </si>
  <si>
    <t xml:space="preserve">Recharge  agrafeuse </t>
  </si>
  <si>
    <t xml:space="preserve">2 carton enveloppe 16,22   </t>
  </si>
  <si>
    <t xml:space="preserve">Reliquat  de 54,81euro sur les appareils cardio </t>
  </si>
  <si>
    <t xml:space="preserve">Carburant pour incinération des déchets  </t>
  </si>
  <si>
    <t xml:space="preserve">Perfuseur mélange AIG 19G/I  </t>
  </si>
  <si>
    <t xml:space="preserve">02 cartons  papier A4  </t>
  </si>
  <si>
    <t xml:space="preserve">Film echo sony upp 110 HD + transport  </t>
  </si>
  <si>
    <t xml:space="preserve">Dislep 25 MG  </t>
  </si>
  <si>
    <t xml:space="preserve">Masque chirurgical </t>
  </si>
  <si>
    <t xml:space="preserve">Consomed fact n 1032/25  </t>
  </si>
  <si>
    <t xml:space="preserve">Cartouche 107A  </t>
  </si>
  <si>
    <t xml:space="preserve">Anesthesie cabinet dentaire </t>
  </si>
  <si>
    <r>
      <rPr>
        <rFont val="Times New Roman"/>
        <color theme="1"/>
        <sz val="12.0"/>
      </rPr>
      <t>Gants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 xml:space="preserve">cabinet dentaire </t>
    </r>
  </si>
  <si>
    <t xml:space="preserve">Mouchoires+javel+madar cabinet dentaire </t>
  </si>
  <si>
    <t xml:space="preserve">Ba eau bab </t>
  </si>
  <si>
    <t xml:space="preserve">Sodium pna 0,9% 500ml </t>
  </si>
  <si>
    <r>
      <rPr>
        <rFont val="Times New Roman"/>
        <color theme="1"/>
        <sz val="12.0"/>
      </rPr>
      <t>Spots 3</t>
    </r>
    <r>
      <rPr>
        <rFont val="Times New Roman"/>
        <color rgb="FFFF0000"/>
        <sz val="12.0"/>
      </rPr>
      <t xml:space="preserve"> </t>
    </r>
  </si>
  <si>
    <t>Frais de transport electricien</t>
  </si>
  <si>
    <t xml:space="preserve">Gel  desinfectant imagerie médicale </t>
  </si>
  <si>
    <r>
      <rPr>
        <rFont val="Times New Roman"/>
        <color theme="1"/>
        <sz val="12.0"/>
      </rPr>
      <t>Alèses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>imagerie</t>
    </r>
    <r>
      <rPr>
        <rFont val="Times New Roman"/>
        <color rgb="FFFF0000"/>
        <sz val="12.0"/>
      </rPr>
      <t xml:space="preserve"> </t>
    </r>
  </si>
  <si>
    <t>01 paquet de chemises cartonnees</t>
  </si>
  <si>
    <t xml:space="preserve">Mouchoires scala 300 mm +masque + transport </t>
  </si>
  <si>
    <t xml:space="preserve">Transport salon pour la salle d'attente </t>
  </si>
  <si>
    <t xml:space="preserve">Cartes sde groupe sanguin 1000 </t>
  </si>
  <si>
    <t xml:space="preserve">Asma medic fact n 03/418 </t>
  </si>
  <si>
    <t xml:space="preserve">Serum  glucosé 5%  </t>
  </si>
  <si>
    <t xml:space="preserve">Technologies services fact n FA250947  </t>
  </si>
  <si>
    <r>
      <rPr>
        <rFont val="Times New Roman"/>
        <color theme="1"/>
        <sz val="12.0"/>
      </rPr>
      <t>Valdafrique fact n 2112005</t>
    </r>
    <r>
      <rPr>
        <rFont val="Times New Roman"/>
        <color rgb="FFFF0000"/>
        <sz val="12.0"/>
      </rPr>
      <t xml:space="preserve">  </t>
    </r>
  </si>
  <si>
    <t xml:space="preserve">Saloum pharma fact n 002871  </t>
  </si>
  <si>
    <t xml:space="preserve">Consomed fact n 1028/25  </t>
  </si>
  <si>
    <t xml:space="preserve">frais de transfert rénumeration  assistante ziguinchor  </t>
  </si>
  <si>
    <r>
      <rPr>
        <rFont val="Times New Roman"/>
        <color theme="1"/>
        <sz val="12.0"/>
      </rPr>
      <t>Gants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 xml:space="preserve">cabinet dentaire  </t>
    </r>
  </si>
  <si>
    <r>
      <rPr>
        <rFont val="Times New Roman"/>
        <color theme="1"/>
        <sz val="12.0"/>
      </rPr>
      <t>Eau oxygèné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 xml:space="preserve">cabinet dentaire  </t>
    </r>
  </si>
  <si>
    <t xml:space="preserve">Anesthesie caninet dentaire  </t>
  </si>
  <si>
    <t>8ème versement achat champ visuel reste 500 000</t>
  </si>
  <si>
    <t>7ème  versement reliquat  achat automate NFS 34 paramètres (reste 1 850 000)</t>
  </si>
  <si>
    <t>1ière versement Achat de deux fauteuils dentaires pour un cout global de 13300000</t>
  </si>
  <si>
    <t>Achat  cassette mammographie</t>
  </si>
  <si>
    <t>SOLDE FIN MOIS DE MARS 2025</t>
  </si>
  <si>
    <t>N.B. : Les analyses offertes gracieusement au courant du mois de Mars 2025:</t>
  </si>
  <si>
    <t>DABLE SERVICES Bud. : 2022 : 13.900.000 / Dépenses : 9.414.919 Reste : 4.485.081</t>
  </si>
  <si>
    <r>
      <rPr>
        <rFont val="Times New Roman"/>
        <b/>
        <color theme="1"/>
        <sz val="12.0"/>
        <u/>
      </rPr>
      <t>Feuille de presences</t>
    </r>
    <r>
      <rPr>
        <rFont val="Times New Roman"/>
        <b/>
        <color theme="1"/>
        <sz val="12.0"/>
      </rPr>
      <t xml:space="preserve"> :</t>
    </r>
  </si>
  <si>
    <t>RAPPORT FINANCIER DU MOIS DE AVRIL 2025</t>
  </si>
  <si>
    <t>REPPORT SOLDE FINAL MOIS DE MARS  2025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</si>
  <si>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</si>
  <si>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Derniers jours du mois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</si>
  <si>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</si>
  <si>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Salaires : </t>
  </si>
  <si>
    <t xml:space="preserve">Total Honoraires :                                                                                                                             </t>
  </si>
  <si>
    <t xml:space="preserve">Achat cons +sachet + tiak tiak  </t>
  </si>
  <si>
    <r>
      <rPr>
        <rFont val="Times New Roman"/>
        <color theme="1"/>
        <sz val="12.0"/>
      </rPr>
      <t>Eau miya</t>
    </r>
    <r>
      <rPr>
        <rFont val="Times New Roman"/>
        <color rgb="FFFF0000"/>
        <sz val="12.0"/>
      </rPr>
      <t xml:space="preserve">  </t>
    </r>
  </si>
  <si>
    <t xml:space="preserve">Maintenance  cabinet ophtalmo </t>
  </si>
  <si>
    <r>
      <rPr>
        <rFont val="Times New Roman"/>
        <color theme="1"/>
        <sz val="12.0"/>
      </rPr>
      <t>Achat de serrure + cadre en verre + porte manteau+ main d'œuvre imagerie</t>
    </r>
    <r>
      <rPr>
        <rFont val="Times New Roman"/>
        <color rgb="FFFF0000"/>
        <sz val="12.0"/>
      </rPr>
      <t xml:space="preserve">  </t>
    </r>
  </si>
  <si>
    <t xml:space="preserve">Dosimétre  </t>
  </si>
  <si>
    <t xml:space="preserve">Sucre  </t>
  </si>
  <si>
    <t xml:space="preserve">Serpillère  </t>
  </si>
  <si>
    <t xml:space="preserve">Achat de serrure + main d'œuvre rue moussé diop  </t>
  </si>
  <si>
    <t xml:space="preserve">Chargeur agrafeuse </t>
  </si>
  <si>
    <r>
      <rPr>
        <rFont val="Times New Roman"/>
        <color theme="1"/>
        <sz val="12.0"/>
      </rPr>
      <t>Cartes de vaccination pèlerinage</t>
    </r>
    <r>
      <rPr>
        <rFont val="Times New Roman"/>
        <color rgb="FFFF0000"/>
        <sz val="12.0"/>
      </rPr>
      <t xml:space="preserve">  </t>
    </r>
  </si>
  <si>
    <t xml:space="preserve">Cartons papier double A4 </t>
  </si>
  <si>
    <t xml:space="preserve">Saloum farma fact n 002872  </t>
  </si>
  <si>
    <t xml:space="preserve">Film echo 02 + transport </t>
  </si>
  <si>
    <t xml:space="preserve">Abaisse- langue en bois </t>
  </si>
  <si>
    <t xml:space="preserve">Mouchoires ophtalmo </t>
  </si>
  <si>
    <t xml:space="preserve">Miya  </t>
  </si>
  <si>
    <t xml:space="preserve">Credit telephonique  </t>
  </si>
  <si>
    <t xml:space="preserve">Alèses 02 catons  </t>
  </si>
  <si>
    <t xml:space="preserve">Aiguilles cabinet dentaire  </t>
  </si>
  <si>
    <t xml:space="preserve">Pulpotec cabinet dentaire  </t>
  </si>
  <si>
    <t xml:space="preserve">Trabar injectable  </t>
  </si>
  <si>
    <t xml:space="preserve">Baeaubab  </t>
  </si>
  <si>
    <t xml:space="preserve">Mouchoires +linjette+goblet cabinet dentaire  </t>
  </si>
  <si>
    <t xml:space="preserve">Carnet de reçu cabinet dentaire </t>
  </si>
  <si>
    <t xml:space="preserve">Baeaubab cabinet dentaire </t>
  </si>
  <si>
    <t xml:space="preserve">Dakin  </t>
  </si>
  <si>
    <r>
      <rPr>
        <rFont val="Times New Roman"/>
        <color theme="1"/>
        <sz val="12.0"/>
      </rPr>
      <t>Goblet + parfum +transport</t>
    </r>
    <r>
      <rPr>
        <rFont val="Times New Roman"/>
        <color rgb="FFFF0000"/>
        <sz val="12.0"/>
      </rPr>
      <t xml:space="preserve">  </t>
    </r>
  </si>
  <si>
    <t xml:space="preserve">Cartes de groupe sanguin + enveloppes kaki </t>
  </si>
  <si>
    <t xml:space="preserve">Consomed fact n 1060/24  </t>
  </si>
  <si>
    <t xml:space="preserve">Paquet de stylo bleu  </t>
  </si>
  <si>
    <t>Carnet de reçu 2 volets + enveloppe kaki</t>
  </si>
  <si>
    <t xml:space="preserve">Bassin de lit +papier ECG+ electrodes +transport  </t>
  </si>
  <si>
    <t xml:space="preserve">Carton enveloope A3 imagerie  </t>
  </si>
  <si>
    <t xml:space="preserve">1 paquet laicran imagerie </t>
  </si>
  <si>
    <t xml:space="preserve">2 paquet tasses à jetter imagerie  </t>
  </si>
  <si>
    <t xml:space="preserve">Serrure imagerie  </t>
  </si>
  <si>
    <t xml:space="preserve">Main d'œuvre imagerie  </t>
  </si>
  <si>
    <r>
      <rPr>
        <rFont val="Times New Roman"/>
        <color theme="1"/>
        <sz val="12.0"/>
      </rPr>
      <t>Technologies services fact n 251574</t>
    </r>
    <r>
      <rPr>
        <rFont val="Times New Roman"/>
        <color rgb="FFFF0000"/>
        <sz val="12.0"/>
      </rPr>
      <t xml:space="preserve">  </t>
    </r>
  </si>
  <si>
    <t xml:space="preserve">Technologies services fact n 251373 </t>
  </si>
  <si>
    <t xml:space="preserve">Technologies services avance contrat maintenance  fact n 251408  </t>
  </si>
  <si>
    <t xml:space="preserve">Technologies services dépannage Mac 600  </t>
  </si>
  <si>
    <t>DERNIER Versement achat champ visuel</t>
  </si>
  <si>
    <t>8ème  versement reliquat  achat automate NFS 34 paramètres (reste 1 375 000)</t>
  </si>
  <si>
    <t>2ième versementAchat de deux fauteuils dentaires pour un cout global de 13300000</t>
  </si>
  <si>
    <t>SOLDE FIN MOIS DE AVRIL 2025</t>
  </si>
  <si>
    <t>DABLE SERVICES Bud. : 2022 : 13.900.000 / Dépenses :11.864.919 Restant : 2.035.081</t>
  </si>
  <si>
    <t xml:space="preserve"> MEDILABO Bud. 2024 : 7.965.000 / Dép. : 10 017 500  Montant due :  -2. 382 .825</t>
  </si>
  <si>
    <t>DSA Bud. 2024 : 6.998.700 / Dépenses : 8.608.400 Montant due : 1 609 700</t>
  </si>
  <si>
    <r>
      <rPr>
        <rFont val="Times New Roman"/>
        <b/>
        <color theme="1"/>
        <sz val="12.0"/>
        <u/>
      </rPr>
      <t>Feuille de presences</t>
    </r>
    <r>
      <rPr>
        <rFont val="Times New Roman"/>
        <b/>
        <color theme="1"/>
        <sz val="12.0"/>
      </rPr>
      <t xml:space="preserve"> :</t>
    </r>
  </si>
  <si>
    <t xml:space="preserve">Mme  Seynabou Ndiaye </t>
  </si>
  <si>
    <t>RAPPORT FINANCIER  DU  MOIS DE MAI 2025</t>
  </si>
  <si>
    <t>REPPORT SOLDE FINAL MOIS D'AVRIL 2025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</si>
  <si>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</si>
  <si>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OPHTAL</t>
  </si>
  <si>
    <t>Journée du 2 mai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</si>
  <si>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</si>
  <si>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Dr Nogoye </t>
  </si>
  <si>
    <t xml:space="preserve">Total Honoraires :                                                           </t>
  </si>
  <si>
    <t>Matériel pour l'hystero radiologie</t>
  </si>
  <si>
    <t>Catherter pour l'hysteroradiologie</t>
  </si>
  <si>
    <t>Produit cons radiologie + transport</t>
  </si>
  <si>
    <t>Matériel plomberie pour unité radiologie + main d'œuvre</t>
  </si>
  <si>
    <t>Cartouche 207A noir (3)</t>
  </si>
  <si>
    <t>Eau minérale (Baeaubab ou Miya)</t>
  </si>
  <si>
    <t>Cachet 4911</t>
  </si>
  <si>
    <t>1 toner 2014AD/D type 2014H</t>
  </si>
  <si>
    <t>5 paquets de 10 sachets</t>
  </si>
  <si>
    <t>canon</t>
  </si>
  <si>
    <t>Betadine gynéco radiologie</t>
  </si>
  <si>
    <t>Carton papier A4</t>
  </si>
  <si>
    <t xml:space="preserve">Capsule hystero +frais d"envoi </t>
  </si>
  <si>
    <t>Serrure + main d'œuvre</t>
  </si>
  <si>
    <t>02 cartons enveloppes</t>
  </si>
  <si>
    <t>Incineration déchets biomédicaux</t>
  </si>
  <si>
    <t>Bande gaze</t>
  </si>
  <si>
    <t>Tampon rond</t>
  </si>
  <si>
    <t>Tampon oval</t>
  </si>
  <si>
    <t>Pile duracell</t>
  </si>
  <si>
    <t>Agrafeuse  unité mère enfant</t>
  </si>
  <si>
    <t>Achat de matériel +main d'œuvre electricien</t>
  </si>
  <si>
    <t>Film echo sony (02)</t>
  </si>
  <si>
    <t>Matériel froid gaz + capa</t>
  </si>
  <si>
    <t>Entretien réparation clim Siège et médina</t>
  </si>
  <si>
    <t>Cartes de groupe sanguin</t>
  </si>
  <si>
    <t>Paquets stylo 2 boites</t>
  </si>
  <si>
    <t>Cachet rond</t>
  </si>
  <si>
    <t>Carnets ordonnacier</t>
  </si>
  <si>
    <t>Escabot + gaz pour clim +transport</t>
  </si>
  <si>
    <t>Neon 0,6 laid</t>
  </si>
  <si>
    <t>Piles duracel PM et GM</t>
  </si>
  <si>
    <t>Consomed fact n 1065/25</t>
  </si>
  <si>
    <t>Asma Medic fact n 432</t>
  </si>
  <si>
    <t>Carouche HP noir et couleur (02)</t>
  </si>
  <si>
    <t>Saloum pharma fact n 002873</t>
  </si>
  <si>
    <t>Café Ricore</t>
  </si>
  <si>
    <t>Masque chirurgical</t>
  </si>
  <si>
    <t>Tasses +laicran</t>
  </si>
  <si>
    <t>Cachet trodat 4911</t>
  </si>
  <si>
    <t>Coton salivaire dentiste</t>
  </si>
  <si>
    <t>Endoseal cabinet dentaire</t>
  </si>
  <si>
    <t>Eau minérale (Baeaubab pour cabinet dentaire)</t>
  </si>
  <si>
    <t>Divers cabinet dentaire</t>
  </si>
  <si>
    <t>Pulpotec aiguilles</t>
  </si>
  <si>
    <t>H2O cabinet dentaire</t>
  </si>
  <si>
    <t>Essuie tout</t>
  </si>
  <si>
    <t>Film echographie sony (03)</t>
  </si>
  <si>
    <t>Désinfectant 02</t>
  </si>
  <si>
    <t>Technologies services abonnement fact n FA252021</t>
  </si>
  <si>
    <t>9ème  versement reliquat  achat automate NFS 34 paramètres (reste 475 000)</t>
  </si>
  <si>
    <t>3ème versement Achat de deux fauteuils dentaires pour un cout global de 13300000</t>
  </si>
  <si>
    <t>Achat  cassette mammographie dernier versement</t>
  </si>
  <si>
    <t>SOLDE FIN MOIS DE MAI 2025</t>
  </si>
  <si>
    <t xml:space="preserve"> MEDILABO Bud. 2024 : 7.965.000 / Dép. : 10 640 000  Montant due :  3.005.325</t>
  </si>
  <si>
    <t>DSA Bud. 2024 : 6.998.700 / Dépenses : 9.664.400 Montant due : 2 665 700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</si>
  <si>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</si>
  <si>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RAPPORT FINANCIER DU MOIS DE JUIN 2025</t>
  </si>
  <si>
    <t>REPPORT SOLDE FINAL MOIS DE MAI  2025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</si>
  <si>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</si>
  <si>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</si>
  <si>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Honoraires TS Radiologues :                                                       </t>
  </si>
  <si>
    <t>Bétadine rouge500ml + bétadine gyneco</t>
  </si>
  <si>
    <t>Baeaubab</t>
  </si>
  <si>
    <t>Alèses imagerie</t>
  </si>
  <si>
    <t>Produit cons imagerie</t>
  </si>
  <si>
    <t>Tasses imagerie</t>
  </si>
  <si>
    <t>Batterie  duracell imagerie</t>
  </si>
  <si>
    <t>Eau miya imagerie</t>
  </si>
  <si>
    <t xml:space="preserve">Batterie  duracell </t>
  </si>
  <si>
    <t>Potence sur roulette +poire + frais de transport</t>
  </si>
  <si>
    <t>Entretien, maintenance menuiserie ,matériel + main d'œuvre</t>
  </si>
  <si>
    <t>Matériel d'ampoule,entretien ventilo + main d'œuvre cabinet dentaire</t>
  </si>
  <si>
    <t>Carnets de reçu</t>
  </si>
  <si>
    <t>Boite cvi, oxyde , aiguilles</t>
  </si>
  <si>
    <t>Verre à jeter</t>
  </si>
  <si>
    <t>Laicran imagerie</t>
  </si>
  <si>
    <t>produit désinfectant</t>
  </si>
  <si>
    <t xml:space="preserve">Profenid +trabar </t>
  </si>
  <si>
    <t>Tasses à jeter</t>
  </si>
  <si>
    <t>Sucres</t>
  </si>
  <si>
    <t>Achat de spot led + installation</t>
  </si>
  <si>
    <t>Désinfection des locaux rue moussé diop</t>
  </si>
  <si>
    <t>Batterie duracell</t>
  </si>
  <si>
    <t>Consomed fact n 5060/25</t>
  </si>
  <si>
    <t>Mouchoires + lait imagerie</t>
  </si>
  <si>
    <t>Miya</t>
  </si>
  <si>
    <t>Catherter</t>
  </si>
  <si>
    <t>Cyclopentolate</t>
  </si>
  <si>
    <t>Désinfectant imagerie</t>
  </si>
  <si>
    <t>Achat de capa +entretien de 2 climatiseurs à la rue moussé diop</t>
  </si>
  <si>
    <t>Entretien de deux climatiseurs à l'imagerie</t>
  </si>
  <si>
    <t>Laicran imagerie + led ampoule</t>
  </si>
  <si>
    <t xml:space="preserve">Achat mouchoires +pelle ordure +pince à linge + transport </t>
  </si>
  <si>
    <t xml:space="preserve">              </t>
  </si>
  <si>
    <t>Technologies services fact n : FA 252480</t>
  </si>
  <si>
    <t>10ème et dernier  versement reliquat  achat automate NFS 34 paramètres</t>
  </si>
  <si>
    <t>4ème versement Achat de deux fauteuils dentaires pour un cout global de 13300000</t>
  </si>
  <si>
    <t>SOLDE FIN MOIS DE JUIN 2025</t>
  </si>
  <si>
    <t xml:space="preserve"> MEDILABO Bud. 2024 : 7.965.000 / Dép. : 11 343.000  Montant due :  -4. 512.325</t>
  </si>
  <si>
    <t>DSA Bud. 2024 : 6.998.700 / Dépenses : 9.664.400 Montant due : 2.665.700</t>
  </si>
  <si>
    <t>SOTELMED Bud. 2023 : 5.873.800 / Dépenses : 3.533.238 Reste : 2.340.562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</si>
  <si>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</si>
  <si>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Dr Ndeye Ndoumbe Ngom</t>
  </si>
  <si>
    <t>Mme Seynabou Ndiaye</t>
  </si>
  <si>
    <t>RAPPORT FINANCIER  DU MOIS DE JUILLET 2025</t>
  </si>
  <si>
    <t>REPPORT SOLDE FINAL MOIS DE JUIN 2025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</si>
  <si>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</si>
  <si>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Derniere semaine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</si>
  <si>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</si>
  <si>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                                </t>
  </si>
  <si>
    <t xml:space="preserve"> Matériel de plomberie +main d'œuvre à la rue moussé diop  </t>
  </si>
  <si>
    <t xml:space="preserve">Dosimètre  </t>
  </si>
  <si>
    <t xml:space="preserve">Facture ndiaga cabinet dentaire  </t>
  </si>
  <si>
    <r>
      <rPr>
        <rFont val="Times New Roman"/>
        <color theme="1"/>
        <sz val="12.0"/>
      </rPr>
      <t>Transport produits au cabinet dentaire</t>
    </r>
    <r>
      <rPr>
        <rFont val="Times New Roman"/>
        <color rgb="FFFF0000"/>
        <sz val="12.0"/>
      </rPr>
      <t xml:space="preserve">  </t>
    </r>
  </si>
  <si>
    <t>Produits cons + tasses à jeter</t>
  </si>
  <si>
    <t xml:space="preserve">Reproduction clé + transport  </t>
  </si>
  <si>
    <t xml:space="preserve">Miya + crédit telephonique </t>
  </si>
  <si>
    <t xml:space="preserve">Télèphone portable imagerie  </t>
  </si>
  <si>
    <t xml:space="preserve">H20  </t>
  </si>
  <si>
    <t xml:space="preserve">Baeaubab cabinet dentaire  </t>
  </si>
  <si>
    <t xml:space="preserve">Ba eau bab  </t>
  </si>
  <si>
    <t xml:space="preserve">Onduleur PC 800 VA  </t>
  </si>
  <si>
    <t xml:space="preserve">Cartes groupe sanguin  </t>
  </si>
  <si>
    <t xml:space="preserve">Alèses  </t>
  </si>
  <si>
    <t xml:space="preserve">Protège téléphone + blinder   </t>
  </si>
  <si>
    <t xml:space="preserve">Cachet  4911  </t>
  </si>
  <si>
    <t xml:space="preserve">Cartouche HP 207A jaune  </t>
  </si>
  <si>
    <t xml:space="preserve"> Serrure  et matériel pour les des vitres plus la  main d'œuvre medina  </t>
  </si>
  <si>
    <t xml:space="preserve">Consmed fact n°5060/25  </t>
  </si>
  <si>
    <t xml:space="preserve">Tasses à jetter iamagerie  </t>
  </si>
  <si>
    <t xml:space="preserve">Film echo sony upp (05)  </t>
  </si>
  <si>
    <t xml:space="preserve">Bloc ordonnacier  </t>
  </si>
  <si>
    <t xml:space="preserve">Montée compresseur  cabinet dentaire </t>
  </si>
  <si>
    <t xml:space="preserve">Dislep   </t>
  </si>
  <si>
    <t xml:space="preserve">Flagyl+ fleming  </t>
  </si>
  <si>
    <t xml:space="preserve">Cachet trodat   </t>
  </si>
  <si>
    <t xml:space="preserve">Cachet rond  </t>
  </si>
  <si>
    <t xml:space="preserve">Achat des matériels de batiment plus la main d'œuvre à la rue moussé diop  </t>
  </si>
  <si>
    <r>
      <rPr>
        <rFont val="Times New Roman"/>
        <color theme="1"/>
        <sz val="12.0"/>
      </rPr>
      <t>Papier ECG</t>
    </r>
    <r>
      <rPr>
        <rFont val="Times New Roman"/>
        <color rgb="FFFF0000"/>
        <sz val="12.0"/>
      </rPr>
      <t xml:space="preserve">  </t>
    </r>
  </si>
  <si>
    <t xml:space="preserve">Lampe imagerie </t>
  </si>
  <si>
    <t xml:space="preserve">Bloc de reçu cabinet dentaire  </t>
  </si>
  <si>
    <t xml:space="preserve">Cachet trodat rond  </t>
  </si>
  <si>
    <t xml:space="preserve">Baeaubab   </t>
  </si>
  <si>
    <t xml:space="preserve">Alèses médina </t>
  </si>
  <si>
    <t xml:space="preserve">Réparation ventilo  </t>
  </si>
  <si>
    <t xml:space="preserve">3 rouleaux papiers  </t>
  </si>
  <si>
    <t xml:space="preserve">Vidange toilette mobile  </t>
  </si>
  <si>
    <t xml:space="preserve">Consomed fact n°5075/25  </t>
  </si>
  <si>
    <r>
      <rPr>
        <rFont val="Times New Roman"/>
        <color theme="1"/>
        <sz val="12.0"/>
      </rPr>
      <t>10 cartons de gants</t>
    </r>
    <r>
      <rPr>
        <rFont val="Times New Roman"/>
        <color rgb="FFFF0000"/>
        <sz val="12.0"/>
      </rPr>
      <t xml:space="preserve">  </t>
    </r>
  </si>
  <si>
    <t xml:space="preserve">Carburants pour transport des déchets </t>
  </si>
  <si>
    <t xml:space="preserve">Laicran  </t>
  </si>
  <si>
    <t xml:space="preserve">Miya   </t>
  </si>
  <si>
    <t xml:space="preserve">Cartes groupe sanguin fact n° 092/0S/25  </t>
  </si>
  <si>
    <t xml:space="preserve">Remepha fact n° 0188 tabouret rotatif </t>
  </si>
  <si>
    <t xml:space="preserve">Réparation porte bloquée  </t>
  </si>
  <si>
    <t xml:space="preserve">laicran  </t>
  </si>
  <si>
    <t xml:space="preserve">Ventilo evernal +fiches male et femelle +main d'œuvre  </t>
  </si>
  <si>
    <t xml:space="preserve">Produit mère -enfant acompte  </t>
  </si>
  <si>
    <t xml:space="preserve">Electrodes ECG + transport  </t>
  </si>
  <si>
    <r>
      <rPr>
        <rFont val="Times New Roman"/>
        <color theme="1"/>
        <sz val="12.0"/>
      </rPr>
      <t>Pile duracel muyenne et petit  model</t>
    </r>
    <r>
      <rPr>
        <rFont val="Times New Roman"/>
        <color rgb="FFFF0000"/>
        <sz val="12.0"/>
      </rPr>
      <t xml:space="preserve">  </t>
    </r>
  </si>
  <si>
    <t xml:space="preserve">Pile cr 2032 et 2016  </t>
  </si>
  <si>
    <r>
      <rPr>
        <rFont val="Times New Roman"/>
        <color theme="1"/>
        <sz val="12.0"/>
      </rPr>
      <t>Technologies Services fact n° FA 253051</t>
    </r>
    <r>
      <rPr>
        <rFont val="Times New Roman"/>
        <color rgb="FFFF0000"/>
        <sz val="12.0"/>
      </rPr>
      <t xml:space="preserve">  </t>
    </r>
  </si>
  <si>
    <t xml:space="preserve">Technologies Services fact n° FA 253050  </t>
  </si>
  <si>
    <t xml:space="preserve">Technologies Services fact n°FA 252997  </t>
  </si>
  <si>
    <t xml:space="preserve">Technologies Services fact n° FA 252996 </t>
  </si>
  <si>
    <t xml:space="preserve">Technologies Services fact n°FA 253385  </t>
  </si>
  <si>
    <t xml:space="preserve">Technologies Services Lampe halogene fact n° FA 253386  </t>
  </si>
  <si>
    <t xml:space="preserve">Anticaul  </t>
  </si>
  <si>
    <t xml:space="preserve">Consomed fact n°1060/25  </t>
  </si>
  <si>
    <t xml:space="preserve">Saloum pharma fact n° 002874  </t>
  </si>
  <si>
    <t xml:space="preserve">Saloum pharma fact n°002875  </t>
  </si>
  <si>
    <t xml:space="preserve">Saloum pharma fact n°002876  </t>
  </si>
  <si>
    <t xml:space="preserve">Frais de transport  du matériel de bureau à la rue moussé Diop  </t>
  </si>
  <si>
    <t xml:space="preserve">Factures mouchoires et accessoires cabinet dentaire  </t>
  </si>
  <si>
    <t>Asma medic n° fact juill 453</t>
  </si>
  <si>
    <t>Maintenance préventif  technologies services</t>
  </si>
  <si>
    <t>1.386.500</t>
  </si>
  <si>
    <t>5ème versement Achat de deux fauteuils dentaires pour un cout global de 13300000</t>
  </si>
  <si>
    <t>1.108.335</t>
  </si>
  <si>
    <t>SOLDE FIN MOIS DE JUILLET 2025</t>
  </si>
  <si>
    <t xml:space="preserve"> MEDILABO Bud. 2024 : 7.965.000 / Dép. : 11 343.000  Montant due :  -4. 512 .325</t>
  </si>
  <si>
    <t>DSA Bud. 2024 : 6.998.700 / Dépenses : 10.977.400 Montant due : 5 034 700</t>
  </si>
  <si>
    <t>SOTELMED Bud. 2023 : 5.873.800 / Dépenses : 3.678.523 Reste : 2.195.277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</si>
  <si>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</si>
  <si>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Mme Amy Tall Diakite maitresse sage -femme</t>
  </si>
  <si>
    <t>Mme  Seynabou Ndiaye  gestionnaire</t>
  </si>
  <si>
    <t>RAPPORT FINANCIER DU MOIS DE AOUT 2025</t>
  </si>
  <si>
    <t>REPPORT SOLDE FINAL MOIS DE JUILLET I 2025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</si>
  <si>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</si>
  <si>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Dernière semaine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</si>
  <si>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</si>
  <si>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Dr ousseynou ziguinchor</t>
  </si>
  <si>
    <t xml:space="preserve">Frais de transport du technicien de l'imprimente  </t>
  </si>
  <si>
    <t xml:space="preserve">Produits cons à ziguinchor  </t>
  </si>
  <si>
    <t xml:space="preserve">Chiffon  </t>
  </si>
  <si>
    <t xml:space="preserve">Produits cons à la médina   </t>
  </si>
  <si>
    <t xml:space="preserve">Reliquat produit mère -enfant </t>
  </si>
  <si>
    <t xml:space="preserve">Chauffe eau imagerie Batteries imagerie  </t>
  </si>
  <si>
    <t xml:space="preserve">Frais de transport de gravats  </t>
  </si>
  <si>
    <t xml:space="preserve">Poubelle 240L </t>
  </si>
  <si>
    <t xml:space="preserve">Tasses à jetter imagerie  </t>
  </si>
  <si>
    <r>
      <rPr>
        <rFont val="Times New Roman"/>
        <color theme="1"/>
        <sz val="12.0"/>
      </rPr>
      <t>achat de matériel electrique +main d'œuvre à la médina</t>
    </r>
    <r>
      <rPr>
        <rFont val="Times New Roman"/>
        <color rgb="FFFF0000"/>
        <sz val="12.0"/>
      </rPr>
      <t xml:space="preserve">  </t>
    </r>
  </si>
  <si>
    <t xml:space="preserve">Carton golbet  </t>
  </si>
  <si>
    <t xml:space="preserve">Gel écho + transport </t>
  </si>
  <si>
    <r>
      <rPr>
        <rFont val="Times New Roman"/>
        <color theme="1"/>
        <sz val="12.0"/>
      </rPr>
      <t>Réparation climatiseur médina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</si>
  <si>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>Cartes groupe sanguin fact n° 0108/0S/25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</si>
  <si>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>Consomed fact n°1098/25</t>
    </r>
    <r>
      <rPr>
        <rFont val="Times New Roman"/>
        <color rgb="FFFF0000"/>
        <sz val="12.0"/>
      </rPr>
      <t xml:space="preserve">  </t>
    </r>
  </si>
  <si>
    <t>Miya 28/08/</t>
  </si>
  <si>
    <t xml:space="preserve">Batterie imagerie  </t>
  </si>
  <si>
    <t xml:space="preserve">Transport produit à la médina   </t>
  </si>
  <si>
    <t xml:space="preserve">Achat de  disjoncteur + main d'œuvre à la médina  </t>
  </si>
  <si>
    <r>
      <rPr>
        <rFont val="Times New Roman"/>
        <color theme="1"/>
        <sz val="12.0"/>
      </rPr>
      <t>Mouchoir lucart  pro 450 sheets +1600 transport</t>
    </r>
    <r>
      <rPr>
        <rFont val="Times New Roman"/>
        <color rgb="FFFF0000"/>
        <sz val="12.0"/>
      </rPr>
      <t xml:space="preserve">  </t>
    </r>
  </si>
  <si>
    <t xml:space="preserve">Main d'œuvre climatiseur en fuite d'eau à la rue Moussé Diop </t>
  </si>
  <si>
    <t xml:space="preserve">Sodeci fact/2025/07/0814   </t>
  </si>
  <si>
    <t xml:space="preserve">Pose pied  </t>
  </si>
  <si>
    <t xml:space="preserve">Crédit téléphonique  </t>
  </si>
  <si>
    <t xml:space="preserve">Frais d'entretien chiffon évier  </t>
  </si>
  <si>
    <t xml:space="preserve">Dicacilline  </t>
  </si>
  <si>
    <t xml:space="preserve">Cebesine ophtalmo  </t>
  </si>
  <si>
    <t xml:space="preserve">Réparation ventilo intérieur, gaz 22 plus main d'œuvre  </t>
  </si>
  <si>
    <t xml:space="preserve">Transport produit au cabinet dentaire  </t>
  </si>
  <si>
    <t xml:space="preserve">Achat de serure + main d'œuvre à l'imagerie  </t>
  </si>
  <si>
    <t>Facture ndiaga cabinet dentaire</t>
  </si>
  <si>
    <r>
      <rPr>
        <rFont val="Times New Roman"/>
        <color theme="1"/>
        <sz val="12.0"/>
      </rPr>
      <t>Produit de cons à ziguinchor</t>
    </r>
    <r>
      <rPr>
        <rFont val="Times New Roman"/>
        <color rgb="FFFF0000"/>
        <sz val="12.0"/>
      </rPr>
      <t xml:space="preserve">  </t>
    </r>
  </si>
  <si>
    <t>Saloum,pharma fact n° 002877</t>
  </si>
  <si>
    <t>Saloum pharma fact n° 002878</t>
  </si>
  <si>
    <t>Technologies services fact n° 253658</t>
  </si>
  <si>
    <t>Technologies services fact n° 253535</t>
  </si>
  <si>
    <t>6ème et dernier versement Achat de deux fauteuils dentaires pour un cout global de 13300000</t>
  </si>
  <si>
    <t xml:space="preserve">SOLDE FIN MOIS DE AOUT 2025                 </t>
  </si>
  <si>
    <t xml:space="preserve"> MEDILABO Bud. 2024 : 7.965.000 / Dép. : 12.081 000  Montant due :  -5. 250 .325</t>
  </si>
  <si>
    <t>DSA Bud. 2024 : 6.998.700 / Dépenses : 11.184.900 Montant due : - 5 242 200</t>
  </si>
  <si>
    <t>SOTELMED Bud. 2023 : 5.873.800 / Dépenses : 3.824.308 Reste : 2.049.492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</si>
  <si>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</si>
  <si>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Mme Amy Tall Diakite maitresse sage-femme</t>
  </si>
  <si>
    <t>RAPPORT FINANCIER DU MOIS DE SEPTEMBRE  2025</t>
  </si>
  <si>
    <t>REPPORT SOLDE FINAL MOIS D' AOUT  2025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</si>
  <si>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</si>
  <si>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</si>
  <si>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Baeuabab  </t>
  </si>
  <si>
    <t xml:space="preserve">Serum phisiologique  </t>
  </si>
  <si>
    <t xml:space="preserve">Mouchoires  </t>
  </si>
  <si>
    <t xml:space="preserve">Produit de cons imagerie  </t>
  </si>
  <si>
    <t xml:space="preserve">Eau miya imagerie  </t>
  </si>
  <si>
    <t xml:space="preserve">Cartes groupe sanguin fact n°0980/0s/25 </t>
  </si>
  <si>
    <t xml:space="preserve">Bandelette +transport  </t>
  </si>
  <si>
    <t xml:space="preserve">Cartes de rendez-vous gynéco fact n° 0981/0S/25  </t>
  </si>
  <si>
    <t xml:space="preserve">Frais de nettoyage des rideaux à la rue moussé diop </t>
  </si>
  <si>
    <t xml:space="preserve">Baeuabab </t>
  </si>
  <si>
    <r>
      <rPr>
        <rFont val="Times New Roman"/>
        <color theme="1"/>
        <sz val="12.0"/>
      </rPr>
      <t>Frais de transport des cartes de rendez-vous gyneco</t>
    </r>
    <r>
      <rPr>
        <rFont val="Times New Roman"/>
        <color rgb="FFFF0000"/>
        <sz val="12.0"/>
      </rPr>
      <t xml:space="preserve"> </t>
    </r>
  </si>
  <si>
    <t>Consomed fact n°1060/25</t>
  </si>
  <si>
    <t xml:space="preserve">Agrafeuse (03)   </t>
  </si>
  <si>
    <t xml:space="preserve">Cable imprimente  </t>
  </si>
  <si>
    <t xml:space="preserve">Carnet de reçu cabinet dentaire  </t>
  </si>
  <si>
    <t xml:space="preserve">Achat de gaz pour le clim +pvc+coude+collier+pot de cole  </t>
  </si>
  <si>
    <t xml:space="preserve">Reproduction clé à la rue moussé diop  </t>
  </si>
  <si>
    <r>
      <rPr>
        <rFont val="Times New Roman"/>
        <color theme="1"/>
        <sz val="12.0"/>
      </rPr>
      <t>Produit de con ziguinchor</t>
    </r>
    <r>
      <rPr>
        <rFont val="Times New Roman"/>
        <color rgb="FFFF0000"/>
        <sz val="12.0"/>
      </rPr>
      <t xml:space="preserve">   </t>
    </r>
  </si>
  <si>
    <t xml:space="preserve">Film echo  </t>
  </si>
  <si>
    <r>
      <rPr>
        <rFont val="Times New Roman"/>
        <color theme="1"/>
        <sz val="12.0"/>
      </rPr>
      <t>Gants stérilisés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 xml:space="preserve"> cabinet ophtalmo </t>
    </r>
  </si>
  <si>
    <r>
      <rPr>
        <rFont val="Times New Roman"/>
        <color theme="1"/>
        <sz val="12.0"/>
      </rPr>
      <t>Frais d'envoi sur les résultats de frottis</t>
    </r>
    <r>
      <rPr>
        <rFont val="Times New Roman"/>
        <color rgb="FFFF0000"/>
        <sz val="12.0"/>
      </rPr>
      <t xml:space="preserve">  </t>
    </r>
  </si>
  <si>
    <t xml:space="preserve">Paquet kirène (02)  </t>
  </si>
  <si>
    <t xml:space="preserve">Frais de transort technicien dépannage fontaine </t>
  </si>
  <si>
    <t xml:space="preserve">Sérure  </t>
  </si>
  <si>
    <t xml:space="preserve">Physiodose sérum ophtalmo  </t>
  </si>
  <si>
    <r>
      <rPr>
        <rFont val="Times New Roman"/>
        <color theme="1"/>
        <sz val="12.0"/>
      </rPr>
      <t>Baeaubab</t>
    </r>
    <r>
      <rPr>
        <rFont val="Times New Roman"/>
        <color rgb="FFFF0000"/>
        <sz val="12.0"/>
      </rPr>
      <t xml:space="preserve">  </t>
    </r>
  </si>
  <si>
    <t xml:space="preserve">Tasses à jeter </t>
  </si>
  <si>
    <t xml:space="preserve">Frais de transport technicien imprimante  </t>
  </si>
  <si>
    <t xml:space="preserve">Frais de transport produit ophtalmo </t>
  </si>
  <si>
    <t xml:space="preserve">Paquet kirène (01) </t>
  </si>
  <si>
    <t xml:space="preserve">Frais de transport de matériel de burau venant au DMTA  </t>
  </si>
  <si>
    <r>
      <rPr>
        <rFont val="Times New Roman"/>
        <color theme="1"/>
        <sz val="12.0"/>
      </rPr>
      <t>Miya</t>
    </r>
    <r>
      <rPr>
        <rFont val="Times New Roman"/>
        <color rgb="FFFF0000"/>
        <sz val="12.0"/>
      </rPr>
      <t xml:space="preserve">  </t>
    </r>
  </si>
  <si>
    <t xml:space="preserve">Split astech  </t>
  </si>
  <si>
    <r>
      <rPr>
        <rFont val="Times New Roman"/>
        <color theme="1"/>
        <sz val="12.0"/>
      </rPr>
      <t>Main d'œuvre suite réparation des climatiseurs à la rue moussé diop</t>
    </r>
    <r>
      <rPr>
        <rFont val="Times New Roman"/>
        <color rgb="FFFF0000"/>
        <sz val="12.0"/>
      </rPr>
      <t xml:space="preserve">  </t>
    </r>
  </si>
  <si>
    <t xml:space="preserve">Café maxwell </t>
  </si>
  <si>
    <t xml:space="preserve">Alèses </t>
  </si>
  <si>
    <r>
      <rPr>
        <rFont val="Times New Roman"/>
        <color theme="1"/>
        <sz val="12.0"/>
      </rPr>
      <t>Cartes groupe sanguin fact n°0986/0s/25</t>
    </r>
    <r>
      <rPr>
        <rFont val="Times New Roman"/>
        <color rgb="FFFF0000"/>
        <sz val="12.0"/>
      </rPr>
      <t xml:space="preserve">  </t>
    </r>
  </si>
  <si>
    <t xml:space="preserve">Transport produit à la médina </t>
  </si>
  <si>
    <r>
      <rPr>
        <rFont val="Times New Roman"/>
        <color theme="1"/>
        <sz val="12.0"/>
      </rPr>
      <t>Pompe supresseur</t>
    </r>
    <r>
      <rPr>
        <rFont val="Times New Roman"/>
        <color rgb="FFFF0000"/>
        <sz val="12.0"/>
      </rPr>
      <t xml:space="preserve">   </t>
    </r>
  </si>
  <si>
    <r>
      <rPr>
        <rFont val="Times New Roman"/>
        <color theme="1"/>
        <sz val="12.0"/>
      </rPr>
      <t>Accessoires pompe</t>
    </r>
    <r>
      <rPr>
        <rFont val="Times New Roman"/>
        <color rgb="FFFF0000"/>
        <sz val="12.0"/>
      </rPr>
      <t xml:space="preserve">  </t>
    </r>
  </si>
  <si>
    <t xml:space="preserve">Réparation électrique  </t>
  </si>
  <si>
    <t xml:space="preserve">Réparation compresseur  </t>
  </si>
  <si>
    <t xml:space="preserve">Carton enveloppe kraft A4  </t>
  </si>
  <si>
    <t xml:space="preserve">Canon porte bureau  </t>
  </si>
  <si>
    <t xml:space="preserve">Tournevis </t>
  </si>
  <si>
    <t xml:space="preserve">Lampe spot 9W  </t>
  </si>
  <si>
    <t xml:space="preserve">Frais d'installation des lampes +et réparation de porte  </t>
  </si>
  <si>
    <t xml:space="preserve">Frais de changement du robinet puisage au laboratoire </t>
  </si>
  <si>
    <t xml:space="preserve">Achat de robinet puisage  </t>
  </si>
  <si>
    <t xml:space="preserve">Affiche  A3  couleurs et flyers A5  </t>
  </si>
  <si>
    <t xml:space="preserve"> T asses à jeter  </t>
  </si>
  <si>
    <t xml:space="preserve">Cartouche HP 203A bleu </t>
  </si>
  <si>
    <r>
      <rPr>
        <rFont val="Times New Roman"/>
        <color theme="1"/>
        <sz val="12.0"/>
      </rPr>
      <t>Frais de transport déchets biomédicaux</t>
    </r>
    <r>
      <rPr>
        <rFont val="Times New Roman"/>
        <color rgb="FFFF0000"/>
        <sz val="12.0"/>
      </rPr>
      <t xml:space="preserve">  </t>
    </r>
  </si>
  <si>
    <t xml:space="preserve">Carnet de reçu groupe sanguin  </t>
  </si>
  <si>
    <r>
      <rPr>
        <rFont val="Times New Roman"/>
        <color theme="1"/>
        <sz val="12.0"/>
      </rPr>
      <t>Affichage flyiers</t>
    </r>
    <r>
      <rPr>
        <rFont val="Times New Roman"/>
        <color rgb="FFFF0000"/>
        <sz val="12.0"/>
      </rPr>
      <t xml:space="preserve">  </t>
    </r>
  </si>
  <si>
    <t xml:space="preserve">Asma medic n° fact sept 03 </t>
  </si>
  <si>
    <r>
      <rPr>
        <rFont val="Times New Roman"/>
        <color theme="1"/>
        <sz val="12.0"/>
      </rPr>
      <t>Saloum pharma facture n°002879</t>
    </r>
    <r>
      <rPr>
        <rFont val="Times New Roman"/>
        <color rgb="FFFF0000"/>
        <sz val="12.0"/>
      </rPr>
      <t xml:space="preserve">  </t>
    </r>
  </si>
  <si>
    <t xml:space="preserve">Technologies services fact n° FA253958 </t>
  </si>
  <si>
    <t xml:space="preserve">Carnet de reçu recetes /dépenses(02) </t>
  </si>
  <si>
    <t>SOLDE FIN MOIS DE SEPTEMBRE 2025</t>
  </si>
  <si>
    <t xml:space="preserve"> MEDILABO Bud. 2024 : 7.965.000 / Dép. : 12 775 500  Montant due :  -5. 944 .825</t>
  </si>
  <si>
    <t>DSA Bud. 2024 : 6.998.700 / Dépenses :11.299.900 Montant due : 5 357 200</t>
  </si>
  <si>
    <t>SOTELMED Bud. 2023 : 5.873.800 / Dépenses : 4.309.313 Reste : 1.564.487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</si>
  <si>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</si>
  <si>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Dr Mamour  Diop</t>
  </si>
  <si>
    <t>RAPPORT FINANCIER DU MOIS D' OCTOBRE  2025</t>
  </si>
  <si>
    <t>REPPORT SOLDE FINAL SEPTEMBRE  2025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</si>
  <si>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</si>
  <si>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</si>
  <si>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 xml:space="preserve">Installation evacuation d'eau clilmatiseur </t>
  </si>
  <si>
    <t xml:space="preserve">Mouchoires +transport </t>
  </si>
  <si>
    <t>Produit cons ziguinchor  +frais wave  200</t>
  </si>
  <si>
    <r>
      <rPr>
        <rFont val="Times New Roman"/>
        <color theme="1"/>
        <sz val="12.0"/>
      </rPr>
      <t xml:space="preserve">Achat de serure pour porte toilettes + frais wave </t>
    </r>
    <r>
      <rPr>
        <rFont val="Times New Roman"/>
        <color rgb="FFFF0000"/>
        <sz val="12.0"/>
      </rPr>
      <t xml:space="preserve"> </t>
    </r>
  </si>
  <si>
    <t xml:space="preserve">Produit cons médina </t>
  </si>
  <si>
    <t>Tasses + mouchoires</t>
  </si>
  <si>
    <t xml:space="preserve">Miya </t>
  </si>
  <si>
    <t xml:space="preserve">Technologies services fact n° FA254386 </t>
  </si>
  <si>
    <t xml:space="preserve">01 paquet crayon noir </t>
  </si>
  <si>
    <t xml:space="preserve">Classeurs et marqueurs </t>
  </si>
  <si>
    <t>Teckhnologies services fact n° FA254420</t>
  </si>
  <si>
    <t xml:space="preserve">Acupan sol ing </t>
  </si>
  <si>
    <t xml:space="preserve">Baeaubab </t>
  </si>
  <si>
    <t xml:space="preserve">Pelle à ordure </t>
  </si>
  <si>
    <t xml:space="preserve">Brosse à cuvette (02) </t>
  </si>
  <si>
    <t xml:space="preserve">Electrodes ECG + frais de transport </t>
  </si>
  <si>
    <t xml:space="preserve">Bétadine rouge </t>
  </si>
  <si>
    <t xml:space="preserve">04 boites de 500 enveloppe A5 </t>
  </si>
  <si>
    <r>
      <rPr>
        <rFont val="Times New Roman"/>
        <color theme="1"/>
        <sz val="12.0"/>
      </rPr>
      <t>Saloum pharma fact n°002880</t>
    </r>
    <r>
      <rPr>
        <rFont val="Times New Roman"/>
        <color rgb="FFFF0000"/>
        <sz val="12.0"/>
      </rPr>
      <t xml:space="preserve"> </t>
    </r>
  </si>
  <si>
    <t xml:space="preserve">04 cartouches  203A </t>
  </si>
  <si>
    <t xml:space="preserve">Transport de produit à l'unité mère -enfant </t>
  </si>
  <si>
    <t xml:space="preserve">Frais de décoration pour l'octobre rose +frais de transfert </t>
  </si>
  <si>
    <t xml:space="preserve">Achats de rideaux avec son ensemble + main d'œuvre </t>
  </si>
  <si>
    <t xml:space="preserve">Achat de serure +main d'œuvre à l'unité mère -enfant </t>
  </si>
  <si>
    <t xml:space="preserve">Changement ventilateur +entretien split </t>
  </si>
  <si>
    <t xml:space="preserve">Afrique droguerie </t>
  </si>
  <si>
    <t xml:space="preserve">Tiak tiak à la médina </t>
  </si>
  <si>
    <t xml:space="preserve">Réparation fuite d'air fauteuil n°2 (salle 2) </t>
  </si>
  <si>
    <t xml:space="preserve">Frais de transport de stage rosalie </t>
  </si>
  <si>
    <t xml:space="preserve">Vacation dr ndour ziguinchor </t>
  </si>
  <si>
    <t xml:space="preserve">01 paquet enveloppe A3 </t>
  </si>
  <si>
    <r>
      <rPr>
        <rFont val="Times New Roman"/>
        <color theme="1"/>
        <sz val="12.0"/>
      </rPr>
      <t>Douchette médina</t>
    </r>
    <r>
      <rPr>
        <rFont val="Times New Roman"/>
        <color rgb="FFFF0000"/>
        <sz val="12.0"/>
      </rPr>
      <t xml:space="preserve">  </t>
    </r>
    <r>
      <rPr>
        <rFont val="Times New Roman"/>
        <color theme="1"/>
        <sz val="12.0"/>
      </rPr>
      <t>+ main d'œuvre</t>
    </r>
  </si>
  <si>
    <t xml:space="preserve">Produit à l'unité mère -enfant </t>
  </si>
  <si>
    <t xml:space="preserve">Betadine  derm </t>
  </si>
  <si>
    <r>
      <rPr>
        <rFont val="Times New Roman"/>
        <color theme="1"/>
        <sz val="12.0"/>
      </rPr>
      <t>Pèse personne mécanique camry</t>
    </r>
    <r>
      <rPr>
        <rFont val="Times New Roman"/>
        <color rgb="FFFF0000"/>
        <sz val="12.0"/>
      </rPr>
      <t xml:space="preserve"> </t>
    </r>
  </si>
  <si>
    <t>Electricien</t>
  </si>
  <si>
    <r>
      <rPr>
        <rFont val="Times New Roman"/>
        <color theme="1"/>
        <sz val="12.0"/>
      </rPr>
      <t xml:space="preserve">Nescafe et pubelle à l'unité mère -enfant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</si>
  <si>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Pins ruban rose (30)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</si>
  <si>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Pins ruban rose (10)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</si>
  <si>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de transport des pins </t>
    </r>
    <r>
      <rPr>
        <rFont val="Times New Roman"/>
        <color rgb="FFFF0000"/>
        <sz val="12.0"/>
      </rPr>
      <t xml:space="preserve"> </t>
    </r>
  </si>
  <si>
    <t xml:space="preserve">Coffre fort 35kg H270  </t>
  </si>
  <si>
    <r>
      <rPr>
        <rFont val="Times New Roman"/>
        <color theme="1"/>
        <sz val="12.0"/>
      </rPr>
      <t xml:space="preserve">Grosse sucre </t>
    </r>
    <r>
      <rPr>
        <rFont val="Times New Roman"/>
        <color rgb="FFFF0000"/>
        <sz val="12.0"/>
      </rPr>
      <t xml:space="preserve"> </t>
    </r>
  </si>
  <si>
    <t xml:space="preserve">Achat de 3 climatiseurs </t>
  </si>
  <si>
    <r>
      <rPr>
        <rFont val="Times New Roman"/>
        <color theme="1"/>
        <sz val="12.0"/>
      </rPr>
      <t xml:space="preserve">Baeaubab </t>
    </r>
    <r>
      <rPr>
        <rFont val="Times New Roman"/>
        <color rgb="FFFF0000"/>
        <sz val="12.0"/>
      </rPr>
      <t xml:space="preserve"> </t>
    </r>
  </si>
  <si>
    <t xml:space="preserve">Frais de matériel pour l'installation de 3 climatiseurs à la médina </t>
  </si>
  <si>
    <r>
      <rPr>
        <rFont val="Times New Roman"/>
        <color theme="1"/>
        <sz val="12.0"/>
      </rPr>
      <t xml:space="preserve">Carton enveloppe imagerie A3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</si>
  <si>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Miya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</si>
  <si>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Saloum pharma fact n°002881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</si>
  <si>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Cosmed fact n°2075/25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</si>
  <si>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Frais de transport carton  enveloppe A3 à la médina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</si>
  <si>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Liaison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</si>
  <si>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Frais d' installation des climatiseurs à la médina et déplacementà la rue mousé diop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</si>
  <si>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Mouchoires +tasses à jeter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</si>
  <si>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Cartes groupe sanguin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</si>
  <si>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Flacons de lave main (08) </t>
    </r>
    <r>
      <rPr>
        <rFont val="Times New Roman"/>
        <color rgb="FFFF0000"/>
        <sz val="12.0"/>
      </rPr>
      <t xml:space="preserve"> </t>
    </r>
  </si>
  <si>
    <t xml:space="preserve">Location eéchelle  </t>
  </si>
  <si>
    <t xml:space="preserve">Achat de coude ,culotte ,tuyau ,pot colle PM </t>
  </si>
  <si>
    <r>
      <rPr>
        <rFont val="Times New Roman"/>
        <color theme="1"/>
        <sz val="12.0"/>
      </rPr>
      <t xml:space="preserve">Réparation robinet à la médina pas de facture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</si>
  <si>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Electricien boubacar </t>
    </r>
    <r>
      <rPr>
        <rFont val="Times New Roman"/>
        <color rgb="FFFF0000"/>
        <sz val="12.0"/>
      </rPr>
      <t xml:space="preserve"> </t>
    </r>
  </si>
  <si>
    <t xml:space="preserve">Cachet trodat 4911 </t>
  </si>
  <si>
    <r>
      <rPr>
        <rFont val="Times New Roman"/>
        <color theme="1"/>
        <sz val="11.0"/>
      </rPr>
      <t>Regard fosse septique</t>
    </r>
    <r>
      <rPr>
        <rFont val="Times New Roman"/>
        <color rgb="FFFF0000"/>
        <sz val="11.0"/>
      </rPr>
      <t xml:space="preserve">  </t>
    </r>
  </si>
  <si>
    <r>
      <rPr>
        <rFont val="Times New Roman"/>
        <color theme="1"/>
        <sz val="12.0"/>
      </rPr>
      <t>Technologies services fact n°FA254754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</si>
  <si>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1.0"/>
      </rPr>
      <t xml:space="preserve">Alèses </t>
    </r>
    <r>
      <rPr>
        <rFont val="Times New Roman"/>
        <color rgb="FFFF0000"/>
        <sz val="11.0"/>
      </rPr>
      <t xml:space="preserve"> </t>
    </r>
  </si>
  <si>
    <r>
      <rPr>
        <rFont val="Times New Roman"/>
        <color theme="1"/>
        <sz val="11.0"/>
      </rPr>
      <t xml:space="preserve">Electricien boubacar </t>
    </r>
    <r>
      <rPr>
        <rFont val="Times New Roman"/>
        <color rgb="FFFF0000"/>
        <sz val="11.0"/>
      </rPr>
      <t xml:space="preserve"> </t>
    </r>
  </si>
  <si>
    <r>
      <rPr>
        <rFont val="Times New Roman"/>
        <color theme="1"/>
        <sz val="12.0"/>
      </rPr>
      <t xml:space="preserve">Blocs notes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</si>
  <si>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Nappe de table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</si>
  <si>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Déplacement table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</si>
  <si>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Achat de métériel d'installation de siphon + main d'œuvre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</si>
  <si>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Cartouche 107A </t>
    </r>
    <r>
      <rPr>
        <rFont val="Times New Roman"/>
        <color rgb="FFFF0000"/>
        <sz val="12.0"/>
      </rPr>
      <t xml:space="preserve"> </t>
    </r>
  </si>
  <si>
    <t xml:space="preserve">Technologies fact n° FA254770 </t>
  </si>
  <si>
    <r>
      <rPr>
        <rFont val="Times New Roman"/>
        <color theme="1"/>
        <sz val="12.0"/>
      </rPr>
      <t xml:space="preserve">Paquet rouleaux (3)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</si>
  <si>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de transport de carnet de reçu 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</si>
  <si>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d'installation de climatiseur à diamniadio + frais denvoi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</si>
  <si>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Crédit télèphonique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</si>
  <si>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 Achat de venilo+ le matériel d'installation + main d'œuvre 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</si>
  <si>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Eau djiam + frais de transport 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</si>
  <si>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Alèses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</si>
  <si>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de transport maintenance de deux imprimentes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</si>
  <si>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Anesthesie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</si>
  <si>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>Film echo sony 110 HD (05)</t>
    </r>
    <r>
      <rPr>
        <rFont val="Times New Roman"/>
        <color rgb="FFFF0000"/>
        <sz val="12.0"/>
      </rPr>
      <t xml:space="preserve">  </t>
    </r>
  </si>
  <si>
    <t xml:space="preserve">Recharges agrafes </t>
  </si>
  <si>
    <r>
      <rPr>
        <rFont val="Times New Roman"/>
        <color theme="1"/>
        <sz val="12.0"/>
      </rPr>
      <t xml:space="preserve">Baeaubab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</si>
  <si>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Pèse personne 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</si>
  <si>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Baeaubab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</si>
  <si>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Achat de lampes +main d'œuvre à ziguinchor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</si>
  <si>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Goulotte+ attache  + main d'œuvre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</si>
  <si>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Paquet connecteur UF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</si>
  <si>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Bouteille +eau Seo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</si>
  <si>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de transport stagiaire Gnagna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</si>
  <si>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de transport stagiare Melvine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</si>
  <si>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Tassees à jeter imagerie </t>
    </r>
    <r>
      <rPr>
        <rFont val="Times New Roman"/>
        <color rgb="FFFF0000"/>
        <sz val="12.0"/>
      </rPr>
      <t xml:space="preserve"> </t>
    </r>
  </si>
  <si>
    <t xml:space="preserve">Laicran +café </t>
  </si>
  <si>
    <r>
      <rPr>
        <rFont val="Times New Roman"/>
        <color theme="1"/>
        <sz val="12.0"/>
      </rPr>
      <t xml:space="preserve">Alèses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</si>
  <si>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de transfert honoraire assistante ziguinchor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</si>
  <si>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Cartes groupe sanguin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</si>
  <si>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Blocs ordonnanciers (100)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</si>
  <si>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Facture ndiaga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</si>
  <si>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Alcool+ H2O2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</si>
  <si>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>Asma medic n° fact oct 18</t>
    </r>
    <r>
      <rPr>
        <rFont val="Times New Roman"/>
        <color rgb="FFFF0000"/>
        <sz val="12.0"/>
      </rPr>
      <t xml:space="preserve">  </t>
    </r>
  </si>
  <si>
    <t>SOLDE FIN MOIS DE OCTOBRE 2025</t>
  </si>
  <si>
    <t xml:space="preserve"> MEDILABO Bud. 2024 : 7.965.000 / Dép. : 13 340 500  Montant due :  -6. 509.825</t>
  </si>
  <si>
    <t>DSA Bud. 2025 : 14 997.500 / Dépenses : 8.794.200 Reste : 6 203 300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</si>
  <si>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</si>
  <si>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RAPPORT FINANCIER DU MOIS DE NOVEMBRE  2025</t>
  </si>
  <si>
    <t>REPPORT SOLDE FINAL MOIS DE OCTOBRE 2025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</si>
  <si>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</si>
  <si>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</si>
  <si>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r>
      <rPr>
        <rFont val="Times New Roman"/>
        <color theme="1"/>
        <sz val="12.0"/>
      </rPr>
      <t xml:space="preserve">Produit cons à ziguichor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</si>
  <si>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Avance confesction blouses 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</si>
  <si>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Ampoules cabinet dentaire</t>
    </r>
    <r>
      <rPr>
        <rFont val="Times New Roman"/>
        <color rgb="FFFF0000"/>
        <sz val="12.0"/>
      </rPr>
      <t xml:space="preserve"> </t>
    </r>
  </si>
  <si>
    <t xml:space="preserve">Technologies services fact n° FA254921 </t>
  </si>
  <si>
    <r>
      <rPr>
        <rFont val="Times New Roman"/>
        <color theme="1"/>
        <sz val="12.0"/>
      </rPr>
      <t>Produit cons medina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</si>
  <si>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Mouchoires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</si>
  <si>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Plateau  de service pour boisson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</si>
  <si>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Paquets (500) enveloppe  kaki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</si>
  <si>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Tasses à jeter + sucre 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</si>
  <si>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Pack d'eau </t>
    </r>
    <r>
      <rPr>
        <rFont val="Times New Roman"/>
        <color rgb="FFFF0000"/>
        <sz val="12.0"/>
      </rPr>
      <t xml:space="preserve">  </t>
    </r>
  </si>
  <si>
    <t xml:space="preserve">Technologies services fact n° FA255036 </t>
  </si>
  <si>
    <r>
      <rPr>
        <rFont val="Times New Roman"/>
        <color theme="1"/>
        <sz val="12.0"/>
      </rPr>
      <t xml:space="preserve">Saloum pharma fact n°002882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</si>
  <si>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Technologies services fact n° FA255050 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</si>
  <si>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Frais d'entretien climatiseurs à la médina + frais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</si>
  <si>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Frais de transport aiguilles DSA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</si>
  <si>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Mouchoir/Essuie Tout +transport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</si>
  <si>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Consomed fact n°213/25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</si>
  <si>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Gel antiseptique imagerie </t>
    </r>
    <r>
      <rPr>
        <rFont val="Times New Roman"/>
        <color rgb="FFFF0000"/>
        <sz val="12.0"/>
      </rPr>
      <t xml:space="preserve"> </t>
    </r>
  </si>
  <si>
    <t xml:space="preserve">Enveloppe A3 </t>
  </si>
  <si>
    <t xml:space="preserve">Achat d'éq  informatique + main d'œuvre à la rue </t>
  </si>
  <si>
    <r>
      <rPr>
        <rFont val="Times New Roman"/>
        <color theme="1"/>
        <sz val="12.0"/>
      </rPr>
      <t>Eau seo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</si>
  <si>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Electricien boubacar</t>
    </r>
    <r>
      <rPr>
        <rFont val="Times New Roman"/>
        <color rgb="FFFF0000"/>
        <sz val="12.0"/>
      </rPr>
      <t xml:space="preserve"> </t>
    </r>
  </si>
  <si>
    <t xml:space="preserve">Tassesà jeter </t>
  </si>
  <si>
    <t xml:space="preserve">Achat de spot  neon </t>
  </si>
  <si>
    <r>
      <rPr>
        <rFont val="Times New Roman"/>
        <color theme="1"/>
        <sz val="12.0"/>
      </rPr>
      <t>Chariot 3 étagère diamniadio</t>
    </r>
    <r>
      <rPr>
        <rFont val="Times New Roman"/>
        <color rgb="FFFF0000"/>
        <sz val="12.0"/>
      </rPr>
      <t xml:space="preserve"> </t>
    </r>
  </si>
  <si>
    <t xml:space="preserve">Potence diamniadio </t>
  </si>
  <si>
    <t>Achat de spots led +10000 main d'œuvre</t>
  </si>
  <si>
    <t xml:space="preserve">Emma  frais de transport sur retour d'eau clim au labo </t>
  </si>
  <si>
    <r>
      <rPr>
        <rFont val="Times New Roman"/>
        <color theme="1"/>
        <sz val="12.0"/>
      </rPr>
      <t>Enveloppe A3  imagerie</t>
    </r>
    <r>
      <rPr>
        <rFont val="Times New Roman"/>
        <color rgb="FFFF0000"/>
        <sz val="12.0"/>
      </rPr>
      <t xml:space="preserve"> </t>
    </r>
  </si>
  <si>
    <t xml:space="preserve">Escabeau de 2 marches armetal </t>
  </si>
  <si>
    <t xml:space="preserve">Masques à oxygènes (nébulizeur)  +  haricot inox </t>
  </si>
  <si>
    <t xml:space="preserve">3 cachet rond pm +carton enveloppe </t>
  </si>
  <si>
    <t xml:space="preserve">Expert vions dépannage équip OCT </t>
  </si>
  <si>
    <t>Saloum pharma fact n°002883</t>
  </si>
  <si>
    <t xml:space="preserve">Acupan inj sol+ ulzocer inj </t>
  </si>
  <si>
    <t xml:space="preserve">Eau seo </t>
  </si>
  <si>
    <t>Astymin</t>
  </si>
  <si>
    <t xml:space="preserve">Lave main 500ml </t>
  </si>
  <si>
    <t xml:space="preserve">Réparation fontaine  imagerie </t>
  </si>
  <si>
    <t xml:space="preserve">Divers cabinet dentaire </t>
  </si>
  <si>
    <t xml:space="preserve">Paquet masque imagerie </t>
  </si>
  <si>
    <r>
      <rPr>
        <rFont val="Times New Roman"/>
        <color theme="1"/>
        <sz val="12.0"/>
      </rPr>
      <t>Facture ndiaga cabinet dentaire</t>
    </r>
    <r>
      <rPr>
        <rFont val="Times New Roman"/>
        <color rgb="FFFF0000"/>
        <sz val="12.0"/>
      </rPr>
      <t xml:space="preserve"> </t>
    </r>
  </si>
  <si>
    <t xml:space="preserve">Désinfection  des bureaux </t>
  </si>
  <si>
    <t xml:space="preserve">Frais de transport stagiaire Medvin </t>
  </si>
  <si>
    <t xml:space="preserve">Frais de transport stagiaire Gnagna </t>
  </si>
  <si>
    <t>Achat matériel laboratoire</t>
  </si>
  <si>
    <t>SOLDE FIN MOIS DE NOVEMBRE 2025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</si>
  <si>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</si>
  <si>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RAPPORT FINANCIER DU MOIS DE DECEMBRE 2025</t>
  </si>
  <si>
    <t>REPPORT SOLDE FINAL MOIS DE NOVEMBRE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</si>
  <si>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</si>
  <si>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>Quatrière semaine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</si>
  <si>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</si>
  <si>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r>
      <rPr>
        <rFont val="Times New Roman"/>
        <color theme="1"/>
        <sz val="12.0"/>
      </rPr>
      <t xml:space="preserve">Alèses  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</si>
  <si>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incineration des déchets 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</si>
  <si>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Technologies services FA255467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</si>
  <si>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Réparation chaise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</si>
  <si>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Nébuliseur  compair + timbre </t>
    </r>
    <r>
      <rPr>
        <rFont val="Times New Roman"/>
        <color rgb="FFFF0000"/>
        <sz val="12.0"/>
      </rPr>
      <t xml:space="preserve"> </t>
    </r>
  </si>
  <si>
    <t xml:space="preserve">Produit cons à ziguinchor </t>
  </si>
  <si>
    <r>
      <rPr>
        <rFont val="Times New Roman"/>
        <color theme="1"/>
        <sz val="12.0"/>
      </rPr>
      <t xml:space="preserve">EAU séo imagerie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</si>
  <si>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DSA fact n° 1221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</si>
  <si>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de transport cartouche à l'imagerie tiak tiak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</si>
  <si>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Cable imprimente imagerie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</si>
  <si>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Cable imprimente 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</si>
  <si>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Baeaubab cabinet dentaire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</si>
  <si>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HP toner  207A jaune 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</si>
  <si>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Cartes groue sanguin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</si>
  <si>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Papier ECG + transport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</si>
  <si>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DSA fact n°1245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</si>
  <si>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>Baeaubab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</si>
  <si>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Cable imprimente 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</si>
  <si>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de transport lit d'hospitalisation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</si>
  <si>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Masque de protection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</si>
  <si>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Carnets de 50x2 feuilles atocopiant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</si>
  <si>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Stéthoscope +transport </t>
    </r>
    <r>
      <rPr>
        <rFont val="Times New Roman"/>
        <color rgb="FFFF0000"/>
        <sz val="12.0"/>
      </rPr>
      <t xml:space="preserve"> </t>
    </r>
  </si>
  <si>
    <t xml:space="preserve">Frais de transport technicien ophtalmo </t>
  </si>
  <si>
    <r>
      <rPr>
        <rFont val="Times New Roman"/>
        <color theme="1"/>
        <sz val="12.0"/>
      </rPr>
      <t xml:space="preserve">Tasses imagerie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</si>
  <si>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Produit à l'unité mère -enfant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</si>
  <si>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Cabinet dentaire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</si>
  <si>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Crédit téléphonique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</si>
  <si>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>Reproduction clé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</si>
  <si>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Stylo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</si>
  <si>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DSA fact n°F1266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</si>
  <si>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Alèses imagerie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</si>
  <si>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Delta cabinet dentaire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</si>
  <si>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Lampes cabinet dentaire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</si>
  <si>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Eenveloppe A3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</si>
  <si>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>Technologies services FA255743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</si>
  <si>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Ampoule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</si>
  <si>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Consomed fact n°217/25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</si>
  <si>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Mouchoires +transport </t>
    </r>
    <r>
      <rPr>
        <rFont val="Times New Roman"/>
        <color rgb="FFFF0000"/>
        <sz val="12.0"/>
      </rPr>
      <t xml:space="preserve"> </t>
    </r>
  </si>
  <si>
    <t xml:space="preserve">Saloum pharma fact n°002884 </t>
  </si>
  <si>
    <r>
      <rPr>
        <rFont val="Times New Roman"/>
        <color theme="1"/>
        <sz val="12.0"/>
      </rPr>
      <t xml:space="preserve">Mouchoires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</si>
  <si>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Asma  médic  fact  DEC n° 36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</si>
  <si>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Saloum pharma fact n° 002884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</si>
  <si>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Baeaubab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</si>
  <si>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Col double face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</si>
  <si>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Bandelettes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</si>
  <si>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Négatoscope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</si>
  <si>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Technologies Services 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 xml:space="preserve"> fact  n°FA255884</t>
    </r>
  </si>
  <si>
    <r>
      <rPr>
        <rFont val="Times New Roman"/>
        <color theme="1"/>
        <sz val="12.0"/>
      </rPr>
      <t xml:space="preserve">Sucre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</si>
  <si>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Entretien imprimente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</si>
  <si>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Vidange </t>
    </r>
    <r>
      <rPr>
        <rFont val="Times New Roman"/>
        <color rgb="FFFF0000"/>
        <sz val="12.0"/>
      </rPr>
      <t xml:space="preserve"> </t>
    </r>
  </si>
  <si>
    <t xml:space="preserve">Agenda  </t>
  </si>
  <si>
    <r>
      <rPr>
        <rFont val="Times New Roman"/>
        <color theme="1"/>
        <sz val="12.0"/>
      </rPr>
      <t xml:space="preserve">Hipafix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</si>
  <si>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de transport stagiaire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</si>
  <si>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Frais de transport stagiaire </t>
    </r>
    <r>
      <rPr>
        <rFont val="Times New Roman"/>
        <color rgb="FFFF0000"/>
        <sz val="12.0"/>
      </rPr>
      <t xml:space="preserve"> </t>
    </r>
  </si>
  <si>
    <t>SOLDE FIN MOIS DE DECEMBRE 2025</t>
  </si>
  <si>
    <t xml:space="preserve"> MEDILABO Bud. 2024 : 7.965.000 / Dép. : 15 571 825  Montant due :  -7 606.825</t>
  </si>
  <si>
    <t xml:space="preserve">DSA Bud. 2024 : 6.998.700 / Dépenses : 8.958.300 Montant due : 0 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</si>
  <si>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</si>
  <si>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RAPPORT FINANCIER DU MOIS DE JANVIER 2026</t>
  </si>
  <si>
    <t>REPPORT SOLDE FINAL MOIS DE DECEMBRE  2025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</si>
  <si>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</si>
  <si>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 xml:space="preserve">Dernière semaine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</si>
  <si>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</si>
  <si>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Elisabeth  Badji</t>
  </si>
  <si>
    <t>Anna sy</t>
  </si>
  <si>
    <r>
      <rPr>
        <rFont val="Times New Roman"/>
        <color theme="1"/>
        <sz val="12.0"/>
      </rPr>
      <t xml:space="preserve">Matériel plomberie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</si>
  <si>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Matériel plomberie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</si>
  <si>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Film écho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</si>
  <si>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Tasses à jeter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</si>
  <si>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Baeaubab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</si>
  <si>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Collation zig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</si>
  <si>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Collation imagerie </t>
    </r>
    <r>
      <rPr>
        <rFont val="Times New Roman"/>
        <color rgb="FFFF0000"/>
        <sz val="12.0"/>
      </rPr>
      <t xml:space="preserve"> </t>
    </r>
  </si>
  <si>
    <t xml:space="preserve">Pipette man </t>
  </si>
  <si>
    <r>
      <rPr>
        <rFont val="Times New Roman"/>
        <color theme="1"/>
        <sz val="12.0"/>
      </rPr>
      <t xml:space="preserve">Tassses à jetter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</si>
  <si>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Staples et agenda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</si>
  <si>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Eau royal zig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</si>
  <si>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Matériel sanitaire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</si>
  <si>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Mouchoires cabinet dentaire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</si>
  <si>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Collation médina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</si>
  <si>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Ciment + papier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</si>
  <si>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Eau seo +sucre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</si>
  <si>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Technologies services  FA260246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</si>
  <si>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Alèses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</si>
  <si>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Saloum pharma fact n°002885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</si>
  <si>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Sucrier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</si>
  <si>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Pile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</si>
  <si>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Confection et impression plaques +bloc ordonnance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</si>
  <si>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Réfection chaises visiteurs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</si>
  <si>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Installation lampes + main doeuvre imagerie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</si>
  <si>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Poubelle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</si>
  <si>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Enduit +platre </t>
    </r>
    <r>
      <rPr>
        <rFont val="Times New Roman"/>
        <color rgb="FFFF0000"/>
        <sz val="12.0"/>
      </rPr>
      <t xml:space="preserve"> </t>
    </r>
  </si>
  <si>
    <t xml:space="preserve">Cartes groupe sanguin+ agrafeuse </t>
  </si>
  <si>
    <r>
      <rPr>
        <rFont val="Times New Roman"/>
        <color theme="1"/>
        <sz val="12.0"/>
      </rPr>
      <t xml:space="preserve">Transport produit cabinet dentaire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</si>
  <si>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Eau seo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</si>
  <si>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baeaubab 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</si>
  <si>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 xml:space="preserve">serrures </t>
    </r>
    <r>
      <rPr>
        <rFont val="Times New Roman"/>
        <color rgb="FFFF0000"/>
        <sz val="12.0"/>
      </rPr>
      <t xml:space="preserve"> </t>
    </r>
  </si>
  <si>
    <t xml:space="preserve">Frais de transport menusier </t>
  </si>
  <si>
    <t xml:space="preserve">Serrures unité mère -enfant  </t>
  </si>
  <si>
    <t xml:space="preserve">Peintre +platre </t>
  </si>
  <si>
    <t xml:space="preserve">clé usb </t>
  </si>
  <si>
    <t xml:space="preserve">Technologies services  FA260413 </t>
  </si>
  <si>
    <t xml:space="preserve">Colorant </t>
  </si>
  <si>
    <r>
      <rPr>
        <rFont val="Times New Roman"/>
        <color theme="1"/>
        <sz val="12.0"/>
      </rPr>
      <t>Acquisition et installation téléphonique</t>
    </r>
    <r>
      <rPr>
        <rFont val="Times New Roman"/>
        <color rgb="FFFF0000"/>
        <sz val="12.0"/>
      </rPr>
      <t xml:space="preserve"> </t>
    </r>
  </si>
  <si>
    <r>
      <rPr>
        <rFont val="Times New Roman"/>
        <color theme="1"/>
        <sz val="12.0"/>
      </rPr>
      <t>Confection enseignes</t>
    </r>
    <r>
      <rPr>
        <rFont val="Times New Roman"/>
        <color rgb="FFFF0000"/>
        <sz val="12.0"/>
      </rPr>
      <t xml:space="preserve">  </t>
    </r>
    <r>
      <rPr>
        <rFont val="Times New Roman"/>
        <color theme="1"/>
        <sz val="12.0"/>
      </rPr>
      <t xml:space="preserve">et installation </t>
    </r>
  </si>
  <si>
    <t xml:space="preserve">Open services   fact n° 011/0S/26  </t>
  </si>
  <si>
    <r>
      <rPr>
        <rFont val="Times New Roman"/>
        <color theme="1"/>
        <sz val="12.0"/>
      </rPr>
      <t>Open services   fact n° 012/0S/26</t>
    </r>
    <r>
      <rPr>
        <rFont val="Times New Roman"/>
        <color rgb="FFFF0000"/>
        <sz val="12.0"/>
      </rPr>
      <t xml:space="preserve">  </t>
    </r>
  </si>
  <si>
    <t>Achat matériel plomberie + main d'œuvre</t>
  </si>
  <si>
    <t xml:space="preserve">Agenda </t>
  </si>
  <si>
    <t>Asma medic fact n°44</t>
  </si>
  <si>
    <t xml:space="preserve">Capsules café +frais d'envoi +frais de transport </t>
  </si>
  <si>
    <t xml:space="preserve">Confection +enseignes +installation </t>
  </si>
  <si>
    <t xml:space="preserve">Achat de matériel froid+ main d'œuvre imagerie </t>
  </si>
  <si>
    <t xml:space="preserve">Pile  </t>
  </si>
  <si>
    <r>
      <rPr>
        <rFont val="Times New Roman"/>
        <color theme="1"/>
        <sz val="12.0"/>
      </rPr>
      <t>DSA fact  n° F83</t>
    </r>
    <r>
      <rPr>
        <rFont val="Times New Roman"/>
        <color rgb="FFFF0000"/>
        <sz val="12.0"/>
      </rPr>
      <t xml:space="preserve"> </t>
    </r>
  </si>
  <si>
    <t xml:space="preserve">Frais de transport gravats </t>
  </si>
  <si>
    <t xml:space="preserve">Mouchoires + tasses à jeter </t>
  </si>
  <si>
    <t xml:space="preserve">Saloum pharma fact n°002886 </t>
  </si>
  <si>
    <t>Achat de nouvel appareil d'exploration cardique ( )</t>
  </si>
  <si>
    <t>réparation et entretien équipement cardio ( )</t>
  </si>
  <si>
    <t xml:space="preserve"> MEDILABO Bud. 2024 : 7.965.000 / Dép. : 16 071 825  Montant due :  -8. 106 .825</t>
  </si>
  <si>
    <t>SOTELMED Bud. 2023 : 5.873.800 / Dépenses : 4.511.518 Reste : 1.362.282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</si>
  <si>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</si>
  <si>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Mme  Seynabou Ndiaye</t>
  </si>
  <si>
    <t>RAPPORT FINANCIER DU MOIS DE FEVRIER 2026</t>
  </si>
  <si>
    <t>REPPORT SOLDE FINAL MOIS DE JANVIER  2026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</si>
  <si>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</si>
  <si>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</si>
  <si>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Dr nogaye</t>
  </si>
  <si>
    <t>Séo imagerie 02/02</t>
  </si>
  <si>
    <t>Baeaubab 03/02</t>
  </si>
  <si>
    <t xml:space="preserve">Technologies services </t>
  </si>
  <si>
    <t xml:space="preserve">Eau </t>
  </si>
  <si>
    <r>
      <rPr>
        <rFont val="Times New Roman"/>
        <color theme="1"/>
        <sz val="12.0"/>
      </rPr>
      <t>Mouchoires</t>
    </r>
    <r>
      <rPr>
        <rFont val="Times New Roman"/>
        <color rgb="FFFF0000"/>
        <sz val="12.0"/>
      </rPr>
      <t xml:space="preserve"> </t>
    </r>
  </si>
  <si>
    <t xml:space="preserve">Cartouche 4911 tampon </t>
  </si>
  <si>
    <t xml:space="preserve">Cartes groupe sanguin </t>
  </si>
  <si>
    <t xml:space="preserve">Matériel cabinet dentaire </t>
  </si>
  <si>
    <t xml:space="preserve">Frais de transport produit mère -enfant </t>
  </si>
  <si>
    <r>
      <rPr>
        <rFont val="Times New Roman"/>
        <color theme="1"/>
        <sz val="12.0"/>
      </rPr>
      <t>Bonfini fac-4663/02/2026</t>
    </r>
    <r>
      <rPr>
        <rFont val="Times New Roman"/>
        <color rgb="FFFF0000"/>
        <sz val="12.0"/>
      </rPr>
      <t xml:space="preserve"> </t>
    </r>
  </si>
  <si>
    <t>Piles téléphone et appareil pr fixe médina à badji reste facture</t>
  </si>
  <si>
    <t xml:space="preserve">Produit d'entretien </t>
  </si>
  <si>
    <t xml:space="preserve">Batterie duracel </t>
  </si>
  <si>
    <t xml:space="preserve">Collation ziguinchor </t>
  </si>
  <si>
    <t xml:space="preserve">Clés </t>
  </si>
  <si>
    <t xml:space="preserve">Masque protection </t>
  </si>
  <si>
    <t xml:space="preserve">Frais de transport  technicien imprimante  </t>
  </si>
  <si>
    <t xml:space="preserve">Saloum pharma fact n°002887  </t>
  </si>
  <si>
    <t xml:space="preserve">Tasszs +javel+madar  cabinet dentaire  </t>
  </si>
  <si>
    <t xml:space="preserve">Pile duracel  </t>
  </si>
  <si>
    <t xml:space="preserve">Sucre </t>
  </si>
  <si>
    <t xml:space="preserve">Paquet kireme PM  </t>
  </si>
  <si>
    <t xml:space="preserve">Frais de transport sokhna awam cheikhou wade  </t>
  </si>
  <si>
    <t xml:space="preserve">Frais de transport Melvin  </t>
  </si>
  <si>
    <t xml:space="preserve"> Baeaubab  </t>
  </si>
  <si>
    <t xml:space="preserve">Tasses à jeter  </t>
  </si>
  <si>
    <t xml:space="preserve">Consomed fact n°017/26  </t>
  </si>
  <si>
    <r>
      <rPr>
        <rFont val="Times New Roman"/>
        <color theme="1"/>
        <sz val="12.0"/>
      </rPr>
      <t>Eau séo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</si>
  <si>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>Mouchoires</t>
    </r>
    <r>
      <rPr>
        <rFont val="Times New Roman"/>
        <color rgb="FFFF0000"/>
        <sz val="12.0"/>
      </rPr>
      <t xml:space="preserve">  </t>
    </r>
  </si>
  <si>
    <t xml:space="preserve">Open services fact n°014/0s/26 </t>
  </si>
  <si>
    <r>
      <rPr>
        <rFont val="Times New Roman"/>
        <color theme="1"/>
        <sz val="12.0"/>
      </rPr>
      <t xml:space="preserve">MJS  alèses </t>
    </r>
    <r>
      <rPr>
        <rFont val="Times New Roman"/>
        <color rgb="FFFF0000"/>
        <sz val="12.0"/>
      </rPr>
      <t>20/02</t>
    </r>
  </si>
  <si>
    <t xml:space="preserve">Matériels médicaux  et services fact n°/2026 imagerie  </t>
  </si>
  <si>
    <t xml:space="preserve">OPen services   </t>
  </si>
  <si>
    <t xml:space="preserve">Skiacol + transport </t>
  </si>
  <si>
    <t xml:space="preserve">Mouchoires imagerie </t>
  </si>
  <si>
    <t xml:space="preserve">Reliquat des blouses  </t>
  </si>
  <si>
    <t xml:space="preserve">Saloum pharma fact n°002888  </t>
  </si>
  <si>
    <t xml:space="preserve">Aiguilles  </t>
  </si>
  <si>
    <t xml:space="preserve">Ciment +fer </t>
  </si>
  <si>
    <t xml:space="preserve">Matériels de carrelage </t>
  </si>
  <si>
    <t>Matériels peinture</t>
  </si>
  <si>
    <t>Batimat</t>
  </si>
  <si>
    <t>Matériels d'électricité</t>
  </si>
  <si>
    <t xml:space="preserve"> MEDILABO Bud. 2024 :1 408 675 / Dép. :  679 000 restant :  729675</t>
  </si>
  <si>
    <t>SOTELMED Bud. 2023 : 5.873.800 / Dépenses : 4.549 918 Reste : 1.323.882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</si>
  <si>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</si>
  <si>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Dr Bédy Seck</t>
  </si>
  <si>
    <t xml:space="preserve">Mme Amy Tall Diakite maitresse </t>
  </si>
  <si>
    <t>RAPPORT FINANCIER DU MOIS DE MARS 2026</t>
  </si>
  <si>
    <t>REPPORT SOLDE FINAL MOIS DE FEVRIER  2026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</si>
  <si>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</si>
  <si>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t xml:space="preserve">Quatrième semaine </t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</si>
  <si>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</si>
  <si>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t>Baeaubab 30/03</t>
  </si>
  <si>
    <t xml:space="preserve">Matériels medicaux bandelettes urinaire  </t>
  </si>
  <si>
    <t xml:space="preserve">Technologies Services fact n°FA 261120  </t>
  </si>
  <si>
    <t>Mouchoires  ophtalmo 23/03</t>
  </si>
  <si>
    <t xml:space="preserve">Frais de transport issa  </t>
  </si>
  <si>
    <t xml:space="preserve">Technologies Services fact n°FA 2612/22  </t>
  </si>
  <si>
    <t xml:space="preserve">Open services  carton papier +autocolant  </t>
  </si>
  <si>
    <t xml:space="preserve">Asma medic  n° fact mars  </t>
  </si>
  <si>
    <t xml:space="preserve">Bandelettes +accu check  </t>
  </si>
  <si>
    <t xml:space="preserve">Cardiostore fact n° F2603140489  </t>
  </si>
  <si>
    <t>Cabinet dentaire monter fauteuil dentaire</t>
  </si>
  <si>
    <t xml:space="preserve">Ulzocer  </t>
  </si>
  <si>
    <t xml:space="preserve">Lave main  </t>
  </si>
  <si>
    <t xml:space="preserve">Séo </t>
  </si>
  <si>
    <t xml:space="preserve">Collation unité mère -enfant  </t>
  </si>
  <si>
    <t xml:space="preserve">Carburant incinération déchets  </t>
  </si>
  <si>
    <r>
      <rPr>
        <rFont val="Times New Roman"/>
        <color theme="1"/>
        <sz val="12.0"/>
      </rPr>
      <t>Papier toilette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</si>
  <si>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>Ampoules + vices</t>
    </r>
    <r>
      <rPr>
        <rFont val="Times New Roman"/>
        <color rgb="FFFF0000"/>
        <sz val="12.0"/>
      </rPr>
      <t xml:space="preserve">  </t>
    </r>
  </si>
  <si>
    <t xml:space="preserve">Frais de tranport Mouhamed </t>
  </si>
  <si>
    <t xml:space="preserve">Technologies services FA n° 261439  </t>
  </si>
  <si>
    <t xml:space="preserve">Hygiènes Services (07) onduleurs + transport  </t>
  </si>
  <si>
    <t xml:space="preserve">Mouchoires  ophtalmo  </t>
  </si>
  <si>
    <t xml:space="preserve">Emploiyé benoit transport  </t>
  </si>
  <si>
    <t xml:space="preserve">Open services cartes groupe sanguin + enveloppes  </t>
  </si>
  <si>
    <t xml:space="preserve">Frais de transport ordonnacier à la médina  </t>
  </si>
  <si>
    <t xml:space="preserve">Film echo+ papier ECG  </t>
  </si>
  <si>
    <t xml:space="preserve">Batterie ophtalmo </t>
  </si>
  <si>
    <t xml:space="preserve">PNA  </t>
  </si>
  <si>
    <t xml:space="preserve">Piles </t>
  </si>
  <si>
    <t xml:space="preserve">Reproduction cle  </t>
  </si>
  <si>
    <r>
      <rPr>
        <rFont val="Times New Roman"/>
        <color theme="1"/>
        <sz val="12.0"/>
      </rPr>
      <t>Saloum pharma</t>
    </r>
    <r>
      <rPr>
        <rFont val="Times New Roman"/>
        <color rgb="FFFF0000"/>
        <sz val="12.0"/>
      </rPr>
      <t xml:space="preserve">  </t>
    </r>
  </si>
  <si>
    <r>
      <rPr>
        <rFont val="Times New Roman"/>
        <color theme="1"/>
        <sz val="12.0"/>
      </rPr>
      <t xml:space="preserve"> Frais de transport Sokhna</t>
    </r>
    <r>
      <rPr>
        <rFont val="Times New Roman"/>
        <color rgb="FFFF0000"/>
        <sz val="12.0"/>
      </rPr>
      <t xml:space="preserve">  </t>
    </r>
  </si>
  <si>
    <t xml:space="preserve">Frais de transport Mevin  </t>
  </si>
  <si>
    <t xml:space="preserve">Frais de transport  Ramoutoulaye  </t>
  </si>
  <si>
    <t>Achat fauteuil dentaire</t>
  </si>
  <si>
    <t>Maintenance préventif Technologies Services</t>
  </si>
  <si>
    <t>SOLDE FIN MOIS DE MARS  2026</t>
  </si>
  <si>
    <t xml:space="preserve"> MEDILABO Bud. 2024 :1 408 675 / Dép. :  1199000 restant :  209000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</si>
  <si>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</si>
  <si>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t>Dr Bedy Seck</t>
  </si>
  <si>
    <t>Mme Amy Tall Diakite maitresse</t>
  </si>
  <si>
    <t>RAPPORT FINANCIER DU MOIS D'AVRIL 2026</t>
  </si>
  <si>
    <t>REPPORT SOLDE FINAL MOIS DE MARS 2026</t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</si>
  <si>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</si>
  <si>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</si>
  <si>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r>
      <rPr>
        <rFont val="Times New Roman"/>
        <color theme="1"/>
        <sz val="12.0"/>
      </rPr>
      <t xml:space="preserve">Essuie Tout + moichoires de table </t>
    </r>
    <r>
      <rPr>
        <rFont val="Times New Roman"/>
        <color rgb="FFFF0000"/>
        <sz val="12.0"/>
      </rPr>
      <t>01/04</t>
    </r>
  </si>
  <si>
    <r>
      <rPr>
        <rFont val="Times New Roman"/>
        <color theme="1"/>
        <sz val="12.0"/>
      </rPr>
      <t>Collation ziguinchore</t>
    </r>
    <r>
      <rPr>
        <rFont val="Times New Roman"/>
        <color rgb="FFFF0000"/>
        <sz val="12.0"/>
      </rPr>
      <t xml:space="preserve">  01/04</t>
    </r>
  </si>
  <si>
    <r>
      <rPr>
        <rFont val="Times New Roman"/>
        <color theme="1"/>
        <sz val="12.0"/>
      </rPr>
      <t xml:space="preserve">Quick Notes  </t>
    </r>
    <r>
      <rPr>
        <rFont val="Times New Roman"/>
        <color rgb="FFFF0000"/>
        <sz val="12.0"/>
      </rPr>
      <t>02/04</t>
    </r>
  </si>
  <si>
    <r>
      <rPr>
        <rFont val="Times New Roman"/>
        <color theme="1"/>
        <sz val="12.0"/>
      </rPr>
      <t>Matériel électrique</t>
    </r>
    <r>
      <rPr>
        <rFont val="Times New Roman"/>
        <color rgb="FFFF0000"/>
        <sz val="12.0"/>
      </rPr>
      <t xml:space="preserve">  02/04</t>
    </r>
  </si>
  <si>
    <r>
      <rPr>
        <rFont val="Times New Roman"/>
        <color theme="1"/>
        <sz val="12.0"/>
      </rPr>
      <t>Eau Séo</t>
    </r>
    <r>
      <rPr>
        <rFont val="Times New Roman"/>
        <color rgb="FFFF0000"/>
        <sz val="12.0"/>
      </rPr>
      <t xml:space="preserve">  02/04</t>
    </r>
  </si>
  <si>
    <r>
      <rPr>
        <rFont val="Times New Roman"/>
        <color theme="1"/>
        <sz val="12.0"/>
      </rPr>
      <t xml:space="preserve">L'écran  </t>
    </r>
    <r>
      <rPr>
        <rFont val="Times New Roman"/>
        <color rgb="FFFF0000"/>
        <sz val="12.0"/>
      </rPr>
      <t>02/04</t>
    </r>
  </si>
  <si>
    <r>
      <rPr>
        <rFont val="Times New Roman"/>
        <color theme="1"/>
        <sz val="12.0"/>
      </rPr>
      <t xml:space="preserve">Globe  </t>
    </r>
    <r>
      <rPr>
        <rFont val="Times New Roman"/>
        <color rgb="FFFF0000"/>
        <sz val="12.0"/>
      </rPr>
      <t>02/04</t>
    </r>
  </si>
  <si>
    <r>
      <rPr>
        <rFont val="Times New Roman"/>
        <color theme="1"/>
        <sz val="12.0"/>
      </rPr>
      <t xml:space="preserve">Réinstallation electrique +changement lampes  </t>
    </r>
    <r>
      <rPr>
        <rFont val="Times New Roman"/>
        <color rgb="FFFF0000"/>
        <sz val="12.0"/>
      </rPr>
      <t>02/04</t>
    </r>
  </si>
  <si>
    <r>
      <rPr>
        <rFont val="Times New Roman"/>
        <color theme="1"/>
        <sz val="12.0"/>
      </rPr>
      <t xml:space="preserve">Mouchoires +café +tasses médina   </t>
    </r>
    <r>
      <rPr>
        <rFont val="Times New Roman"/>
        <color rgb="FFFF0000"/>
        <sz val="12.0"/>
      </rPr>
      <t>03/04</t>
    </r>
  </si>
  <si>
    <r>
      <rPr>
        <rFont val="Times New Roman"/>
        <color theme="1"/>
        <sz val="12.0"/>
      </rPr>
      <t xml:space="preserve">Collation médina   </t>
    </r>
    <r>
      <rPr>
        <rFont val="Times New Roman"/>
        <color rgb="FFFF0000"/>
        <sz val="12.0"/>
      </rPr>
      <t>03/04</t>
    </r>
  </si>
  <si>
    <r>
      <rPr>
        <rFont val="Times New Roman"/>
        <color theme="1"/>
        <sz val="12.0"/>
      </rPr>
      <t xml:space="preserve">Dakin   </t>
    </r>
    <r>
      <rPr>
        <rFont val="Times New Roman"/>
        <color rgb="FFFF0000"/>
        <sz val="12.0"/>
      </rPr>
      <t>07/04</t>
    </r>
  </si>
  <si>
    <r>
      <rPr>
        <rFont val="Times New Roman"/>
        <color theme="1"/>
        <sz val="12.0"/>
      </rPr>
      <t xml:space="preserve">Café  </t>
    </r>
    <r>
      <rPr>
        <rFont val="Times New Roman"/>
        <color rgb="FFFF0000"/>
        <sz val="12.0"/>
      </rPr>
      <t>07/04</t>
    </r>
  </si>
  <si>
    <r>
      <rPr>
        <rFont val="Times New Roman"/>
        <color theme="1"/>
        <sz val="12.0"/>
      </rPr>
      <t xml:space="preserve">Carton papiers (03) </t>
    </r>
    <r>
      <rPr>
        <rFont val="Times New Roman"/>
        <color rgb="FFFF0000"/>
        <sz val="12.0"/>
      </rPr>
      <t>07/04</t>
    </r>
  </si>
  <si>
    <r>
      <rPr>
        <rFont val="Times New Roman"/>
        <color theme="1"/>
        <sz val="12.0"/>
      </rPr>
      <t xml:space="preserve">Tetavin antitetanoq </t>
    </r>
    <r>
      <rPr>
        <rFont val="Times New Roman"/>
        <color rgb="FFFF0000"/>
        <sz val="12.0"/>
      </rPr>
      <t>0704</t>
    </r>
  </si>
  <si>
    <r>
      <rPr>
        <rFont val="Times New Roman"/>
        <color theme="1"/>
        <sz val="12.0"/>
      </rPr>
      <t xml:space="preserve">Saloum pharma fact  n° 002890 </t>
    </r>
    <r>
      <rPr>
        <rFont val="Times New Roman"/>
        <color rgb="FFFF0000"/>
        <sz val="12.0"/>
      </rPr>
      <t>07/04</t>
    </r>
  </si>
  <si>
    <r>
      <rPr>
        <rFont val="Times New Roman"/>
        <color theme="1"/>
        <sz val="12.0"/>
      </rPr>
      <t xml:space="preserve">Sucre  </t>
    </r>
    <r>
      <rPr>
        <rFont val="Times New Roman"/>
        <color rgb="FFFF0000"/>
        <sz val="12.0"/>
      </rPr>
      <t>08/04</t>
    </r>
  </si>
  <si>
    <r>
      <rPr>
        <rFont val="Times New Roman"/>
        <color theme="1"/>
        <sz val="12.0"/>
      </rPr>
      <t xml:space="preserve">Baeaubab  </t>
    </r>
    <r>
      <rPr>
        <rFont val="Times New Roman"/>
        <color rgb="FFFF0000"/>
        <sz val="12.0"/>
      </rPr>
      <t>08/04</t>
    </r>
  </si>
  <si>
    <r>
      <rPr>
        <rFont val="Times New Roman"/>
        <color theme="1"/>
        <sz val="12.0"/>
      </rPr>
      <t xml:space="preserve">Technologies Services FA 261759  </t>
    </r>
    <r>
      <rPr>
        <rFont val="Times New Roman"/>
        <color rgb="FFFF0000"/>
        <sz val="12.0"/>
      </rPr>
      <t>08/04</t>
    </r>
  </si>
  <si>
    <r>
      <rPr>
        <rFont val="Times New Roman"/>
        <color theme="1"/>
        <sz val="12.0"/>
      </rPr>
      <t xml:space="preserve">Dismatic médina  </t>
    </r>
    <r>
      <rPr>
        <rFont val="Times New Roman"/>
        <color rgb="FFFF0000"/>
        <sz val="12.0"/>
      </rPr>
      <t>09/04</t>
    </r>
  </si>
  <si>
    <r>
      <rPr>
        <rFont val="Times New Roman"/>
        <color theme="1"/>
        <sz val="12.0"/>
      </rPr>
      <t xml:space="preserve">Eau Kirène ziguinchor  </t>
    </r>
    <r>
      <rPr>
        <rFont val="Times New Roman"/>
        <color rgb="FFFF0000"/>
        <sz val="12.0"/>
      </rPr>
      <t>09/04</t>
    </r>
  </si>
  <si>
    <r>
      <rPr>
        <rFont val="Times New Roman"/>
        <color theme="1"/>
        <sz val="12.0"/>
      </rPr>
      <t xml:space="preserve">Ralonge 5m  </t>
    </r>
    <r>
      <rPr>
        <rFont val="Times New Roman"/>
        <color rgb="FFFF0000"/>
        <sz val="12.0"/>
      </rPr>
      <t>10/04</t>
    </r>
  </si>
  <si>
    <r>
      <rPr>
        <rFont val="Times New Roman"/>
        <color theme="1"/>
        <sz val="12.0"/>
      </rPr>
      <t xml:space="preserve">Cartes groupe sanguin </t>
    </r>
    <r>
      <rPr>
        <rFont val="Times New Roman"/>
        <color rgb="FFFF0000"/>
        <sz val="12.0"/>
      </rPr>
      <t>13/04</t>
    </r>
  </si>
  <si>
    <r>
      <rPr>
        <rFont val="Times New Roman"/>
        <color theme="1"/>
        <sz val="12.0"/>
      </rPr>
      <t xml:space="preserve">Frais de maintenance imprimente </t>
    </r>
    <r>
      <rPr>
        <rFont val="Times New Roman"/>
        <color rgb="FFFF0000"/>
        <sz val="12.0"/>
      </rPr>
      <t>13/04</t>
    </r>
  </si>
  <si>
    <r>
      <rPr>
        <rFont val="Times New Roman"/>
        <color theme="1"/>
        <sz val="12.0"/>
      </rPr>
      <t xml:space="preserve">Film écho (2) +transport </t>
    </r>
    <r>
      <rPr>
        <rFont val="Times New Roman"/>
        <color rgb="FFFF0000"/>
        <sz val="12.0"/>
      </rPr>
      <t>14/04</t>
    </r>
  </si>
  <si>
    <r>
      <rPr>
        <rFont val="Times New Roman"/>
        <color theme="1"/>
        <sz val="12.0"/>
      </rPr>
      <t>Asma médic fact n°avril 65</t>
    </r>
    <r>
      <rPr>
        <rFont val="Times New Roman"/>
        <color rgb="FFFF0000"/>
        <sz val="12.0"/>
      </rPr>
      <t xml:space="preserve"> 14/04</t>
    </r>
  </si>
  <si>
    <r>
      <rPr>
        <rFont val="Times New Roman"/>
        <color theme="1"/>
        <sz val="12.0"/>
      </rPr>
      <t xml:space="preserve">Kirene +boisson </t>
    </r>
    <r>
      <rPr>
        <rFont val="Times New Roman"/>
        <color rgb="FFFF0000"/>
        <sz val="12.0"/>
      </rPr>
      <t>15/04</t>
    </r>
  </si>
  <si>
    <r>
      <rPr>
        <rFont val="Times New Roman"/>
        <color theme="1"/>
        <sz val="12.0"/>
      </rPr>
      <t xml:space="preserve">Frais de réparation frigidiare </t>
    </r>
    <r>
      <rPr>
        <rFont val="Times New Roman"/>
        <color rgb="FFFF0000"/>
        <sz val="12.0"/>
      </rPr>
      <t>16/04</t>
    </r>
  </si>
  <si>
    <t>Carton  enveloppe craft A5</t>
  </si>
  <si>
    <r>
      <rPr>
        <rFont val="Times New Roman"/>
        <color theme="1"/>
        <sz val="12.0"/>
      </rPr>
      <t>Ventilo steck +transport</t>
    </r>
    <r>
      <rPr>
        <rFont val="Times New Roman"/>
        <color rgb="FFFF0000"/>
        <sz val="12.0"/>
      </rPr>
      <t xml:space="preserve"> 16/04</t>
    </r>
  </si>
  <si>
    <r>
      <rPr>
        <rFont val="Times New Roman"/>
        <color theme="1"/>
        <sz val="12.0"/>
      </rPr>
      <t>Remepha fact n°0274Tubes sanguins</t>
    </r>
    <r>
      <rPr>
        <rFont val="Times New Roman"/>
        <color rgb="FFFF0000"/>
        <sz val="12.0"/>
      </rPr>
      <t xml:space="preserve"> 16/04</t>
    </r>
  </si>
  <si>
    <r>
      <rPr>
        <rFont val="Times New Roman"/>
        <color theme="1"/>
        <sz val="12.0"/>
      </rPr>
      <t xml:space="preserve">Alèses médina </t>
    </r>
    <r>
      <rPr>
        <rFont val="Times New Roman"/>
        <color rgb="FFFF0000"/>
        <sz val="12.0"/>
      </rPr>
      <t>16/04</t>
    </r>
  </si>
  <si>
    <r>
      <rPr>
        <rFont val="Times New Roman"/>
        <color theme="1"/>
        <sz val="12.0"/>
      </rPr>
      <t xml:space="preserve">Boites séringue 10cc +potence + transport </t>
    </r>
    <r>
      <rPr>
        <rFont val="Times New Roman"/>
        <color rgb="FFFF0000"/>
        <sz val="12.0"/>
      </rPr>
      <t>16/04</t>
    </r>
  </si>
  <si>
    <r>
      <rPr>
        <rFont val="Times New Roman"/>
        <color theme="1"/>
        <sz val="12.0"/>
      </rPr>
      <t xml:space="preserve">Frais de transport enveloppes+film écho médina </t>
    </r>
    <r>
      <rPr>
        <rFont val="Times New Roman"/>
        <color rgb="FFFF0000"/>
        <sz val="12.0"/>
      </rPr>
      <t>16/04</t>
    </r>
  </si>
  <si>
    <r>
      <rPr>
        <rFont val="Times New Roman"/>
        <color theme="1"/>
        <sz val="12.0"/>
      </rPr>
      <t xml:space="preserve">Frais de vidange rue moussé diop </t>
    </r>
    <r>
      <rPr>
        <rFont val="Times New Roman"/>
        <color rgb="FFFF0000"/>
        <sz val="12.0"/>
      </rPr>
      <t>16/04</t>
    </r>
  </si>
  <si>
    <r>
      <rPr>
        <rFont val="Times New Roman"/>
        <color theme="1"/>
        <sz val="12.0"/>
      </rPr>
      <t xml:space="preserve">Pipettes (02) </t>
    </r>
    <r>
      <rPr>
        <rFont val="Times New Roman"/>
        <color rgb="FFFF0000"/>
        <sz val="12.0"/>
      </rPr>
      <t xml:space="preserve">20/04 </t>
    </r>
    <r>
      <rPr>
        <rFont val="Times New Roman"/>
        <color theme="1"/>
        <sz val="12.0"/>
      </rPr>
      <t>+ transport</t>
    </r>
  </si>
  <si>
    <r>
      <rPr>
        <rFont val="Times New Roman"/>
        <color theme="1"/>
        <sz val="12.0"/>
      </rPr>
      <t xml:space="preserve">Eau médina </t>
    </r>
    <r>
      <rPr>
        <rFont val="Times New Roman"/>
        <color rgb="FFFF0000"/>
        <sz val="12.0"/>
      </rPr>
      <t>20/04</t>
    </r>
  </si>
  <si>
    <r>
      <rPr>
        <rFont val="Times New Roman"/>
        <color theme="1"/>
        <sz val="12.0"/>
      </rPr>
      <t xml:space="preserve">Cartons enveloppes A4 (06) </t>
    </r>
    <r>
      <rPr>
        <rFont val="Times New Roman"/>
        <color rgb="FFFF0000"/>
        <sz val="12.0"/>
      </rPr>
      <t>21/04</t>
    </r>
  </si>
  <si>
    <r>
      <rPr>
        <rFont val="Times New Roman"/>
        <color theme="1"/>
        <sz val="12.0"/>
      </rPr>
      <t xml:space="preserve">Tasses à jeter </t>
    </r>
    <r>
      <rPr>
        <rFont val="Times New Roman"/>
        <color rgb="FFFF0000"/>
        <sz val="12.0"/>
      </rPr>
      <t>21/04</t>
    </r>
  </si>
  <si>
    <t>Saloum pharma fact n°002891</t>
  </si>
  <si>
    <t>Baeaubab  08/04</t>
  </si>
  <si>
    <r>
      <rPr>
        <rFont val="Times New Roman"/>
        <color theme="1"/>
        <sz val="12.0"/>
      </rPr>
      <t xml:space="preserve">Alèses </t>
    </r>
    <r>
      <rPr>
        <rFont val="Times New Roman"/>
        <color rgb="FFFF0000"/>
        <sz val="12.0"/>
      </rPr>
      <t>22/04</t>
    </r>
  </si>
  <si>
    <t>Tasses à jeter 23/04</t>
  </si>
  <si>
    <r>
      <rPr>
        <rFont val="Times New Roman"/>
        <color theme="1"/>
        <sz val="12.0"/>
      </rPr>
      <t xml:space="preserve">Bandelettes +accucheck+transport </t>
    </r>
    <r>
      <rPr>
        <rFont val="Times New Roman"/>
        <color rgb="FFFF0000"/>
        <sz val="12.0"/>
      </rPr>
      <t>23/04</t>
    </r>
  </si>
  <si>
    <r>
      <rPr>
        <rFont val="Times New Roman"/>
        <color theme="1"/>
        <sz val="12.0"/>
      </rPr>
      <t xml:space="preserve">Eau kirène ziguinchor  </t>
    </r>
    <r>
      <rPr>
        <rFont val="Times New Roman"/>
        <color rgb="FFFF0000"/>
        <sz val="12.0"/>
      </rPr>
      <t>23/04</t>
    </r>
  </si>
  <si>
    <r>
      <rPr>
        <rFont val="Times New Roman"/>
        <color theme="1"/>
        <sz val="12.0"/>
      </rPr>
      <t xml:space="preserve">Technologies Services FA 262069  </t>
    </r>
    <r>
      <rPr>
        <rFont val="Times New Roman"/>
        <color rgb="FFFF0000"/>
        <sz val="12.0"/>
      </rPr>
      <t>24/04</t>
    </r>
  </si>
  <si>
    <r>
      <rPr>
        <rFont val="Times New Roman"/>
        <color theme="1"/>
        <sz val="12.0"/>
      </rPr>
      <t xml:space="preserve">Cartons enveloppes A5 (05) </t>
    </r>
    <r>
      <rPr>
        <rFont val="Times New Roman"/>
        <color rgb="FFFF0000"/>
        <sz val="12.0"/>
      </rPr>
      <t>23/04</t>
    </r>
  </si>
  <si>
    <r>
      <rPr>
        <rFont val="Times New Roman"/>
        <b val="0"/>
        <color theme="1"/>
        <sz val="12.0"/>
      </rPr>
      <t xml:space="preserve">Café capsules </t>
    </r>
    <r>
      <rPr>
        <rFont val="Times New Roman"/>
        <b val="0"/>
        <color rgb="FFFF0000"/>
        <sz val="12.0"/>
      </rPr>
      <t>24/04</t>
    </r>
  </si>
  <si>
    <r>
      <rPr>
        <rFont val="Times New Roman"/>
        <b val="0"/>
        <color theme="1"/>
        <sz val="12.0"/>
      </rPr>
      <t xml:space="preserve">Téléphone samsung ziguinchor  + transport </t>
    </r>
    <r>
      <rPr>
        <rFont val="Times New Roman"/>
        <b val="0"/>
        <color rgb="FFFF0000"/>
        <sz val="12.0"/>
      </rPr>
      <t>24/04</t>
    </r>
  </si>
  <si>
    <r>
      <rPr>
        <rFont val="Times New Roman"/>
        <color theme="1"/>
        <sz val="12.0"/>
      </rPr>
      <t xml:space="preserve">Cronomètre digital+transport </t>
    </r>
    <r>
      <rPr>
        <rFont val="Times New Roman"/>
        <color rgb="FFFF0000"/>
        <sz val="12.0"/>
      </rPr>
      <t>24/04</t>
    </r>
  </si>
  <si>
    <r>
      <rPr>
        <rFont val="Times New Roman"/>
        <b val="0"/>
        <color theme="1"/>
        <sz val="12.0"/>
      </rPr>
      <t xml:space="preserve">Gilet personnaliser  + frais de transfert </t>
    </r>
    <r>
      <rPr>
        <rFont val="Times New Roman"/>
        <b val="0"/>
        <color rgb="FFFF0000"/>
        <sz val="12.0"/>
      </rPr>
      <t>25/04</t>
    </r>
  </si>
  <si>
    <r>
      <rPr>
        <rFont val="Times New Roman"/>
        <b val="0"/>
        <color theme="1"/>
        <sz val="12.0"/>
      </rPr>
      <t xml:space="preserve">Baeaubab  </t>
    </r>
    <r>
      <rPr>
        <rFont val="Times New Roman"/>
        <b val="0"/>
        <color rgb="FFFF0000"/>
        <sz val="12.0"/>
      </rPr>
      <t>27/04</t>
    </r>
  </si>
  <si>
    <r>
      <rPr>
        <rFont val="Times New Roman"/>
        <b val="0"/>
        <color theme="1"/>
        <sz val="12.0"/>
      </rPr>
      <t>Bandelettes +accucheck+transport</t>
    </r>
    <r>
      <rPr>
        <rFont val="Times New Roman"/>
        <b val="0"/>
        <color rgb="FFFF0000"/>
        <sz val="12.0"/>
      </rPr>
      <t xml:space="preserve"> 27/0</t>
    </r>
    <r>
      <rPr>
        <rFont val="Times New Roman"/>
        <b val="0"/>
        <color rgb="FFFF0000"/>
        <sz val="14.0"/>
      </rPr>
      <t>4</t>
    </r>
  </si>
  <si>
    <r>
      <rPr>
        <rFont val="Times New Roman"/>
        <b val="0"/>
        <color theme="1"/>
        <sz val="12.0"/>
      </rPr>
      <t xml:space="preserve">Balance (02) + nébulizeur portatif +transport </t>
    </r>
    <r>
      <rPr>
        <rFont val="Times New Roman"/>
        <b val="0"/>
        <color rgb="FFFF0000"/>
        <sz val="12.0"/>
      </rPr>
      <t>27/04</t>
    </r>
  </si>
  <si>
    <r>
      <rPr>
        <rFont val="Times New Roman"/>
        <b val="0"/>
        <color theme="1"/>
        <sz val="12.0"/>
      </rPr>
      <t>BANDELETTES INFINITY</t>
    </r>
    <r>
      <rPr>
        <rFont val="Times New Roman"/>
        <b/>
        <color theme="1"/>
        <sz val="12.0"/>
      </rPr>
      <t xml:space="preserve"> </t>
    </r>
    <r>
      <rPr>
        <rFont val="Times New Roman"/>
        <b val="0"/>
        <color theme="1"/>
        <sz val="12.0"/>
      </rPr>
      <t xml:space="preserve">(05) </t>
    </r>
    <r>
      <rPr>
        <rFont val="Times New Roman"/>
        <b val="0"/>
        <color rgb="FFFF0000"/>
        <sz val="12.0"/>
      </rPr>
      <t>27/04</t>
    </r>
  </si>
  <si>
    <r>
      <rPr>
        <rFont val="Times New Roman"/>
        <color theme="1"/>
        <sz val="12.0"/>
      </rPr>
      <t>Crédit téléphonique</t>
    </r>
    <r>
      <rPr>
        <rFont val="Times New Roman"/>
        <color rgb="FFFF0000"/>
        <sz val="12.0"/>
      </rPr>
      <t xml:space="preserve"> 27/04</t>
    </r>
  </si>
  <si>
    <r>
      <rPr>
        <rFont val="Times New Roman"/>
        <b/>
        <color theme="1"/>
        <sz val="12.0"/>
      </rPr>
      <t>F</t>
    </r>
    <r>
      <rPr>
        <rFont val="Times New Roman"/>
        <b val="0"/>
        <color theme="1"/>
        <sz val="12.0"/>
      </rPr>
      <t xml:space="preserve">rais de transport repas  </t>
    </r>
    <r>
      <rPr>
        <rFont val="Times New Roman"/>
        <b val="0"/>
        <color rgb="FFFF0000"/>
        <sz val="12.0"/>
      </rPr>
      <t>27/04</t>
    </r>
  </si>
  <si>
    <r>
      <rPr>
        <rFont val="Times New Roman"/>
        <color theme="1"/>
        <sz val="12.0"/>
      </rPr>
      <t xml:space="preserve">Cartouche  ricoh + transport </t>
    </r>
    <r>
      <rPr>
        <rFont val="Times New Roman"/>
        <color rgb="FFFF0000"/>
        <sz val="12.0"/>
      </rPr>
      <t>28/04</t>
    </r>
  </si>
  <si>
    <r>
      <rPr>
        <rFont val="Times New Roman"/>
        <b val="0"/>
        <color theme="1"/>
        <sz val="12.0"/>
      </rPr>
      <t>Sucre 2</t>
    </r>
    <r>
      <rPr>
        <rFont val="Times New Roman"/>
        <b val="0"/>
        <color rgb="FFFF0000"/>
        <sz val="12.0"/>
      </rPr>
      <t>9/04</t>
    </r>
  </si>
  <si>
    <r>
      <rPr>
        <rFont val="Times New Roman"/>
        <color theme="1"/>
        <sz val="12.0"/>
      </rPr>
      <t xml:space="preserve">DSA fact n°F153 </t>
    </r>
    <r>
      <rPr>
        <rFont val="Times New Roman"/>
        <color rgb="FFFF0000"/>
        <sz val="12.0"/>
      </rPr>
      <t>29/04</t>
    </r>
  </si>
  <si>
    <t xml:space="preserve">Frais de transport du stagiaire Melvin </t>
  </si>
  <si>
    <t xml:space="preserve">Frais de transport  du  stagiaire  Awa Sokhna </t>
  </si>
  <si>
    <t xml:space="preserve">Frais de transport du stagiaire Ramatoulaye </t>
  </si>
  <si>
    <t xml:space="preserve">Frais de transport  du stagiaire  Marie </t>
  </si>
  <si>
    <t>Cebesine  collyre 5ml (02)</t>
  </si>
  <si>
    <r>
      <rPr>
        <rFont val="Times New Roman"/>
        <b val="0"/>
        <color theme="1"/>
        <sz val="14.0"/>
      </rPr>
      <t>Ma</t>
    </r>
    <r>
      <rPr>
        <rFont val="Times New Roman"/>
        <b val="0"/>
        <color theme="1"/>
        <sz val="12.0"/>
      </rPr>
      <t xml:space="preserve">sques +tiak tiak </t>
    </r>
  </si>
  <si>
    <t xml:space="preserve">Mouchoires +paquet mouchoires </t>
  </si>
  <si>
    <t>Open services fact n°  0023/0S/26</t>
  </si>
  <si>
    <t>Carnet de reçu cabinet dentaire</t>
  </si>
  <si>
    <t xml:space="preserve">Afrique droguerie cabinet dentaire </t>
  </si>
  <si>
    <t>Stéthoscope digital + kit</t>
  </si>
  <si>
    <t>SOLDE FIN MOIS D'AVRIL  2026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</si>
  <si>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</si>
  <si>
    <r>
      <rPr>
        <rFont val="Times New Roman"/>
        <b/>
        <color theme="1"/>
        <sz val="12.0"/>
      </rPr>
      <t>1-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 xml:space="preserve"> RECETTE</t>
    </r>
  </si>
  <si>
    <r>
      <rPr>
        <rFont val="Times New Roman"/>
        <b/>
        <color theme="1"/>
        <sz val="12.0"/>
      </rPr>
      <t>2-</t>
    </r>
    <r>
      <rPr>
        <rFont val="Times New Roman"/>
        <b/>
        <color theme="1"/>
        <sz val="7.0"/>
      </rPr>
      <t xml:space="preserve">       </t>
    </r>
    <r>
      <rPr>
        <rFont val="Times New Roman"/>
        <b/>
        <color theme="1"/>
        <sz val="12.0"/>
      </rPr>
      <t>DEPENSES</t>
    </r>
  </si>
  <si>
    <r>
      <rPr>
        <rFont val="Times New Roman"/>
        <color theme="1"/>
        <sz val="12.0"/>
      </rPr>
      <t xml:space="preserve">Paquet duracel (06) </t>
    </r>
    <r>
      <rPr>
        <rFont val="Times New Roman"/>
        <color rgb="FFFF0000"/>
        <sz val="12.0"/>
      </rPr>
      <t>04/05</t>
    </r>
  </si>
  <si>
    <r>
      <rPr>
        <rFont val="Times New Roman"/>
        <color theme="1"/>
        <sz val="12.0"/>
      </rPr>
      <t xml:space="preserve">Paquet boissonn +kiréne </t>
    </r>
    <r>
      <rPr>
        <rFont val="Times New Roman"/>
        <color rgb="FFFF0000"/>
        <sz val="12.0"/>
      </rPr>
      <t>04/05</t>
    </r>
  </si>
  <si>
    <r>
      <rPr>
        <rFont val="Times New Roman"/>
        <color theme="1"/>
        <sz val="12.0"/>
      </rPr>
      <t xml:space="preserve">Collation médina + transport </t>
    </r>
    <r>
      <rPr>
        <rFont val="Times New Roman"/>
        <color rgb="FFFF0000"/>
        <sz val="12.0"/>
      </rPr>
      <t>04/05</t>
    </r>
  </si>
  <si>
    <r>
      <rPr>
        <rFont val="Times New Roman"/>
        <color theme="1"/>
        <sz val="12.0"/>
      </rPr>
      <t xml:space="preserve">Café et mouchoires </t>
    </r>
    <r>
      <rPr>
        <rFont val="Times New Roman"/>
        <color rgb="FFFF0000"/>
        <sz val="12.0"/>
      </rPr>
      <t>04/05</t>
    </r>
  </si>
  <si>
    <r>
      <rPr>
        <rFont val="Times New Roman"/>
        <color theme="1"/>
        <sz val="12.0"/>
      </rPr>
      <t xml:space="preserve">Réparation robinet médina  </t>
    </r>
    <r>
      <rPr>
        <rFont val="Times New Roman"/>
        <color rgb="FFFF0000"/>
        <sz val="12.0"/>
      </rPr>
      <t>04/05</t>
    </r>
  </si>
  <si>
    <r>
      <rPr>
        <rFont val="Times New Roman"/>
        <color theme="1"/>
        <sz val="12.0"/>
      </rPr>
      <t xml:space="preserve">Open services fact n° 0025/0S/26 </t>
    </r>
    <r>
      <rPr>
        <rFont val="Times New Roman"/>
        <color rgb="FFFF0000"/>
        <sz val="12.0"/>
      </rPr>
      <t>05/05</t>
    </r>
  </si>
  <si>
    <r>
      <rPr>
        <rFont val="Times New Roman"/>
        <color theme="1"/>
        <sz val="12.0"/>
      </rPr>
      <t xml:space="preserve">Remepha suarl fact n°0282 </t>
    </r>
    <r>
      <rPr>
        <rFont val="Times New Roman"/>
        <color rgb="FFFF0000"/>
        <sz val="12.0"/>
      </rPr>
      <t>05/05</t>
    </r>
  </si>
  <si>
    <r>
      <rPr>
        <rFont val="Times New Roman"/>
        <color theme="1"/>
        <sz val="12.0"/>
      </rPr>
      <t>Asma medic fact n° mai 70</t>
    </r>
    <r>
      <rPr>
        <rFont val="Times New Roman"/>
        <color rgb="FFFF0000"/>
        <sz val="12.0"/>
      </rPr>
      <t xml:space="preserve"> 06/05</t>
    </r>
  </si>
  <si>
    <r>
      <rPr>
        <rFont val="Times New Roman"/>
        <color theme="1"/>
        <sz val="12.0"/>
      </rPr>
      <t xml:space="preserve">Consomed fact n°30/26 </t>
    </r>
    <r>
      <rPr>
        <rFont val="Times New Roman"/>
        <color rgb="FFFF0000"/>
        <sz val="12.0"/>
      </rPr>
      <t>08/05</t>
    </r>
  </si>
  <si>
    <r>
      <rPr>
        <rFont val="Times New Roman"/>
        <color theme="1"/>
        <sz val="12.0"/>
      </rPr>
      <t>Frais de transport courrier médina</t>
    </r>
    <r>
      <rPr>
        <rFont val="Times New Roman"/>
        <color rgb="FFFF0000"/>
        <sz val="12.0"/>
      </rPr>
      <t xml:space="preserve"> 08/05</t>
    </r>
  </si>
  <si>
    <r>
      <rPr>
        <rFont val="Times New Roman"/>
        <color theme="1"/>
        <sz val="12.0"/>
      </rPr>
      <t xml:space="preserve">Frais de transfert  wave médina </t>
    </r>
    <r>
      <rPr>
        <rFont val="Times New Roman"/>
        <color rgb="FFFF0000"/>
        <sz val="12.0"/>
      </rPr>
      <t>08/05</t>
    </r>
  </si>
  <si>
    <r>
      <rPr>
        <rFont val="Times New Roman"/>
        <color theme="1"/>
        <sz val="12.0"/>
      </rPr>
      <t xml:space="preserve">Baeaubab </t>
    </r>
    <r>
      <rPr>
        <rFont val="Times New Roman"/>
        <color rgb="FFFF0000"/>
        <sz val="12.0"/>
      </rPr>
      <t>11/05</t>
    </r>
  </si>
  <si>
    <r>
      <rPr>
        <rFont val="Times New Roman"/>
        <color theme="1"/>
        <sz val="12.0"/>
      </rPr>
      <t xml:space="preserve">Saloum pharma fact n° 002892 </t>
    </r>
    <r>
      <rPr>
        <rFont val="Times New Roman"/>
        <color rgb="FFFF0000"/>
        <sz val="12.0"/>
      </rPr>
      <t>11/05</t>
    </r>
  </si>
  <si>
    <r>
      <rPr>
        <rFont val="Times New Roman"/>
        <color theme="1"/>
        <sz val="12.0"/>
      </rPr>
      <t xml:space="preserve">Technologies services  FA262253 </t>
    </r>
    <r>
      <rPr>
        <rFont val="Times New Roman"/>
        <color rgb="FFFF0000"/>
        <sz val="12.0"/>
      </rPr>
      <t>11/05</t>
    </r>
  </si>
  <si>
    <r>
      <rPr>
        <rFont val="Times New Roman"/>
        <color theme="1"/>
        <sz val="12.0"/>
      </rPr>
      <t xml:space="preserve">Tasses à jeter médina </t>
    </r>
    <r>
      <rPr>
        <rFont val="Times New Roman"/>
        <color rgb="FFFF0000"/>
        <sz val="12.0"/>
      </rPr>
      <t>12/05</t>
    </r>
  </si>
  <si>
    <r>
      <rPr>
        <rFont val="Times New Roman"/>
        <color theme="1"/>
        <sz val="12.0"/>
      </rPr>
      <t xml:space="preserve">Collation ziguinchor </t>
    </r>
    <r>
      <rPr>
        <rFont val="Times New Roman"/>
        <color rgb="FFFF0000"/>
        <sz val="12.0"/>
      </rPr>
      <t>12/05</t>
    </r>
  </si>
  <si>
    <r>
      <rPr>
        <rFont val="Times New Roman"/>
        <color theme="1"/>
        <sz val="12.0"/>
      </rPr>
      <t xml:space="preserve">Staples recharge agrafeuse </t>
    </r>
    <r>
      <rPr>
        <rFont val="Times New Roman"/>
        <color rgb="FFFF0000"/>
        <sz val="12.0"/>
      </rPr>
      <t>13/05</t>
    </r>
  </si>
  <si>
    <r>
      <rPr>
        <rFont val="Times New Roman"/>
        <color theme="1"/>
        <sz val="12.0"/>
      </rPr>
      <t xml:space="preserve">Asma medic fact n° mai 72 </t>
    </r>
    <r>
      <rPr>
        <rFont val="Times New Roman"/>
        <color rgb="FFFF0000"/>
        <sz val="12.0"/>
      </rPr>
      <t>13/05</t>
    </r>
  </si>
  <si>
    <r>
      <rPr>
        <rFont val="Times New Roman"/>
        <color theme="1"/>
        <sz val="12.0"/>
      </rPr>
      <t xml:space="preserve">Carton papier A4 (04) </t>
    </r>
    <r>
      <rPr>
        <rFont val="Times New Roman"/>
        <color rgb="FFFF0000"/>
        <sz val="12.0"/>
      </rPr>
      <t>13/05</t>
    </r>
  </si>
  <si>
    <r>
      <rPr>
        <rFont val="Times New Roman"/>
        <color theme="1"/>
        <sz val="12.0"/>
      </rPr>
      <t xml:space="preserve">Mevin </t>
    </r>
    <r>
      <rPr>
        <rFont val="Times New Roman"/>
        <color rgb="FFFF0000"/>
        <sz val="12.0"/>
      </rPr>
      <t>15/05/</t>
    </r>
  </si>
  <si>
    <r>
      <rPr>
        <rFont val="Times New Roman"/>
        <color theme="1"/>
        <sz val="12.0"/>
      </rPr>
      <t xml:space="preserve">Produit dentaire + transport </t>
    </r>
    <r>
      <rPr>
        <rFont val="Times New Roman"/>
        <color rgb="FFFF0000"/>
        <sz val="12.0"/>
      </rPr>
      <t>18/05</t>
    </r>
  </si>
  <si>
    <r>
      <rPr>
        <rFont val="Times New Roman"/>
        <color theme="1"/>
        <sz val="12.0"/>
      </rPr>
      <t xml:space="preserve">Serpillière </t>
    </r>
    <r>
      <rPr>
        <rFont val="Times New Roman"/>
        <color rgb="FFFF0000"/>
        <sz val="12.0"/>
      </rPr>
      <t>19/05</t>
    </r>
  </si>
  <si>
    <r>
      <rPr>
        <rFont val="Times New Roman"/>
        <color theme="1"/>
        <sz val="12.0"/>
      </rPr>
      <t xml:space="preserve">Frais de transport  médicament  PNA </t>
    </r>
    <r>
      <rPr>
        <rFont val="Times New Roman"/>
        <color rgb="FFFF0000"/>
        <sz val="12.0"/>
      </rPr>
      <t>19/05</t>
    </r>
  </si>
  <si>
    <r>
      <rPr>
        <rFont val="Times New Roman"/>
        <color theme="1"/>
        <sz val="12.0"/>
      </rPr>
      <t xml:space="preserve">Frais de transport déchets </t>
    </r>
    <r>
      <rPr>
        <rFont val="Times New Roman"/>
        <color rgb="FFFF0000"/>
        <sz val="12.0"/>
      </rPr>
      <t>20/05</t>
    </r>
  </si>
  <si>
    <t>Achat de pair de  batterie téléphone et appareil téléphone fixe 21/05</t>
  </si>
  <si>
    <r>
      <rPr>
        <rFont val="Times New Roman"/>
        <color theme="1"/>
        <sz val="12.0"/>
      </rPr>
      <t>Achat de matériels médicaux</t>
    </r>
    <r>
      <rPr>
        <rFont val="Times New Roman"/>
        <color rgb="FFFF0000"/>
        <sz val="12.0"/>
      </rPr>
      <t xml:space="preserve"> 21/05</t>
    </r>
  </si>
  <si>
    <r>
      <rPr>
        <rFont val="Times New Roman"/>
        <color theme="1"/>
        <sz val="12.0"/>
      </rPr>
      <t>Eau demineralisee  FUT 20L</t>
    </r>
    <r>
      <rPr>
        <rFont val="Times New Roman"/>
        <color rgb="FFFF0000"/>
        <sz val="12.0"/>
      </rPr>
      <t xml:space="preserve"> 21/05</t>
    </r>
  </si>
  <si>
    <r>
      <rPr>
        <rFont val="Times New Roman"/>
        <color theme="1"/>
        <sz val="12.0"/>
      </rPr>
      <t xml:space="preserve">Baeaubab </t>
    </r>
    <r>
      <rPr>
        <rFont val="Times New Roman"/>
        <color rgb="FFFF0000"/>
        <sz val="12.0"/>
      </rPr>
      <t>22/05</t>
    </r>
  </si>
  <si>
    <r>
      <rPr>
        <rFont val="Times New Roman"/>
        <color theme="1"/>
        <sz val="12.0"/>
      </rPr>
      <t xml:space="preserve">Frais de transport du stagiaire  Melvin </t>
    </r>
    <r>
      <rPr>
        <rFont val="Times New Roman"/>
        <color rgb="FFFF0000"/>
        <sz val="12.0"/>
      </rPr>
      <t>22/05</t>
    </r>
  </si>
  <si>
    <r>
      <rPr>
        <rFont val="Times New Roman"/>
        <color theme="1"/>
        <sz val="12.0"/>
      </rPr>
      <t xml:space="preserve">Frais de transport du stagiaire Ramatoulaye </t>
    </r>
    <r>
      <rPr>
        <rFont val="Times New Roman"/>
        <color rgb="FFFF0000"/>
        <sz val="12.0"/>
      </rPr>
      <t>22/05</t>
    </r>
  </si>
  <si>
    <r>
      <rPr>
        <rFont val="Times New Roman"/>
        <color theme="1"/>
        <sz val="12.0"/>
      </rPr>
      <t xml:space="preserve">Frais de transport  du Awa sokhna </t>
    </r>
    <r>
      <rPr>
        <rFont val="Times New Roman"/>
        <color rgb="FFFF0000"/>
        <sz val="12.0"/>
      </rPr>
      <t>22/05</t>
    </r>
  </si>
  <si>
    <r>
      <rPr>
        <rFont val="Times New Roman"/>
        <color theme="1"/>
        <sz val="12.0"/>
      </rPr>
      <t>Achat de produit désinfectant + main d'oeuvre</t>
    </r>
    <r>
      <rPr>
        <rFont val="Times New Roman"/>
        <color rgb="FFFF0000"/>
        <sz val="12.0"/>
      </rPr>
      <t xml:space="preserve"> 22/05</t>
    </r>
  </si>
  <si>
    <r>
      <rPr>
        <rFont val="Times New Roman"/>
        <color theme="1"/>
        <sz val="12.0"/>
      </rPr>
      <t>Eau médina</t>
    </r>
    <r>
      <rPr>
        <rFont val="Times New Roman"/>
        <color rgb="FFFF0000"/>
        <sz val="12.0"/>
      </rPr>
      <t xml:space="preserve">  22/05</t>
    </r>
  </si>
  <si>
    <r>
      <rPr>
        <rFont val="Times New Roman"/>
        <color theme="1"/>
        <sz val="12.0"/>
      </rPr>
      <t xml:space="preserve">Open services fact n° 0026/0S/26 </t>
    </r>
    <r>
      <rPr>
        <rFont val="Times New Roman"/>
        <color rgb="FFFF0000"/>
        <sz val="12.0"/>
      </rPr>
      <t>26/05</t>
    </r>
  </si>
  <si>
    <t>Frais pour dev/conc plateforme gest cms caisse d'avance des évacuations sanitaires</t>
  </si>
  <si>
    <r>
      <rPr>
        <rFont val="Tahoma"/>
        <b/>
        <color theme="1"/>
        <sz val="12.0"/>
        <u/>
      </rPr>
      <t>Feuille de présence</t>
    </r>
    <r>
      <rPr>
        <rFont val="Tahoma"/>
        <b/>
        <color theme="1"/>
        <sz val="12.0"/>
      </rPr>
      <t xml:space="preserve"> 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</si>
</sst>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\ [$F CFA-280C]_-;\-* #,##0.00\ [$F CFA-280C]_-;_-* &quot;-&quot;??\ [$F CFA-280C]_-;_-@"/>
    <numFmt numFmtId="165" formatCode="#,##0_ ;\-#,##0\ "/>
    <numFmt numFmtId="166" formatCode="dd/mm"/>
  </numFmts>
  <fonts count="34">
    <font>
      <sz val="11.0"/>
      <color theme="1"/>
      <name val="Calibri"/>
      <scheme val="minor"/>
    </font>
    <font>
      <sz val="11.0"/>
      <color theme="1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b/>
      <u/>
      <sz val="14.0"/>
      <color theme="1"/>
      <name val="Times New Roman"/>
    </font>
    <font>
      <b/>
      <sz val="12.0"/>
      <color theme="1"/>
      <name val="Times New Roman"/>
    </font>
    <font>
      <u/>
      <sz val="12.0"/>
      <color theme="1"/>
      <name val="Times New Roman"/>
    </font>
    <font>
      <u/>
      <sz val="11.0"/>
      <color theme="1"/>
      <name val="Times New Roman"/>
    </font>
    <font>
      <b/>
      <sz val="11.0"/>
      <color theme="1"/>
      <name val="Times New Roman"/>
    </font>
    <font>
      <b/>
      <sz val="18.0"/>
      <color rgb="FFC00000"/>
      <name val="Times New Roman"/>
    </font>
    <font>
      <b/>
      <u/>
      <sz val="12.0"/>
      <color theme="1"/>
      <name val="Times New Roman"/>
    </font>
    <font>
      <sz val="18.0"/>
      <color theme="1"/>
      <name val="Times New Roman"/>
    </font>
    <font>
      <sz val="20.0"/>
      <color theme="1"/>
      <name val="Times New Roman"/>
    </font>
    <font>
      <b/>
      <sz val="20.0"/>
      <color rgb="FFC00000"/>
      <name val="Times New Roman"/>
    </font>
    <font/>
    <font>
      <sz val="11.0"/>
      <color theme="1"/>
      <name val="Calibri"/>
    </font>
    <font>
      <b/>
      <sz val="11.0"/>
      <color theme="1"/>
      <name val="Calibri"/>
    </font>
    <font>
      <b/>
      <u/>
      <sz val="14.0"/>
      <color theme="1"/>
      <name val="Times New Roman"/>
    </font>
    <font>
      <b/>
      <sz val="12.0"/>
      <color rgb="FFC00000"/>
      <name val="Times New Roman"/>
    </font>
    <font>
      <sz val="11.0"/>
      <color rgb="FFFF0000"/>
      <name val="Calibri"/>
    </font>
    <font>
      <color theme="1"/>
      <name val="Calibri"/>
      <scheme val="minor"/>
    </font>
    <font>
      <b/>
      <u/>
      <sz val="11.0"/>
      <color theme="1"/>
      <name val="Times New Roman"/>
    </font>
    <font>
      <b/>
      <sz val="14.0"/>
      <color rgb="FFC00000"/>
      <name val="Times New Roman"/>
    </font>
    <font>
      <b/>
      <sz val="16.0"/>
      <color rgb="FFC00000"/>
      <name val="Times New Roman"/>
    </font>
    <font>
      <sz val="12.0"/>
      <color theme="1"/>
      <name val="Calibri"/>
    </font>
    <font>
      <b/>
      <sz val="12.0"/>
      <color theme="1"/>
      <name val="Tahoma"/>
    </font>
    <font>
      <sz val="12.0"/>
      <color theme="1"/>
      <name val="Tahoma"/>
    </font>
    <font>
      <sz val="11.0"/>
      <color theme="1"/>
      <name val="Tahoma"/>
    </font>
    <font>
      <b/>
      <u/>
      <sz val="11.0"/>
      <color theme="1"/>
      <name val="Times New Roman"/>
    </font>
    <font>
      <u/>
      <sz val="11.0"/>
      <color rgb="FFFF0000"/>
      <name val="Times New Roman"/>
    </font>
    <font>
      <sz val="11.0"/>
      <color rgb="FFFF0000"/>
      <name val="Times New Roman"/>
    </font>
    <font>
      <b/>
      <color theme="1"/>
      <name val="Calibri"/>
      <scheme val="minor"/>
    </font>
    <font>
      <color rgb="FF000000"/>
      <name val="Calibri"/>
      <scheme val="minor"/>
    </font>
    <font>
      <u/>
      <sz val="11.0"/>
      <color rgb="FFFF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FF99"/>
        <bgColor rgb="FFFFFF99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1" numFmtId="3" xfId="0" applyAlignment="1" applyFont="1" applyNumberFormat="1">
      <alignment horizontal="right"/>
    </xf>
    <xf borderId="0" fillId="0" fontId="3" numFmtId="3" xfId="0" applyAlignment="1" applyFont="1" applyNumberFormat="1">
      <alignment horizontal="right" vertical="center"/>
    </xf>
    <xf borderId="1" fillId="2" fontId="3" numFmtId="0" xfId="0" applyAlignment="1" applyBorder="1" applyFill="1" applyFont="1">
      <alignment vertical="center"/>
    </xf>
    <xf borderId="1" fillId="2" fontId="1" numFmtId="0" xfId="0" applyBorder="1" applyFont="1"/>
    <xf borderId="1" fillId="2" fontId="1" numFmtId="3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0" fillId="0" fontId="3" numFmtId="3" xfId="0" applyAlignment="1" applyFont="1" applyNumberFormat="1">
      <alignment vertical="center"/>
    </xf>
    <xf borderId="1" fillId="2" fontId="3" numFmtId="3" xfId="0" applyAlignment="1" applyBorder="1" applyFont="1" applyNumberFormat="1">
      <alignment vertical="center"/>
    </xf>
    <xf borderId="0" fillId="0" fontId="7" numFmtId="0" xfId="0" applyFont="1"/>
    <xf borderId="1" fillId="2" fontId="5" numFmtId="0" xfId="0" applyAlignment="1" applyBorder="1" applyFont="1">
      <alignment vertical="center"/>
    </xf>
    <xf borderId="1" fillId="2" fontId="1" numFmtId="3" xfId="0" applyBorder="1" applyFont="1" applyNumberFormat="1"/>
    <xf borderId="0" fillId="0" fontId="5" numFmtId="3" xfId="0" applyAlignment="1" applyFont="1" applyNumberFormat="1">
      <alignment vertical="center"/>
    </xf>
    <xf borderId="1" fillId="3" fontId="5" numFmtId="0" xfId="0" applyAlignment="1" applyBorder="1" applyFill="1" applyFont="1">
      <alignment vertical="center"/>
    </xf>
    <xf borderId="1" fillId="3" fontId="1" numFmtId="0" xfId="0" applyBorder="1" applyFont="1"/>
    <xf borderId="1" fillId="3" fontId="1" numFmtId="3" xfId="0" applyBorder="1" applyFont="1" applyNumberFormat="1"/>
    <xf borderId="0" fillId="0" fontId="5" numFmtId="0" xfId="0" applyAlignment="1" applyFont="1">
      <alignment horizontal="left"/>
    </xf>
    <xf borderId="1" fillId="4" fontId="3" numFmtId="0" xfId="0" applyAlignment="1" applyBorder="1" applyFill="1" applyFont="1">
      <alignment vertical="center"/>
    </xf>
    <xf borderId="1" fillId="4" fontId="1" numFmtId="0" xfId="0" applyBorder="1" applyFont="1"/>
    <xf borderId="1" fillId="4" fontId="1" numFmtId="3" xfId="0" applyBorder="1" applyFont="1" applyNumberFormat="1"/>
    <xf borderId="0" fillId="0" fontId="3" numFmtId="0" xfId="0" applyAlignment="1" applyFont="1">
      <alignment horizontal="left" vertical="center"/>
    </xf>
    <xf borderId="1" fillId="5" fontId="1" numFmtId="0" xfId="0" applyBorder="1" applyFill="1" applyFont="1"/>
    <xf borderId="1" fillId="5" fontId="8" numFmtId="3" xfId="0" applyBorder="1" applyFont="1" applyNumberFormat="1"/>
    <xf borderId="1" fillId="4" fontId="9" numFmtId="0" xfId="0" applyAlignment="1" applyBorder="1" applyFont="1">
      <alignment vertical="center"/>
    </xf>
    <xf borderId="1" fillId="4" fontId="9" numFmtId="0" xfId="0" applyBorder="1" applyFont="1"/>
    <xf borderId="1" fillId="4" fontId="9" numFmtId="3" xfId="0" applyBorder="1" applyFont="1" applyNumberFormat="1"/>
    <xf borderId="0" fillId="0" fontId="5" numFmtId="49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1" fillId="6" fontId="5" numFmtId="0" xfId="0" applyAlignment="1" applyBorder="1" applyFill="1" applyFont="1">
      <alignment horizontal="left"/>
    </xf>
    <xf borderId="1" fillId="6" fontId="3" numFmtId="0" xfId="0" applyAlignment="1" applyBorder="1" applyFont="1">
      <alignment vertical="center"/>
    </xf>
    <xf borderId="1" fillId="6" fontId="1" numFmtId="0" xfId="0" applyBorder="1" applyFont="1"/>
    <xf borderId="1" fillId="6" fontId="1" numFmtId="3" xfId="0" applyBorder="1" applyFont="1" applyNumberFormat="1"/>
    <xf borderId="0" fillId="0" fontId="12" numFmtId="0" xfId="0" applyFont="1"/>
    <xf borderId="1" fillId="6" fontId="13" numFmtId="0" xfId="0" applyAlignment="1" applyBorder="1" applyFont="1">
      <alignment vertical="center"/>
    </xf>
    <xf borderId="1" fillId="6" fontId="13" numFmtId="0" xfId="0" applyBorder="1" applyFont="1"/>
    <xf borderId="1" fillId="6" fontId="13" numFmtId="3" xfId="0" applyBorder="1" applyFont="1" applyNumberFormat="1"/>
    <xf borderId="0" fillId="0" fontId="8" numFmtId="0" xfId="0" applyFont="1"/>
    <xf borderId="0" fillId="0" fontId="11" numFmtId="0" xfId="0" applyFont="1"/>
    <xf borderId="1" fillId="6" fontId="9" numFmtId="0" xfId="0" applyAlignment="1" applyBorder="1" applyFont="1">
      <alignment vertical="center"/>
    </xf>
    <xf borderId="1" fillId="6" fontId="9" numFmtId="0" xfId="0" applyBorder="1" applyFont="1"/>
    <xf borderId="1" fillId="6" fontId="9" numFmtId="3" xfId="0" applyBorder="1" applyFont="1" applyNumberFormat="1"/>
    <xf borderId="0" fillId="0" fontId="1" numFmtId="0" xfId="0" applyAlignment="1" applyFon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2" fillId="2" fontId="3" numFmtId="0" xfId="0" applyAlignment="1" applyBorder="1" applyFont="1">
      <alignment horizontal="center" vertical="center"/>
    </xf>
    <xf borderId="3" fillId="0" fontId="14" numFmtId="0" xfId="0" applyBorder="1" applyFont="1"/>
    <xf borderId="4" fillId="0" fontId="14" numFmtId="0" xfId="0" applyBorder="1" applyFont="1"/>
    <xf borderId="0" fillId="0" fontId="3" numFmtId="3" xfId="0" applyAlignment="1" applyFont="1" applyNumberFormat="1">
      <alignment horizontal="center" vertical="center"/>
    </xf>
    <xf borderId="0" fillId="0" fontId="3" numFmtId="49" xfId="0" applyAlignment="1" applyFont="1" applyNumberFormat="1">
      <alignment vertical="center"/>
    </xf>
    <xf borderId="0" fillId="0" fontId="1" numFmtId="49" xfId="0" applyFont="1" applyNumberFormat="1"/>
    <xf borderId="0" fillId="0" fontId="15" numFmtId="49" xfId="0" applyFont="1" applyNumberFormat="1"/>
    <xf borderId="1" fillId="7" fontId="16" numFmtId="0" xfId="0" applyBorder="1" applyFill="1" applyFont="1"/>
    <xf borderId="0" fillId="0" fontId="15" numFmtId="17" xfId="0" applyFont="1" applyNumberFormat="1"/>
    <xf borderId="0" fillId="0" fontId="15" numFmtId="3" xfId="0" applyFont="1" applyNumberFormat="1"/>
    <xf borderId="0" fillId="0" fontId="1" numFmtId="4" xfId="0" applyFont="1" applyNumberFormat="1"/>
    <xf borderId="0" fillId="0" fontId="3" numFmtId="3" xfId="0" applyAlignment="1" applyFont="1" applyNumberFormat="1">
      <alignment horizontal="right"/>
    </xf>
    <xf borderId="0" fillId="0" fontId="17" numFmtId="0" xfId="0" applyAlignment="1" applyFont="1">
      <alignment horizontal="center" shrinkToFit="0" vertical="center" wrapText="1"/>
    </xf>
    <xf borderId="1" fillId="3" fontId="3" numFmtId="3" xfId="0" applyBorder="1" applyFont="1" applyNumberFormat="1"/>
    <xf borderId="1" fillId="6" fontId="18" numFmtId="3" xfId="0" applyBorder="1" applyFont="1" applyNumberFormat="1"/>
    <xf borderId="0" fillId="0" fontId="19" numFmtId="0" xfId="0" applyFont="1"/>
    <xf borderId="0" fillId="0" fontId="20" numFmtId="0" xfId="0" applyFont="1"/>
    <xf borderId="1" fillId="2" fontId="8" numFmtId="3" xfId="0" applyAlignment="1" applyBorder="1" applyFont="1" applyNumberFormat="1">
      <alignment vertical="center"/>
    </xf>
    <xf borderId="1" fillId="2" fontId="5" numFmtId="3" xfId="0" applyAlignment="1" applyBorder="1" applyFont="1" applyNumberFormat="1">
      <alignment vertical="center"/>
    </xf>
    <xf borderId="1" fillId="3" fontId="5" numFmtId="3" xfId="0" applyBorder="1" applyFont="1" applyNumberFormat="1"/>
    <xf borderId="1" fillId="6" fontId="8" numFmtId="3" xfId="0" applyBorder="1" applyFont="1" applyNumberFormat="1"/>
    <xf borderId="1" fillId="5" fontId="8" numFmtId="0" xfId="0" applyBorder="1" applyFont="1"/>
    <xf borderId="0" fillId="0" fontId="5" numFmtId="3" xfId="0" applyFont="1" applyNumberFormat="1"/>
    <xf borderId="0" fillId="0" fontId="18" numFmtId="3" xfId="0" applyFont="1" applyNumberFormat="1"/>
    <xf borderId="0" fillId="0" fontId="21" numFmtId="0" xfId="0" applyAlignment="1" applyFont="1">
      <alignment horizontal="center" shrinkToFit="0" vertical="center" wrapText="1"/>
    </xf>
    <xf borderId="0" fillId="0" fontId="1" numFmtId="3" xfId="0" applyAlignment="1" applyFont="1" applyNumberFormat="1">
      <alignment horizontal="right" vertical="center"/>
    </xf>
    <xf borderId="0" fillId="0" fontId="3" numFmtId="3" xfId="0" applyFont="1" applyNumberFormat="1"/>
    <xf borderId="0" fillId="0" fontId="1" numFmtId="0" xfId="0" applyAlignment="1" applyFont="1">
      <alignment vertical="center"/>
    </xf>
    <xf borderId="0" fillId="0" fontId="1" numFmtId="3" xfId="0" applyAlignment="1" applyFont="1" applyNumberFormat="1">
      <alignment vertical="center"/>
    </xf>
    <xf borderId="0" fillId="0" fontId="8" numFmtId="3" xfId="0" applyFont="1" applyNumberFormat="1"/>
    <xf borderId="1" fillId="5" fontId="5" numFmtId="3" xfId="0" applyBorder="1" applyFont="1" applyNumberFormat="1"/>
    <xf borderId="1" fillId="6" fontId="8" numFmtId="17" xfId="0" applyBorder="1" applyFont="1" applyNumberFormat="1"/>
    <xf borderId="0" fillId="0" fontId="3" numFmtId="17" xfId="0" applyAlignment="1" applyFont="1" applyNumberFormat="1">
      <alignment horizontal="center" vertical="center"/>
    </xf>
    <xf borderId="2" fillId="6" fontId="9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2" fillId="6" fontId="22" numFmtId="3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 vertical="center"/>
    </xf>
    <xf borderId="2" fillId="6" fontId="8" numFmtId="0" xfId="0" applyAlignment="1" applyBorder="1" applyFont="1">
      <alignment horizontal="left" vertical="center"/>
    </xf>
    <xf borderId="1" fillId="6" fontId="8" numFmtId="0" xfId="0" applyAlignment="1" applyBorder="1" applyFont="1">
      <alignment horizontal="center" vertical="center"/>
    </xf>
    <xf borderId="1" fillId="6" fontId="23" numFmtId="0" xfId="0" applyAlignment="1" applyBorder="1" applyFont="1">
      <alignment vertical="center"/>
    </xf>
    <xf borderId="1" fillId="6" fontId="23" numFmtId="3" xfId="0" applyBorder="1" applyFont="1" applyNumberFormat="1"/>
    <xf borderId="0" fillId="0" fontId="3" numFmtId="0" xfId="0" applyFont="1"/>
    <xf borderId="0" fillId="0" fontId="24" numFmtId="0" xfId="0" applyFont="1"/>
    <xf borderId="0" fillId="0" fontId="8" numFmtId="49" xfId="0" applyAlignment="1" applyFont="1" applyNumberFormat="1">
      <alignment horizontal="center" shrinkToFit="0" vertical="center" wrapText="1"/>
    </xf>
    <xf borderId="0" fillId="0" fontId="5" numFmtId="0" xfId="0" applyFont="1"/>
    <xf borderId="0" fillId="0" fontId="3" numFmtId="0" xfId="0" applyAlignment="1" applyFont="1">
      <alignment readingOrder="0" vertical="center"/>
    </xf>
    <xf borderId="0" fillId="0" fontId="8" numFmtId="0" xfId="0" applyAlignment="1" applyFont="1">
      <alignment horizontal="left" shrinkToFit="0" vertical="top" wrapText="1"/>
    </xf>
    <xf borderId="0" fillId="0" fontId="20" numFmtId="0" xfId="0" applyAlignment="1" applyFont="1">
      <alignment readingOrder="0"/>
    </xf>
    <xf borderId="2" fillId="2" fontId="8" numFmtId="3" xfId="0" applyAlignment="1" applyBorder="1" applyFont="1" applyNumberFormat="1">
      <alignment horizontal="center" vertical="center"/>
    </xf>
    <xf borderId="2" fillId="2" fontId="5" numFmtId="3" xfId="0" applyAlignment="1" applyBorder="1" applyFont="1" applyNumberFormat="1">
      <alignment horizontal="center" vertical="center"/>
    </xf>
    <xf borderId="2" fillId="3" fontId="5" numFmtId="3" xfId="0" applyAlignment="1" applyBorder="1" applyFont="1" applyNumberFormat="1">
      <alignment horizontal="center"/>
    </xf>
    <xf borderId="2" fillId="6" fontId="8" numFmtId="3" xfId="0" applyAlignment="1" applyBorder="1" applyFont="1" applyNumberFormat="1">
      <alignment horizontal="center"/>
    </xf>
    <xf borderId="2" fillId="5" fontId="5" numFmtId="3" xfId="0" applyAlignment="1" applyBorder="1" applyFont="1" applyNumberFormat="1">
      <alignment horizontal="center"/>
    </xf>
    <xf borderId="2" fillId="6" fontId="23" numFmtId="3" xfId="0" applyAlignment="1" applyBorder="1" applyFont="1" applyNumberFormat="1">
      <alignment horizontal="center"/>
    </xf>
    <xf borderId="0" fillId="0" fontId="25" numFmtId="0" xfId="0" applyFont="1"/>
    <xf borderId="0" fillId="0" fontId="26" numFmtId="49" xfId="0" applyAlignment="1" applyFont="1" applyNumberFormat="1">
      <alignment vertical="center"/>
    </xf>
    <xf borderId="0" fillId="0" fontId="26" numFmtId="0" xfId="0" applyFont="1"/>
    <xf borderId="0" fillId="0" fontId="27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3" numFmtId="0" xfId="0" applyAlignment="1" applyFont="1">
      <alignment readingOrder="0" shrinkToFit="0" vertical="top" wrapText="1"/>
    </xf>
    <xf borderId="0" fillId="0" fontId="1" numFmtId="3" xfId="0" applyAlignment="1" applyFont="1" applyNumberFormat="1">
      <alignment horizontal="center" vertical="center"/>
    </xf>
    <xf borderId="0" fillId="0" fontId="3" numFmtId="0" xfId="0" applyAlignment="1" applyFont="1">
      <alignment horizontal="left" readingOrder="0" shrinkToFit="0" vertical="top" wrapText="1"/>
    </xf>
    <xf borderId="0" fillId="0" fontId="8" numFmtId="3" xfId="0" applyAlignment="1" applyFont="1" applyNumberFormat="1">
      <alignment horizontal="center"/>
    </xf>
    <xf borderId="0" fillId="0" fontId="1" numFmtId="165" xfId="0" applyFont="1" applyNumberFormat="1"/>
    <xf borderId="0" fillId="0" fontId="5" numFmtId="3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28" numFmtId="0" xfId="0" applyFont="1"/>
    <xf borderId="0" fillId="0" fontId="16" numFmtId="3" xfId="0" applyFont="1" applyNumberFormat="1"/>
    <xf borderId="0" fillId="0" fontId="8" numFmtId="164" xfId="0" applyFont="1" applyNumberFormat="1"/>
    <xf borderId="1" fillId="6" fontId="22" numFmtId="0" xfId="0" applyAlignment="1" applyBorder="1" applyFont="1">
      <alignment vertical="center"/>
    </xf>
    <xf borderId="0" fillId="0" fontId="8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5" numFmtId="3" xfId="0" applyAlignment="1" applyFont="1" applyNumberFormat="1">
      <alignment readingOrder="0"/>
    </xf>
    <xf borderId="1" fillId="6" fontId="8" numFmtId="0" xfId="0" applyAlignment="1" applyBorder="1" applyFont="1">
      <alignment readingOrder="0"/>
    </xf>
    <xf borderId="1" fillId="6" fontId="1" numFmtId="49" xfId="0" applyBorder="1" applyFont="1" applyNumberFormat="1"/>
    <xf borderId="1" fillId="6" fontId="15" numFmtId="0" xfId="0" applyBorder="1" applyFont="1"/>
    <xf borderId="1" fillId="6" fontId="3" numFmtId="0" xfId="0" applyBorder="1" applyFont="1"/>
    <xf borderId="1" fillId="6" fontId="3" numFmtId="49" xfId="0" applyAlignment="1" applyBorder="1" applyFont="1" applyNumberFormat="1">
      <alignment vertical="center"/>
    </xf>
    <xf borderId="1" fillId="6" fontId="1" numFmtId="3" xfId="0" applyAlignment="1" applyBorder="1" applyFont="1" applyNumberFormat="1">
      <alignment readingOrder="0"/>
    </xf>
    <xf borderId="1" fillId="8" fontId="8" numFmtId="0" xfId="0" applyAlignment="1" applyBorder="1" applyFill="1" applyFont="1">
      <alignment readingOrder="0"/>
    </xf>
    <xf borderId="1" fillId="8" fontId="1" numFmtId="49" xfId="0" applyBorder="1" applyFont="1" applyNumberFormat="1"/>
    <xf borderId="1" fillId="8" fontId="15" numFmtId="0" xfId="0" applyBorder="1" applyFont="1"/>
    <xf borderId="1" fillId="8" fontId="3" numFmtId="0" xfId="0" applyBorder="1" applyFont="1"/>
    <xf borderId="1" fillId="8" fontId="3" numFmtId="49" xfId="0" applyAlignment="1" applyBorder="1" applyFont="1" applyNumberFormat="1">
      <alignment vertical="center"/>
    </xf>
    <xf borderId="0" fillId="0" fontId="26" numFmtId="49" xfId="0" applyAlignment="1" applyFont="1" applyNumberFormat="1">
      <alignment readingOrder="0" vertical="center"/>
    </xf>
    <xf borderId="2" fillId="6" fontId="23" numFmtId="3" xfId="0" applyAlignment="1" applyBorder="1" applyFont="1" applyNumberFormat="1">
      <alignment horizontal="center" readingOrder="0"/>
    </xf>
    <xf borderId="0" fillId="0" fontId="5" numFmtId="0" xfId="0" applyAlignment="1" applyFont="1">
      <alignment horizontal="left" readingOrder="0" vertical="center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 vertical="center"/>
    </xf>
    <xf borderId="2" fillId="2" fontId="5" numFmtId="3" xfId="0" applyAlignment="1" applyBorder="1" applyFont="1" applyNumberFormat="1">
      <alignment horizontal="center" readingOrder="0" vertical="center"/>
    </xf>
    <xf borderId="0" fillId="0" fontId="29" numFmtId="16" xfId="0" applyFont="1" applyNumberFormat="1"/>
    <xf borderId="0" fillId="0" fontId="30" numFmtId="16" xfId="0" applyFont="1" applyNumberFormat="1"/>
    <xf borderId="0" fillId="0" fontId="31" numFmtId="0" xfId="0" applyFont="1"/>
    <xf borderId="0" fillId="0" fontId="32" numFmtId="0" xfId="0" applyFont="1"/>
    <xf borderId="0" fillId="0" fontId="30" numFmtId="166" xfId="0" applyAlignment="1" applyFont="1" applyNumberFormat="1">
      <alignment readingOrder="0"/>
    </xf>
    <xf borderId="0" fillId="0" fontId="33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2" fillId="3" fontId="5" numFmtId="3" xfId="0" applyAlignment="1" applyBorder="1" applyFont="1" applyNumberFormat="1">
      <alignment horizontal="center" readingOrder="0"/>
    </xf>
    <xf borderId="1" fillId="6" fontId="23" numFmtId="0" xfId="0" applyAlignment="1" applyBorder="1" applyFont="1">
      <alignment readingOrder="0" vertical="center"/>
    </xf>
    <xf borderId="1" fillId="8" fontId="8" numFmtId="0" xfId="0" applyBorder="1" applyFont="1"/>
    <xf borderId="0" fillId="0" fontId="3" numFmtId="3" xfId="0" applyAlignment="1" applyFont="1" applyNumberFormat="1">
      <alignment readingOrder="0"/>
    </xf>
    <xf borderId="0" fillId="3" fontId="5" numFmtId="0" xfId="0" applyAlignment="1" applyFont="1">
      <alignment vertical="center"/>
    </xf>
    <xf borderId="0" fillId="3" fontId="1" numFmtId="0" xfId="0" applyFont="1"/>
    <xf borderId="0" fillId="3" fontId="5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4" Type="http://customschemas.google.com/relationships/workbookmetadata" Target="metadata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14.0"/>
    <col customWidth="1" min="7" max="7" width="15.0"/>
    <col customWidth="1" min="8" max="26" width="11.43"/>
  </cols>
  <sheetData>
    <row r="1">
      <c r="A1" s="1"/>
      <c r="B1" s="1"/>
      <c r="C1" s="1"/>
      <c r="D1" s="1"/>
      <c r="E1" s="1"/>
      <c r="F1" s="1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/>
      <c r="C3" s="1"/>
      <c r="D3" s="1"/>
      <c r="E3" s="1"/>
      <c r="F3" s="1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1</v>
      </c>
      <c r="C4" s="1"/>
      <c r="D4" s="1"/>
      <c r="E4" s="1"/>
      <c r="F4" s="1"/>
      <c r="G4" s="2">
        <v>4845106.0</v>
      </c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/>
      <c r="C5" s="1"/>
      <c r="D5" s="1"/>
      <c r="E5" s="1"/>
      <c r="F5" s="1"/>
      <c r="G5" s="2"/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2</v>
      </c>
      <c r="B6" s="1"/>
      <c r="C6" s="1"/>
      <c r="D6" s="1"/>
      <c r="E6" s="1"/>
      <c r="F6" s="1"/>
      <c r="G6" s="2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3</v>
      </c>
      <c r="C7" s="1"/>
      <c r="D7" s="1"/>
      <c r="E7" s="1"/>
      <c r="F7" s="1"/>
      <c r="G7" s="7">
        <v>993300.0</v>
      </c>
      <c r="H7" s="2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4</v>
      </c>
      <c r="C8" s="1"/>
      <c r="D8" s="1"/>
      <c r="E8" s="1"/>
      <c r="F8" s="1"/>
      <c r="G8" s="7">
        <v>1298400.0</v>
      </c>
      <c r="H8" s="2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5</v>
      </c>
      <c r="C9" s="1"/>
      <c r="D9" s="1"/>
      <c r="E9" s="1"/>
      <c r="F9" s="1"/>
      <c r="G9" s="7">
        <v>1103200.0</v>
      </c>
      <c r="H9" s="2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6</v>
      </c>
      <c r="C10" s="1"/>
      <c r="D10" s="1"/>
      <c r="E10" s="1"/>
      <c r="F10" s="1"/>
      <c r="G10" s="8">
        <v>954400.0</v>
      </c>
      <c r="H10" s="2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7</v>
      </c>
      <c r="C11" s="1"/>
      <c r="D11" s="1"/>
      <c r="E11" s="4" t="s">
        <v>8</v>
      </c>
      <c r="F11" s="1"/>
      <c r="G11" s="7">
        <v>122500.0</v>
      </c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">
        <v>9</v>
      </c>
      <c r="C12" s="10"/>
      <c r="D12" s="10"/>
      <c r="E12" s="10"/>
      <c r="F12" s="10"/>
      <c r="G12" s="11">
        <f>SUM(G7:G11)</f>
        <v>4471800</v>
      </c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10</v>
      </c>
      <c r="B14" s="1"/>
      <c r="C14" s="1"/>
      <c r="D14" s="1"/>
      <c r="E14" s="1"/>
      <c r="F14" s="1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2" t="s">
        <v>11</v>
      </c>
      <c r="C15" s="1"/>
      <c r="D15" s="1"/>
      <c r="E15" s="1"/>
      <c r="F15" s="1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" t="s">
        <v>12</v>
      </c>
      <c r="C16" s="1"/>
      <c r="D16" s="1"/>
      <c r="E16" s="1"/>
      <c r="F16" s="1"/>
      <c r="G16" s="2">
        <v>74000.0</v>
      </c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" t="s">
        <v>13</v>
      </c>
      <c r="C17" s="1"/>
      <c r="D17" s="1"/>
      <c r="E17" s="1"/>
      <c r="F17" s="1"/>
      <c r="G17" s="13">
        <v>100000.0</v>
      </c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" t="s">
        <v>14</v>
      </c>
      <c r="C18" s="1"/>
      <c r="D18" s="1"/>
      <c r="E18" s="1"/>
      <c r="F18" s="1"/>
      <c r="G18" s="13">
        <v>100000.0</v>
      </c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" t="s">
        <v>15</v>
      </c>
      <c r="C19" s="1"/>
      <c r="D19" s="1"/>
      <c r="E19" s="1"/>
      <c r="F19" s="1"/>
      <c r="G19" s="2">
        <v>60000.0</v>
      </c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" t="s">
        <v>16</v>
      </c>
      <c r="C20" s="1"/>
      <c r="D20" s="1"/>
      <c r="E20" s="1"/>
      <c r="F20" s="1"/>
      <c r="G20" s="2">
        <v>60000.0</v>
      </c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4" t="s">
        <v>17</v>
      </c>
      <c r="C21" s="1"/>
      <c r="D21" s="1"/>
      <c r="E21" s="1"/>
      <c r="F21" s="1"/>
      <c r="G21" s="2">
        <v>50000.0</v>
      </c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9" t="s">
        <v>18</v>
      </c>
      <c r="C22" s="10"/>
      <c r="D22" s="10"/>
      <c r="E22" s="10"/>
      <c r="F22" s="10"/>
      <c r="G22" s="14">
        <f>SUM(G16:G21)</f>
        <v>444000</v>
      </c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2" t="s">
        <v>19</v>
      </c>
      <c r="C23" s="15"/>
      <c r="D23" s="1"/>
      <c r="E23" s="1"/>
      <c r="F23" s="1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" t="s">
        <v>20</v>
      </c>
      <c r="C24" s="1"/>
      <c r="D24" s="1"/>
      <c r="E24" s="1"/>
      <c r="F24" s="1"/>
      <c r="G24" s="7">
        <v>175100.0</v>
      </c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4" t="s">
        <v>21</v>
      </c>
      <c r="C25" s="1"/>
      <c r="D25" s="1"/>
      <c r="E25" s="1"/>
      <c r="F25" s="1"/>
      <c r="G25" s="7">
        <v>1000.0</v>
      </c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4" t="s">
        <v>22</v>
      </c>
      <c r="C26" s="1"/>
      <c r="D26" s="1"/>
      <c r="E26" s="1"/>
      <c r="F26" s="4"/>
      <c r="G26" s="7">
        <v>2000.0</v>
      </c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4" t="s">
        <v>23</v>
      </c>
      <c r="C27" s="1"/>
      <c r="D27" s="1"/>
      <c r="E27" s="1"/>
      <c r="F27" s="1"/>
      <c r="G27" s="7">
        <v>1000.0</v>
      </c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" t="s">
        <v>24</v>
      </c>
      <c r="C28" s="1"/>
      <c r="D28" s="1"/>
      <c r="E28" s="4"/>
      <c r="F28" s="1"/>
      <c r="G28" s="7">
        <v>4000.0</v>
      </c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" t="s">
        <v>25</v>
      </c>
      <c r="C29" s="1"/>
      <c r="D29" s="1"/>
      <c r="E29" s="1"/>
      <c r="F29" s="1"/>
      <c r="G29" s="7">
        <v>6000.0</v>
      </c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" t="s">
        <v>26</v>
      </c>
      <c r="C30" s="1"/>
      <c r="D30" s="1"/>
      <c r="E30" s="1"/>
      <c r="F30" s="1"/>
      <c r="G30" s="7">
        <v>2000.0</v>
      </c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4" t="s">
        <v>27</v>
      </c>
      <c r="C31" s="1"/>
      <c r="D31" s="1"/>
      <c r="E31" s="1"/>
      <c r="F31" s="1"/>
      <c r="G31" s="7">
        <v>5000.0</v>
      </c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" t="s">
        <v>28</v>
      </c>
      <c r="C32" s="1"/>
      <c r="D32" s="1"/>
      <c r="E32" s="1"/>
      <c r="F32" s="1"/>
      <c r="G32" s="7">
        <v>100000.0</v>
      </c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" t="s">
        <v>29</v>
      </c>
      <c r="C33" s="1"/>
      <c r="D33" s="1"/>
      <c r="E33" s="1"/>
      <c r="F33" s="1"/>
      <c r="G33" s="7">
        <v>12000.0</v>
      </c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" t="s">
        <v>30</v>
      </c>
      <c r="C34" s="1"/>
      <c r="D34" s="1"/>
      <c r="E34" s="1"/>
      <c r="F34" s="1"/>
      <c r="G34" s="7">
        <v>15000.0</v>
      </c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4" t="s">
        <v>31</v>
      </c>
      <c r="C35" s="1"/>
      <c r="D35" s="1"/>
      <c r="E35" s="1"/>
      <c r="F35" s="1"/>
      <c r="G35" s="7">
        <v>7000.0</v>
      </c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4" t="s">
        <v>32</v>
      </c>
      <c r="C36" s="1"/>
      <c r="D36" s="1"/>
      <c r="E36" s="1"/>
      <c r="F36" s="1"/>
      <c r="G36" s="7">
        <v>2000.0</v>
      </c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4" t="s">
        <v>33</v>
      </c>
      <c r="C37" s="1"/>
      <c r="D37" s="1"/>
      <c r="E37" s="1"/>
      <c r="F37" s="1"/>
      <c r="G37" s="7">
        <v>2000.0</v>
      </c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4" t="s">
        <v>34</v>
      </c>
      <c r="C38" s="1"/>
      <c r="D38" s="1"/>
      <c r="E38" s="1"/>
      <c r="F38" s="1"/>
      <c r="G38" s="7">
        <v>150000.0</v>
      </c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4" t="s">
        <v>35</v>
      </c>
      <c r="C39" s="1"/>
      <c r="D39" s="1"/>
      <c r="E39" s="1"/>
      <c r="F39" s="1"/>
      <c r="G39" s="7">
        <v>23000.0</v>
      </c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4" t="s">
        <v>36</v>
      </c>
      <c r="C40" s="1"/>
      <c r="D40" s="1"/>
      <c r="E40" s="1"/>
      <c r="F40" s="1"/>
      <c r="G40" s="7">
        <v>2000.0</v>
      </c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4" t="s">
        <v>37</v>
      </c>
      <c r="C41" s="1"/>
      <c r="D41" s="1"/>
      <c r="E41" s="1"/>
      <c r="F41" s="1"/>
      <c r="G41" s="7">
        <v>2000.0</v>
      </c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" t="s">
        <v>38</v>
      </c>
      <c r="C42" s="1"/>
      <c r="D42" s="1"/>
      <c r="E42" s="1"/>
      <c r="F42" s="1"/>
      <c r="G42" s="7">
        <v>20000.0</v>
      </c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4" t="s">
        <v>39</v>
      </c>
      <c r="C43" s="1"/>
      <c r="D43" s="1"/>
      <c r="E43" s="1"/>
      <c r="F43" s="1"/>
      <c r="G43" s="7">
        <v>3000.0</v>
      </c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" t="s">
        <v>40</v>
      </c>
      <c r="C44" s="1"/>
      <c r="D44" s="1"/>
      <c r="E44" s="1"/>
      <c r="F44" s="1"/>
      <c r="G44" s="7">
        <v>103000.0</v>
      </c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4" t="s">
        <v>41</v>
      </c>
      <c r="C45" s="1"/>
      <c r="D45" s="1"/>
      <c r="E45" s="1"/>
      <c r="F45" s="1"/>
      <c r="G45" s="7">
        <v>17500.0</v>
      </c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4" t="s">
        <v>42</v>
      </c>
      <c r="C46" s="1"/>
      <c r="D46" s="1"/>
      <c r="E46" s="1"/>
      <c r="F46" s="1"/>
      <c r="G46" s="7">
        <v>1000.0</v>
      </c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6" t="s">
        <v>43</v>
      </c>
      <c r="C47" s="10"/>
      <c r="D47" s="10"/>
      <c r="E47" s="10"/>
      <c r="F47" s="10"/>
      <c r="G47" s="17">
        <f>SUM(G24:G46)</f>
        <v>655600</v>
      </c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8" t="s">
        <v>44</v>
      </c>
      <c r="H48" s="18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9" t="s">
        <v>45</v>
      </c>
      <c r="C49" s="20"/>
      <c r="D49" s="20"/>
      <c r="E49" s="20"/>
      <c r="F49" s="20"/>
      <c r="G49" s="21">
        <f>SUM(G22,G47)</f>
        <v>1099600</v>
      </c>
      <c r="H49" s="18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4" t="s">
        <v>46</v>
      </c>
      <c r="C50" s="1"/>
      <c r="D50" s="1"/>
      <c r="E50" s="1"/>
      <c r="F50" s="1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2" t="s">
        <v>47</v>
      </c>
      <c r="B51" s="23"/>
      <c r="C51" s="24"/>
      <c r="D51" s="24"/>
      <c r="E51" s="24"/>
      <c r="F51" s="24"/>
      <c r="G51" s="25">
        <f>(G12-G49)</f>
        <v>3372200</v>
      </c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"/>
      <c r="C52" s="1"/>
      <c r="D52" s="1"/>
      <c r="E52" s="1"/>
      <c r="F52" s="1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2" t="s">
        <v>48</v>
      </c>
      <c r="B53" s="1"/>
      <c r="C53" s="1"/>
      <c r="D53" s="1"/>
      <c r="E53" s="1"/>
      <c r="F53" s="1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6" t="s">
        <v>49</v>
      </c>
      <c r="C54" s="1"/>
      <c r="D54" s="1"/>
      <c r="E54" s="1"/>
      <c r="F54" s="1"/>
      <c r="G54" s="2">
        <v>770000.0</v>
      </c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6" t="s">
        <v>50</v>
      </c>
      <c r="C55" s="1"/>
      <c r="D55" s="1"/>
      <c r="E55" s="1"/>
      <c r="F55" s="1"/>
      <c r="G55" s="2">
        <v>400000.0</v>
      </c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27" t="s">
        <v>51</v>
      </c>
      <c r="D56" s="27"/>
      <c r="E56" s="27"/>
      <c r="F56" s="27"/>
      <c r="G56" s="28">
        <f>SUM(G54:G55)</f>
        <v>1170000</v>
      </c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9" t="s">
        <v>52</v>
      </c>
      <c r="C58" s="30"/>
      <c r="D58" s="30"/>
      <c r="E58" s="30"/>
      <c r="F58" s="30"/>
      <c r="G58" s="31">
        <f>SUM(G4,G51,-G56)</f>
        <v>7047306</v>
      </c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32" t="s">
        <v>53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3" t="s">
        <v>54</v>
      </c>
      <c r="C68" s="1"/>
      <c r="D68" s="1"/>
      <c r="E68" s="1"/>
      <c r="F68" s="1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4"/>
      <c r="C69" s="1"/>
      <c r="D69" s="1"/>
      <c r="E69" s="1"/>
      <c r="F69" s="1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6" t="s">
        <v>55</v>
      </c>
      <c r="C70" s="1"/>
      <c r="D70" s="1"/>
      <c r="E70" s="1"/>
      <c r="F70" s="1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6"/>
      <c r="C71" s="1"/>
      <c r="D71" s="1"/>
      <c r="E71" s="1"/>
      <c r="F71" s="1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6" t="s">
        <v>56</v>
      </c>
      <c r="C72" s="1"/>
      <c r="D72" s="1"/>
      <c r="E72" s="1"/>
      <c r="F72" s="1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4"/>
      <c r="C73" s="1"/>
      <c r="D73" s="1"/>
      <c r="E73" s="1"/>
      <c r="F73" s="1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6" t="s">
        <v>57</v>
      </c>
      <c r="C74" s="1"/>
      <c r="D74" s="1"/>
      <c r="E74" s="1"/>
      <c r="F74" s="1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4"/>
      <c r="C75" s="1"/>
      <c r="D75" s="1"/>
      <c r="E75" s="1"/>
      <c r="F75" s="1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6" t="s">
        <v>58</v>
      </c>
      <c r="C76" s="1"/>
      <c r="D76" s="1"/>
      <c r="E76" s="1"/>
      <c r="F76" s="1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6"/>
      <c r="C77" s="1"/>
      <c r="D77" s="1"/>
      <c r="E77" s="1"/>
      <c r="F77" s="1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34" t="s">
        <v>59</v>
      </c>
      <c r="C78" s="1"/>
      <c r="D78" s="1"/>
      <c r="E78" s="1"/>
      <c r="F78" s="1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60:G6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14.0"/>
    <col customWidth="1" min="7" max="7" width="17.71"/>
    <col customWidth="1" min="8" max="26" width="11.43"/>
  </cols>
  <sheetData>
    <row r="1">
      <c r="A1" s="1"/>
      <c r="B1" s="1"/>
      <c r="C1" s="1"/>
      <c r="D1" s="1"/>
      <c r="E1" s="1"/>
      <c r="F1" s="1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60</v>
      </c>
      <c r="C2" s="1"/>
      <c r="D2" s="1"/>
      <c r="E2" s="1"/>
      <c r="F2" s="1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/>
      <c r="C3" s="1"/>
      <c r="D3" s="1"/>
      <c r="E3" s="1"/>
      <c r="F3" s="1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61</v>
      </c>
      <c r="C4" s="1"/>
      <c r="D4" s="1"/>
      <c r="E4" s="1"/>
      <c r="F4" s="1"/>
      <c r="G4" s="2">
        <v>7047306.0</v>
      </c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/>
      <c r="C5" s="1"/>
      <c r="D5" s="1"/>
      <c r="E5" s="1"/>
      <c r="F5" s="1"/>
      <c r="G5" s="2"/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62</v>
      </c>
      <c r="B6" s="1"/>
      <c r="C6" s="1"/>
      <c r="D6" s="1"/>
      <c r="E6" s="1"/>
      <c r="F6" s="1"/>
      <c r="G6" s="2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63</v>
      </c>
      <c r="C7" s="1"/>
      <c r="D7" s="1"/>
      <c r="E7" s="1"/>
      <c r="F7" s="1"/>
      <c r="G7" s="7">
        <v>603400.0</v>
      </c>
      <c r="H7" s="2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64</v>
      </c>
      <c r="C8" s="1"/>
      <c r="D8" s="1"/>
      <c r="E8" s="1"/>
      <c r="F8" s="1"/>
      <c r="G8" s="7">
        <v>1089000.0</v>
      </c>
      <c r="H8" s="2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65</v>
      </c>
      <c r="C9" s="1"/>
      <c r="D9" s="1"/>
      <c r="E9" s="1"/>
      <c r="F9" s="1"/>
      <c r="G9" s="7">
        <v>1036200.0</v>
      </c>
      <c r="H9" s="2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66</v>
      </c>
      <c r="C10" s="1"/>
      <c r="D10" s="1"/>
      <c r="E10" s="1"/>
      <c r="F10" s="1"/>
      <c r="G10" s="8">
        <v>1075900.0</v>
      </c>
      <c r="H10" s="2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67</v>
      </c>
      <c r="C11" s="1"/>
      <c r="D11" s="1"/>
      <c r="E11" s="4" t="s">
        <v>8</v>
      </c>
      <c r="F11" s="1"/>
      <c r="G11" s="7">
        <v>907400.0</v>
      </c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">
        <v>9</v>
      </c>
      <c r="C12" s="10"/>
      <c r="D12" s="10"/>
      <c r="E12" s="10"/>
      <c r="F12" s="10"/>
      <c r="G12" s="11">
        <f>SUM(G7:G11)</f>
        <v>4711900</v>
      </c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68</v>
      </c>
      <c r="B14" s="1"/>
      <c r="C14" s="1"/>
      <c r="D14" s="1"/>
      <c r="E14" s="1"/>
      <c r="F14" s="1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2" t="s">
        <v>11</v>
      </c>
      <c r="C15" s="1"/>
      <c r="D15" s="1"/>
      <c r="E15" s="1"/>
      <c r="F15" s="1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" t="s">
        <v>12</v>
      </c>
      <c r="C16" s="1"/>
      <c r="D16" s="1"/>
      <c r="E16" s="1" t="s">
        <v>69</v>
      </c>
      <c r="F16" s="1"/>
      <c r="G16" s="2">
        <v>98000.0</v>
      </c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" t="s">
        <v>13</v>
      </c>
      <c r="C17" s="1"/>
      <c r="D17" s="1"/>
      <c r="E17" s="1"/>
      <c r="F17" s="1"/>
      <c r="G17" s="13">
        <v>100000.0</v>
      </c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" t="s">
        <v>14</v>
      </c>
      <c r="C18" s="1"/>
      <c r="D18" s="1"/>
      <c r="E18" s="1"/>
      <c r="F18" s="1"/>
      <c r="G18" s="13">
        <v>100000.0</v>
      </c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" t="s">
        <v>15</v>
      </c>
      <c r="C19" s="1"/>
      <c r="D19" s="1"/>
      <c r="E19" s="1"/>
      <c r="F19" s="1"/>
      <c r="G19" s="2">
        <v>60000.0</v>
      </c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" t="s">
        <v>16</v>
      </c>
      <c r="C20" s="1"/>
      <c r="D20" s="1"/>
      <c r="E20" s="1"/>
      <c r="F20" s="1"/>
      <c r="G20" s="2">
        <v>60000.0</v>
      </c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4" t="s">
        <v>17</v>
      </c>
      <c r="C21" s="1"/>
      <c r="D21" s="1"/>
      <c r="E21" s="1"/>
      <c r="F21" s="1"/>
      <c r="G21" s="2">
        <v>50000.0</v>
      </c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4" t="s">
        <v>70</v>
      </c>
      <c r="C22" s="1"/>
      <c r="D22" s="1"/>
      <c r="E22" s="1"/>
      <c r="F22" s="1"/>
      <c r="G22" s="2">
        <v>50000.0</v>
      </c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9" t="s">
        <v>18</v>
      </c>
      <c r="C23" s="10"/>
      <c r="D23" s="10"/>
      <c r="E23" s="10"/>
      <c r="F23" s="10"/>
      <c r="G23" s="14">
        <f>SUM(G16:G22)</f>
        <v>518000</v>
      </c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2" t="s">
        <v>19</v>
      </c>
      <c r="C24" s="15"/>
      <c r="D24" s="1"/>
      <c r="E24" s="1"/>
      <c r="F24" s="1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4" t="s">
        <v>71</v>
      </c>
      <c r="C25" s="15"/>
      <c r="D25" s="1"/>
      <c r="E25" s="1"/>
      <c r="F25" s="1"/>
      <c r="G25" s="2">
        <v>2000.0</v>
      </c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4" t="s">
        <v>72</v>
      </c>
      <c r="C26" s="15"/>
      <c r="D26" s="1"/>
      <c r="E26" s="1"/>
      <c r="F26" s="1"/>
      <c r="G26" s="2">
        <v>245000.0</v>
      </c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4" t="s">
        <v>73</v>
      </c>
      <c r="C27" s="15"/>
      <c r="D27" s="1"/>
      <c r="E27" s="1"/>
      <c r="F27" s="1"/>
      <c r="G27" s="2">
        <v>5000.0</v>
      </c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" t="s">
        <v>74</v>
      </c>
      <c r="C28" s="15"/>
      <c r="D28" s="1"/>
      <c r="E28" s="1"/>
      <c r="F28" s="1"/>
      <c r="G28" s="2">
        <v>2000.0</v>
      </c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" t="s">
        <v>75</v>
      </c>
      <c r="C29" s="15"/>
      <c r="D29" s="1"/>
      <c r="E29" s="1"/>
      <c r="F29" s="1"/>
      <c r="G29" s="2">
        <v>100000.0</v>
      </c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" t="s">
        <v>76</v>
      </c>
      <c r="C30" s="15"/>
      <c r="D30" s="1"/>
      <c r="E30" s="1"/>
      <c r="F30" s="1"/>
      <c r="G30" s="2">
        <v>3000.0</v>
      </c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4" t="s">
        <v>77</v>
      </c>
      <c r="C31" s="15"/>
      <c r="D31" s="1"/>
      <c r="E31" s="1"/>
      <c r="F31" s="1"/>
      <c r="G31" s="2">
        <v>1000.0</v>
      </c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" t="s">
        <v>78</v>
      </c>
      <c r="C32" s="15"/>
      <c r="D32" s="1"/>
      <c r="E32" s="1"/>
      <c r="F32" s="1"/>
      <c r="G32" s="2">
        <v>10000.0</v>
      </c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" t="s">
        <v>79</v>
      </c>
      <c r="C33" s="15"/>
      <c r="D33" s="1"/>
      <c r="E33" s="1"/>
      <c r="F33" s="1"/>
      <c r="G33" s="2">
        <v>5000.0</v>
      </c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" t="s">
        <v>80</v>
      </c>
      <c r="C34" s="15"/>
      <c r="D34" s="1"/>
      <c r="E34" s="1"/>
      <c r="F34" s="1"/>
      <c r="G34" s="2">
        <v>118000.0</v>
      </c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4" t="s">
        <v>81</v>
      </c>
      <c r="C35" s="15"/>
      <c r="D35" s="1"/>
      <c r="E35" s="1"/>
      <c r="F35" s="1"/>
      <c r="G35" s="2">
        <v>35000.0</v>
      </c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4" t="s">
        <v>82</v>
      </c>
      <c r="C36" s="15"/>
      <c r="D36" s="1"/>
      <c r="E36" s="1"/>
      <c r="F36" s="1"/>
      <c r="G36" s="2">
        <v>1000.0</v>
      </c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4" t="s">
        <v>83</v>
      </c>
      <c r="C37" s="15"/>
      <c r="D37" s="1"/>
      <c r="E37" s="1"/>
      <c r="F37" s="1"/>
      <c r="G37" s="2">
        <v>2000.0</v>
      </c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4" t="s">
        <v>84</v>
      </c>
      <c r="C38" s="15"/>
      <c r="D38" s="1"/>
      <c r="E38" s="1"/>
      <c r="F38" s="1"/>
      <c r="G38" s="2">
        <v>17700.0</v>
      </c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4" t="s">
        <v>85</v>
      </c>
      <c r="C39" s="15"/>
      <c r="D39" s="1"/>
      <c r="E39" s="1"/>
      <c r="F39" s="1"/>
      <c r="G39" s="2">
        <v>1600.0</v>
      </c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4" t="s">
        <v>86</v>
      </c>
      <c r="C40" s="15"/>
      <c r="D40" s="1"/>
      <c r="E40" s="1"/>
      <c r="F40" s="1"/>
      <c r="G40" s="2">
        <v>6650.0</v>
      </c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4" t="s">
        <v>87</v>
      </c>
      <c r="C41" s="15"/>
      <c r="D41" s="1"/>
      <c r="E41" s="1"/>
      <c r="F41" s="1"/>
      <c r="G41" s="2">
        <v>2000.0</v>
      </c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" t="s">
        <v>88</v>
      </c>
      <c r="C42" s="15"/>
      <c r="D42" s="1"/>
      <c r="E42" s="1"/>
      <c r="F42" s="1"/>
      <c r="G42" s="2">
        <v>2500.0</v>
      </c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4" t="s">
        <v>89</v>
      </c>
      <c r="C43" s="15"/>
      <c r="D43" s="1"/>
      <c r="E43" s="1"/>
      <c r="F43" s="1"/>
      <c r="G43" s="2">
        <v>227500.0</v>
      </c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" t="s">
        <v>90</v>
      </c>
      <c r="C44" s="15"/>
      <c r="D44" s="1"/>
      <c r="E44" s="1"/>
      <c r="F44" s="1"/>
      <c r="G44" s="2">
        <v>637500.0</v>
      </c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4" t="s">
        <v>91</v>
      </c>
      <c r="C45" s="15"/>
      <c r="D45" s="1"/>
      <c r="E45" s="1"/>
      <c r="F45" s="1"/>
      <c r="G45" s="2">
        <v>126100.0</v>
      </c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4" t="s">
        <v>92</v>
      </c>
      <c r="C46" s="15"/>
      <c r="D46" s="1"/>
      <c r="E46" s="1"/>
      <c r="F46" s="1"/>
      <c r="G46" s="2">
        <v>2880.0</v>
      </c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4" t="s">
        <v>93</v>
      </c>
      <c r="C47" s="15"/>
      <c r="D47" s="1"/>
      <c r="E47" s="1"/>
      <c r="F47" s="1"/>
      <c r="G47" s="2">
        <v>350000.0</v>
      </c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4" t="s">
        <v>93</v>
      </c>
      <c r="C48" s="15"/>
      <c r="D48" s="1"/>
      <c r="E48" s="1"/>
      <c r="F48" s="1"/>
      <c r="G48" s="2">
        <v>187500.0</v>
      </c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4" t="s">
        <v>94</v>
      </c>
      <c r="C49" s="15"/>
      <c r="D49" s="1"/>
      <c r="E49" s="1"/>
      <c r="F49" s="1"/>
      <c r="G49" s="2">
        <v>58000.0</v>
      </c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4" t="s">
        <v>95</v>
      </c>
      <c r="C50" s="15"/>
      <c r="D50" s="1"/>
      <c r="E50" s="1"/>
      <c r="F50" s="1"/>
      <c r="G50" s="2">
        <v>2000.0</v>
      </c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" t="s">
        <v>96</v>
      </c>
      <c r="C51" s="15"/>
      <c r="D51" s="1"/>
      <c r="E51" s="1"/>
      <c r="F51" s="1"/>
      <c r="G51" s="2">
        <v>63000.0</v>
      </c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" t="s">
        <v>97</v>
      </c>
      <c r="C52" s="15"/>
      <c r="D52" s="1"/>
      <c r="E52" s="1"/>
      <c r="F52" s="1"/>
      <c r="G52" s="2">
        <v>30500.0</v>
      </c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" t="s">
        <v>98</v>
      </c>
      <c r="C53" s="15"/>
      <c r="D53" s="1"/>
      <c r="E53" s="1"/>
      <c r="F53" s="1"/>
      <c r="G53" s="2">
        <v>15000.0</v>
      </c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4" t="s">
        <v>99</v>
      </c>
      <c r="C54" s="15"/>
      <c r="D54" s="1"/>
      <c r="E54" s="1"/>
      <c r="F54" s="1"/>
      <c r="G54" s="2">
        <v>1500.0</v>
      </c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4" t="s">
        <v>75</v>
      </c>
      <c r="C55" s="15"/>
      <c r="D55" s="1"/>
      <c r="E55" s="1"/>
      <c r="F55" s="1"/>
      <c r="G55" s="2">
        <v>100000.0</v>
      </c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4" t="s">
        <v>100</v>
      </c>
      <c r="C56" s="15"/>
      <c r="D56" s="1"/>
      <c r="E56" s="1"/>
      <c r="F56" s="1"/>
      <c r="G56" s="2">
        <v>786820.0</v>
      </c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4" t="s">
        <v>101</v>
      </c>
      <c r="C57" s="15"/>
      <c r="D57" s="1"/>
      <c r="E57" s="1"/>
      <c r="F57" s="1"/>
      <c r="G57" s="2">
        <v>1000.0</v>
      </c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4" t="s">
        <v>102</v>
      </c>
      <c r="C58" s="15"/>
      <c r="D58" s="1"/>
      <c r="E58" s="1"/>
      <c r="F58" s="1"/>
      <c r="G58" s="2">
        <v>2000.0</v>
      </c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4" t="s">
        <v>103</v>
      </c>
      <c r="C59" s="15"/>
      <c r="D59" s="1"/>
      <c r="E59" s="1"/>
      <c r="F59" s="1"/>
      <c r="G59" s="2">
        <v>50000.0</v>
      </c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4" t="s">
        <v>104</v>
      </c>
      <c r="C60" s="15"/>
      <c r="D60" s="1"/>
      <c r="E60" s="1"/>
      <c r="F60" s="1"/>
      <c r="G60" s="2">
        <v>7500.0</v>
      </c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4" t="s">
        <v>105</v>
      </c>
      <c r="C61" s="15"/>
      <c r="D61" s="1"/>
      <c r="E61" s="1"/>
      <c r="F61" s="1"/>
      <c r="G61" s="2">
        <v>10000.0</v>
      </c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4" t="s">
        <v>106</v>
      </c>
      <c r="C62" s="15"/>
      <c r="D62" s="1"/>
      <c r="E62" s="1"/>
      <c r="F62" s="1"/>
      <c r="G62" s="2">
        <v>20000.0</v>
      </c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4" t="s">
        <v>107</v>
      </c>
      <c r="C63" s="15"/>
      <c r="D63" s="1"/>
      <c r="E63" s="1"/>
      <c r="F63" s="1"/>
      <c r="G63" s="2">
        <v>115000.0</v>
      </c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4" t="s">
        <v>78</v>
      </c>
      <c r="C64" s="15"/>
      <c r="D64" s="1"/>
      <c r="E64" s="1"/>
      <c r="F64" s="1"/>
      <c r="G64" s="2">
        <v>5000.0</v>
      </c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4" t="s">
        <v>108</v>
      </c>
      <c r="C65" s="15"/>
      <c r="D65" s="1"/>
      <c r="E65" s="1"/>
      <c r="F65" s="1"/>
      <c r="G65" s="2">
        <v>50000.0</v>
      </c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6" t="s">
        <v>43</v>
      </c>
      <c r="C66" s="10"/>
      <c r="D66" s="10"/>
      <c r="E66" s="10"/>
      <c r="F66" s="10"/>
      <c r="G66" s="17">
        <f>SUM(G25:G65)</f>
        <v>3408250</v>
      </c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8" t="s">
        <v>44</v>
      </c>
      <c r="H67" s="18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9" t="s">
        <v>45</v>
      </c>
      <c r="C68" s="20"/>
      <c r="D68" s="20"/>
      <c r="E68" s="20"/>
      <c r="F68" s="20"/>
      <c r="G68" s="21">
        <f>SUM(G23,G66)</f>
        <v>3926250</v>
      </c>
      <c r="H68" s="18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4" t="s">
        <v>46</v>
      </c>
      <c r="C69" s="1"/>
      <c r="D69" s="1"/>
      <c r="E69" s="1"/>
      <c r="F69" s="1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5" t="s">
        <v>109</v>
      </c>
      <c r="B70" s="36"/>
      <c r="C70" s="37"/>
      <c r="D70" s="37"/>
      <c r="E70" s="37"/>
      <c r="F70" s="37"/>
      <c r="G70" s="38">
        <f>(G12-G68)</f>
        <v>785650</v>
      </c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4"/>
      <c r="C71" s="1"/>
      <c r="D71" s="1"/>
      <c r="E71" s="1"/>
      <c r="F71" s="1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2" t="s">
        <v>48</v>
      </c>
      <c r="B72" s="1"/>
      <c r="C72" s="1"/>
      <c r="D72" s="1"/>
      <c r="E72" s="1"/>
      <c r="F72" s="1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2"/>
      <c r="B73" s="1" t="s">
        <v>110</v>
      </c>
      <c r="C73" s="1"/>
      <c r="D73" s="1"/>
      <c r="E73" s="1"/>
      <c r="F73" s="1"/>
      <c r="G73" s="2">
        <v>655000.0</v>
      </c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27" t="s">
        <v>51</v>
      </c>
      <c r="D74" s="27"/>
      <c r="E74" s="27"/>
      <c r="F74" s="27"/>
      <c r="G74" s="28">
        <v>655000.0</v>
      </c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39"/>
      <c r="B76" s="40" t="s">
        <v>111</v>
      </c>
      <c r="C76" s="41"/>
      <c r="D76" s="41"/>
      <c r="E76" s="41"/>
      <c r="F76" s="41"/>
      <c r="G76" s="42">
        <f>SUM(G4,G70,-G74)</f>
        <v>7177956</v>
      </c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32" t="s">
        <v>112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 t="s">
        <v>113</v>
      </c>
      <c r="D79" s="1"/>
      <c r="E79" s="1"/>
      <c r="F79" s="1"/>
      <c r="G79" s="1">
        <v>35200.0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 t="s">
        <v>114</v>
      </c>
      <c r="D80" s="1"/>
      <c r="E80" s="1"/>
      <c r="F80" s="1"/>
      <c r="G80" s="1">
        <v>99000.0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43" t="s">
        <v>115</v>
      </c>
      <c r="D81" s="1"/>
      <c r="E81" s="1"/>
      <c r="F81" s="1"/>
      <c r="G81" s="1">
        <f>SUM(G79,G80)</f>
        <v>134200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4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33" t="s">
        <v>116</v>
      </c>
      <c r="C83" s="1"/>
      <c r="D83" s="1"/>
      <c r="E83" s="1"/>
      <c r="F83" s="1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4"/>
      <c r="C84" s="1"/>
      <c r="D84" s="1"/>
      <c r="E84" s="1"/>
      <c r="F84" s="1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6" t="s">
        <v>117</v>
      </c>
      <c r="C85" s="1"/>
      <c r="D85" s="1"/>
      <c r="E85" s="1"/>
      <c r="F85" s="1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6"/>
      <c r="C86" s="1"/>
      <c r="D86" s="1"/>
      <c r="E86" s="1"/>
      <c r="F86" s="1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6" t="s">
        <v>118</v>
      </c>
      <c r="C87" s="1"/>
      <c r="D87" s="1"/>
      <c r="E87" s="1"/>
      <c r="F87" s="1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4"/>
      <c r="C88" s="1"/>
      <c r="D88" s="1"/>
      <c r="E88" s="1"/>
      <c r="F88" s="1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6" t="s">
        <v>119</v>
      </c>
      <c r="C89" s="1"/>
      <c r="D89" s="1"/>
      <c r="E89" s="1"/>
      <c r="F89" s="1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4"/>
      <c r="C90" s="1"/>
      <c r="D90" s="1"/>
      <c r="E90" s="1"/>
      <c r="F90" s="1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6" t="s">
        <v>120</v>
      </c>
      <c r="C91" s="1"/>
      <c r="D91" s="1"/>
      <c r="E91" s="1"/>
      <c r="F91" s="1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6"/>
      <c r="C92" s="1"/>
      <c r="D92" s="1"/>
      <c r="E92" s="1"/>
      <c r="F92" s="1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34" t="s">
        <v>121</v>
      </c>
      <c r="C93" s="1"/>
      <c r="D93" s="1"/>
      <c r="E93" s="1"/>
      <c r="F93" s="1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78:G7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43"/>
    <col customWidth="1" min="5" max="5" width="3.29"/>
    <col customWidth="1" min="6" max="6" width="9.29"/>
    <col customWidth="1" min="7" max="7" width="17.71"/>
    <col customWidth="1" min="8" max="26" width="10.71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s">
        <v>122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123</v>
      </c>
      <c r="C4" s="1"/>
      <c r="D4" s="1"/>
      <c r="E4" s="1"/>
      <c r="F4" s="1"/>
      <c r="G4" s="2">
        <v>7177956.0</v>
      </c>
    </row>
    <row r="5">
      <c r="A5" s="1"/>
      <c r="B5" s="4"/>
      <c r="C5" s="1"/>
      <c r="D5" s="1"/>
      <c r="E5" s="1"/>
      <c r="F5" s="1"/>
      <c r="G5" s="2"/>
    </row>
    <row r="6">
      <c r="A6" s="6" t="s">
        <v>124</v>
      </c>
      <c r="B6" s="1"/>
      <c r="C6" s="1"/>
      <c r="D6" s="1"/>
      <c r="E6" s="1"/>
      <c r="F6" s="1"/>
      <c r="G6" s="2"/>
    </row>
    <row r="7">
      <c r="A7" s="1"/>
      <c r="B7" s="4" t="s">
        <v>63</v>
      </c>
      <c r="C7" s="1"/>
      <c r="D7" s="1"/>
      <c r="E7" s="1"/>
      <c r="F7" s="1"/>
      <c r="G7" s="7">
        <v>1271500.0</v>
      </c>
    </row>
    <row r="8">
      <c r="A8" s="1"/>
      <c r="B8" s="4" t="s">
        <v>64</v>
      </c>
      <c r="C8" s="1"/>
      <c r="D8" s="1"/>
      <c r="E8" s="1"/>
      <c r="F8" s="1"/>
      <c r="G8" s="7">
        <v>1055000.0</v>
      </c>
    </row>
    <row r="9">
      <c r="A9" s="1"/>
      <c r="B9" s="4" t="s">
        <v>65</v>
      </c>
      <c r="C9" s="1"/>
      <c r="D9" s="1"/>
      <c r="E9" s="1"/>
      <c r="F9" s="1"/>
      <c r="G9" s="7">
        <v>968400.0</v>
      </c>
    </row>
    <row r="10">
      <c r="A10" s="1"/>
      <c r="B10" s="4" t="s">
        <v>66</v>
      </c>
      <c r="C10" s="1"/>
      <c r="D10" s="1"/>
      <c r="E10" s="1"/>
      <c r="F10" s="1"/>
      <c r="G10" s="8">
        <v>571700.0</v>
      </c>
    </row>
    <row r="11">
      <c r="A11" s="1"/>
      <c r="B11" s="4"/>
      <c r="C11" s="1"/>
      <c r="D11" s="1"/>
      <c r="E11" s="4" t="s">
        <v>8</v>
      </c>
      <c r="F11" s="1"/>
      <c r="G11" s="7"/>
    </row>
    <row r="12">
      <c r="A12" s="1"/>
      <c r="B12" s="9" t="s">
        <v>9</v>
      </c>
      <c r="C12" s="10"/>
      <c r="D12" s="10"/>
      <c r="E12" s="10"/>
      <c r="F12" s="10"/>
      <c r="G12" s="11">
        <f>SUM(G7:G11)</f>
        <v>3866600</v>
      </c>
    </row>
    <row r="13">
      <c r="A13" s="1"/>
      <c r="B13" s="1"/>
      <c r="C13" s="1"/>
      <c r="D13" s="1"/>
      <c r="E13" s="1"/>
      <c r="F13" s="1"/>
      <c r="G13" s="2"/>
    </row>
    <row r="14">
      <c r="A14" s="6" t="s">
        <v>125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12</v>
      </c>
      <c r="C16" s="1"/>
      <c r="D16" s="1"/>
      <c r="E16" s="1" t="s">
        <v>126</v>
      </c>
      <c r="F16" s="1"/>
      <c r="G16" s="2">
        <v>78000.0</v>
      </c>
    </row>
    <row r="17">
      <c r="A17" s="1"/>
      <c r="B17" s="4" t="s">
        <v>13</v>
      </c>
      <c r="C17" s="1"/>
      <c r="D17" s="1"/>
      <c r="E17" s="1"/>
      <c r="F17" s="1"/>
      <c r="G17" s="13">
        <v>100000.0</v>
      </c>
    </row>
    <row r="18">
      <c r="A18" s="1"/>
      <c r="B18" s="4" t="s">
        <v>14</v>
      </c>
      <c r="C18" s="1"/>
      <c r="D18" s="1"/>
      <c r="E18" s="1"/>
      <c r="F18" s="1"/>
      <c r="G18" s="13">
        <v>100000.0</v>
      </c>
    </row>
    <row r="19">
      <c r="A19" s="1"/>
      <c r="B19" s="4" t="s">
        <v>15</v>
      </c>
      <c r="C19" s="1"/>
      <c r="D19" s="1"/>
      <c r="E19" s="1"/>
      <c r="F19" s="1"/>
      <c r="G19" s="2">
        <v>60000.0</v>
      </c>
    </row>
    <row r="20">
      <c r="A20" s="1"/>
      <c r="B20" s="4" t="s">
        <v>16</v>
      </c>
      <c r="C20" s="1"/>
      <c r="D20" s="1"/>
      <c r="E20" s="1"/>
      <c r="F20" s="1"/>
      <c r="G20" s="2">
        <v>60000.0</v>
      </c>
    </row>
    <row r="21" ht="15.75" customHeight="1">
      <c r="A21" s="1"/>
      <c r="B21" s="4" t="s">
        <v>17</v>
      </c>
      <c r="C21" s="1"/>
      <c r="D21" s="1"/>
      <c r="E21" s="1"/>
      <c r="F21" s="1"/>
      <c r="G21" s="2">
        <v>50000.0</v>
      </c>
    </row>
    <row r="22" ht="15.75" customHeight="1">
      <c r="A22" s="1"/>
      <c r="B22" s="4" t="s">
        <v>70</v>
      </c>
      <c r="C22" s="1"/>
      <c r="D22" s="1"/>
      <c r="E22" s="1"/>
      <c r="F22" s="1"/>
      <c r="G22" s="2">
        <v>50000.0</v>
      </c>
    </row>
    <row r="23" ht="15.75" customHeight="1">
      <c r="A23" s="1"/>
      <c r="B23" s="9" t="s">
        <v>18</v>
      </c>
      <c r="C23" s="10"/>
      <c r="D23" s="10"/>
      <c r="E23" s="10"/>
      <c r="F23" s="10"/>
      <c r="G23" s="14">
        <f>SUM(G16:G22)</f>
        <v>498000</v>
      </c>
    </row>
    <row r="24" ht="15.75" customHeight="1">
      <c r="A24" s="1"/>
      <c r="B24" s="12" t="s">
        <v>19</v>
      </c>
      <c r="C24" s="15"/>
      <c r="D24" s="1"/>
      <c r="E24" s="1"/>
      <c r="F24" s="1"/>
      <c r="G24" s="2"/>
    </row>
    <row r="25" ht="15.75" customHeight="1">
      <c r="A25" s="1"/>
      <c r="B25" s="4" t="s">
        <v>127</v>
      </c>
      <c r="C25" s="15"/>
      <c r="D25" s="1"/>
      <c r="E25" s="1"/>
      <c r="F25" s="1"/>
      <c r="G25" s="2">
        <v>21500.0</v>
      </c>
    </row>
    <row r="26" ht="15.75" customHeight="1">
      <c r="A26" s="1"/>
      <c r="B26" s="4" t="s">
        <v>128</v>
      </c>
      <c r="C26" s="15"/>
      <c r="D26" s="1"/>
      <c r="E26" s="1"/>
      <c r="F26" s="1"/>
      <c r="G26" s="2">
        <v>14300.0</v>
      </c>
    </row>
    <row r="27" ht="15.75" customHeight="1">
      <c r="A27" s="1"/>
      <c r="B27" s="4" t="s">
        <v>129</v>
      </c>
      <c r="C27" s="15"/>
      <c r="D27" s="1"/>
      <c r="E27" s="1"/>
      <c r="F27" s="1"/>
      <c r="G27" s="2">
        <v>27500.0</v>
      </c>
    </row>
    <row r="28" ht="15.75" customHeight="1">
      <c r="A28" s="1"/>
      <c r="B28" s="4" t="s">
        <v>130</v>
      </c>
      <c r="C28" s="15"/>
      <c r="D28" s="1"/>
      <c r="E28" s="1"/>
      <c r="F28" s="1"/>
      <c r="G28" s="2">
        <v>15000.0</v>
      </c>
    </row>
    <row r="29" ht="15.75" customHeight="1">
      <c r="A29" s="1"/>
      <c r="B29" s="4" t="s">
        <v>131</v>
      </c>
      <c r="C29" s="15"/>
      <c r="D29" s="1"/>
      <c r="E29" s="1"/>
      <c r="F29" s="1"/>
      <c r="G29" s="2">
        <v>27500.0</v>
      </c>
    </row>
    <row r="30" ht="15.75" customHeight="1">
      <c r="A30" s="1"/>
      <c r="B30" s="4" t="s">
        <v>132</v>
      </c>
      <c r="C30" s="15"/>
      <c r="D30" s="1"/>
      <c r="E30" s="1"/>
      <c r="F30" s="1"/>
      <c r="G30" s="2">
        <v>2000.0</v>
      </c>
    </row>
    <row r="31" ht="15.75" customHeight="1">
      <c r="A31" s="1"/>
      <c r="B31" s="4" t="s">
        <v>133</v>
      </c>
      <c r="C31" s="15"/>
      <c r="D31" s="1"/>
      <c r="E31" s="1"/>
      <c r="F31" s="1"/>
      <c r="G31" s="2">
        <v>15000.0</v>
      </c>
    </row>
    <row r="32" ht="15.75" customHeight="1">
      <c r="A32" s="1"/>
      <c r="B32" s="4" t="s">
        <v>134</v>
      </c>
      <c r="C32" s="15"/>
      <c r="D32" s="1"/>
      <c r="E32" s="1"/>
      <c r="F32" s="1"/>
      <c r="G32" s="2">
        <v>2600.0</v>
      </c>
    </row>
    <row r="33" ht="15.75" customHeight="1">
      <c r="A33" s="1"/>
      <c r="B33" s="4" t="s">
        <v>135</v>
      </c>
      <c r="C33" s="15"/>
      <c r="D33" s="1"/>
      <c r="E33" s="1"/>
      <c r="F33" s="1"/>
      <c r="G33" s="2">
        <v>5000.0</v>
      </c>
    </row>
    <row r="34" ht="15.75" customHeight="1">
      <c r="A34" s="1"/>
      <c r="B34" s="4" t="s">
        <v>136</v>
      </c>
      <c r="C34" s="15"/>
      <c r="D34" s="1"/>
      <c r="E34" s="1"/>
      <c r="F34" s="1"/>
      <c r="G34" s="2">
        <v>220000.0</v>
      </c>
    </row>
    <row r="35" ht="15.75" customHeight="1">
      <c r="A35" s="1"/>
      <c r="B35" s="4" t="s">
        <v>137</v>
      </c>
      <c r="C35" s="15"/>
      <c r="D35" s="1"/>
      <c r="E35" s="1"/>
      <c r="F35" s="1"/>
      <c r="G35" s="2">
        <v>75000.0</v>
      </c>
    </row>
    <row r="36" ht="15.75" customHeight="1">
      <c r="A36" s="1"/>
      <c r="B36" s="4" t="s">
        <v>138</v>
      </c>
      <c r="C36" s="15"/>
      <c r="D36" s="1"/>
      <c r="E36" s="1"/>
      <c r="F36" s="1"/>
      <c r="G36" s="2">
        <v>12000.0</v>
      </c>
    </row>
    <row r="37" ht="15.75" customHeight="1">
      <c r="A37" s="1"/>
      <c r="B37" s="4" t="s">
        <v>139</v>
      </c>
      <c r="C37" s="15"/>
      <c r="D37" s="1"/>
      <c r="E37" s="1"/>
      <c r="F37" s="1"/>
      <c r="G37" s="2">
        <v>6000.0</v>
      </c>
    </row>
    <row r="38" ht="15.75" customHeight="1">
      <c r="A38" s="1"/>
      <c r="B38" s="4" t="s">
        <v>140</v>
      </c>
      <c r="C38" s="15"/>
      <c r="D38" s="1"/>
      <c r="E38" s="1"/>
      <c r="F38" s="1"/>
      <c r="G38" s="2">
        <v>1000.0</v>
      </c>
    </row>
    <row r="39" ht="15.75" customHeight="1">
      <c r="A39" s="1"/>
      <c r="B39" s="4" t="s">
        <v>141</v>
      </c>
      <c r="C39" s="15"/>
      <c r="D39" s="1"/>
      <c r="E39" s="1"/>
      <c r="F39" s="1"/>
      <c r="G39" s="2">
        <v>1000.0</v>
      </c>
    </row>
    <row r="40" ht="15.75" customHeight="1">
      <c r="A40" s="1"/>
      <c r="B40" s="4" t="s">
        <v>142</v>
      </c>
      <c r="C40" s="15"/>
      <c r="D40" s="1"/>
      <c r="E40" s="1"/>
      <c r="F40" s="1"/>
      <c r="G40" s="2">
        <v>3000.0</v>
      </c>
    </row>
    <row r="41" ht="15.75" customHeight="1">
      <c r="A41" s="1"/>
      <c r="B41" s="4" t="s">
        <v>143</v>
      </c>
      <c r="C41" s="15"/>
      <c r="D41" s="1"/>
      <c r="E41" s="1"/>
      <c r="F41" s="1"/>
      <c r="G41" s="2">
        <v>2000.0</v>
      </c>
    </row>
    <row r="42" ht="15.75" customHeight="1">
      <c r="A42" s="1"/>
      <c r="B42" s="4" t="s">
        <v>42</v>
      </c>
      <c r="C42" s="15"/>
      <c r="D42" s="1"/>
      <c r="E42" s="1"/>
      <c r="F42" s="1"/>
      <c r="G42" s="2">
        <v>1000.0</v>
      </c>
    </row>
    <row r="43" ht="15.75" customHeight="1">
      <c r="A43" s="1"/>
      <c r="B43" s="4" t="s">
        <v>144</v>
      </c>
      <c r="C43" s="15"/>
      <c r="D43" s="1"/>
      <c r="E43" s="1"/>
      <c r="F43" s="1"/>
      <c r="G43" s="2">
        <v>309000.0</v>
      </c>
    </row>
    <row r="44" ht="15.75" customHeight="1">
      <c r="A44" s="1"/>
      <c r="B44" s="4" t="s">
        <v>75</v>
      </c>
      <c r="C44" s="15"/>
      <c r="D44" s="1"/>
      <c r="E44" s="1"/>
      <c r="F44" s="1"/>
      <c r="G44" s="2">
        <v>100000.0</v>
      </c>
    </row>
    <row r="45" ht="15.75" customHeight="1">
      <c r="A45" s="1"/>
      <c r="B45" s="4" t="s">
        <v>145</v>
      </c>
      <c r="C45" s="15"/>
      <c r="D45" s="1"/>
      <c r="E45" s="1"/>
      <c r="F45" s="1"/>
      <c r="G45" s="2">
        <v>105000.0</v>
      </c>
    </row>
    <row r="46" ht="15.75" customHeight="1">
      <c r="A46" s="1"/>
      <c r="B46" s="4" t="s">
        <v>146</v>
      </c>
      <c r="C46" s="15"/>
      <c r="D46" s="1"/>
      <c r="E46" s="1"/>
      <c r="F46" s="1"/>
      <c r="G46" s="2">
        <v>6000.0</v>
      </c>
    </row>
    <row r="47" ht="15.75" customHeight="1">
      <c r="A47" s="1"/>
      <c r="B47" s="4" t="s">
        <v>147</v>
      </c>
      <c r="C47" s="15"/>
      <c r="D47" s="1"/>
      <c r="E47" s="1"/>
      <c r="F47" s="1"/>
      <c r="G47" s="2">
        <v>2000.0</v>
      </c>
    </row>
    <row r="48" ht="15.75" customHeight="1">
      <c r="A48" s="1"/>
      <c r="B48" s="4" t="s">
        <v>148</v>
      </c>
      <c r="C48" s="15"/>
      <c r="D48" s="1"/>
      <c r="E48" s="1"/>
      <c r="F48" s="1"/>
      <c r="G48" s="2">
        <v>152000.0</v>
      </c>
    </row>
    <row r="49" ht="15.75" customHeight="1">
      <c r="A49" s="1"/>
      <c r="B49" s="4" t="s">
        <v>149</v>
      </c>
      <c r="C49" s="15"/>
      <c r="D49" s="1"/>
      <c r="E49" s="1"/>
      <c r="F49" s="1"/>
      <c r="G49" s="2">
        <v>10000.0</v>
      </c>
    </row>
    <row r="50" ht="15.75" customHeight="1">
      <c r="A50" s="1"/>
      <c r="B50" s="4" t="s">
        <v>150</v>
      </c>
      <c r="C50" s="15"/>
      <c r="D50" s="1"/>
      <c r="E50" s="1"/>
      <c r="F50" s="1"/>
      <c r="G50" s="2">
        <v>1000.0</v>
      </c>
    </row>
    <row r="51" ht="15.75" customHeight="1">
      <c r="A51" s="1"/>
      <c r="B51" s="4" t="s">
        <v>151</v>
      </c>
      <c r="C51" s="15"/>
      <c r="D51" s="1"/>
      <c r="E51" s="1"/>
      <c r="F51" s="1"/>
      <c r="G51" s="2">
        <v>10000.0</v>
      </c>
    </row>
    <row r="52" ht="15.75" customHeight="1">
      <c r="A52" s="1"/>
      <c r="B52" s="4" t="s">
        <v>152</v>
      </c>
      <c r="C52" s="15"/>
      <c r="D52" s="1"/>
      <c r="E52" s="1"/>
      <c r="F52" s="1"/>
      <c r="G52" s="2">
        <v>2000.0</v>
      </c>
    </row>
    <row r="53" ht="15.75" customHeight="1">
      <c r="A53" s="1"/>
      <c r="B53" s="4" t="s">
        <v>153</v>
      </c>
      <c r="C53" s="15"/>
      <c r="D53" s="1"/>
      <c r="E53" s="1"/>
      <c r="F53" s="1"/>
      <c r="G53" s="2">
        <v>17280.0</v>
      </c>
    </row>
    <row r="54" ht="15.75" customHeight="1">
      <c r="A54" s="1"/>
      <c r="B54" s="4" t="s">
        <v>154</v>
      </c>
      <c r="C54" s="15"/>
      <c r="D54" s="1"/>
      <c r="E54" s="1"/>
      <c r="F54" s="1"/>
      <c r="G54" s="2">
        <v>621500.0</v>
      </c>
    </row>
    <row r="55" ht="15.75" customHeight="1">
      <c r="A55" s="1"/>
      <c r="B55" s="4" t="s">
        <v>155</v>
      </c>
      <c r="C55" s="15"/>
      <c r="D55" s="1"/>
      <c r="E55" s="1"/>
      <c r="F55" s="1"/>
      <c r="G55" s="2">
        <v>2000.0</v>
      </c>
    </row>
    <row r="56" ht="15.75" customHeight="1">
      <c r="A56" s="1"/>
      <c r="B56" s="4" t="s">
        <v>156</v>
      </c>
      <c r="C56" s="15"/>
      <c r="D56" s="1"/>
      <c r="E56" s="1"/>
      <c r="F56" s="1"/>
      <c r="G56" s="2">
        <v>2500.0</v>
      </c>
    </row>
    <row r="57" ht="15.75" customHeight="1">
      <c r="A57" s="1"/>
      <c r="B57" s="4" t="s">
        <v>157</v>
      </c>
      <c r="C57" s="15"/>
      <c r="D57" s="1"/>
      <c r="E57" s="1"/>
      <c r="F57" s="1"/>
      <c r="G57" s="2">
        <v>235500.0</v>
      </c>
    </row>
    <row r="58" ht="15.75" customHeight="1">
      <c r="A58" s="1"/>
      <c r="B58" s="4" t="s">
        <v>158</v>
      </c>
      <c r="C58" s="15"/>
      <c r="D58" s="1"/>
      <c r="E58" s="1"/>
      <c r="F58" s="1"/>
      <c r="G58" s="2">
        <v>92500.0</v>
      </c>
    </row>
    <row r="59" ht="15.75" customHeight="1">
      <c r="A59" s="1"/>
      <c r="B59" s="4" t="s">
        <v>159</v>
      </c>
      <c r="C59" s="15"/>
      <c r="D59" s="1"/>
      <c r="E59" s="1"/>
      <c r="F59" s="1"/>
      <c r="G59" s="2">
        <v>50500.0</v>
      </c>
    </row>
    <row r="60" ht="15.75" customHeight="1">
      <c r="A60" s="1"/>
      <c r="B60" s="4" t="s">
        <v>160</v>
      </c>
      <c r="C60" s="15"/>
      <c r="D60" s="1"/>
      <c r="E60" s="1"/>
      <c r="F60" s="1"/>
      <c r="G60" s="2">
        <v>12000.0</v>
      </c>
    </row>
    <row r="61" ht="15.75" customHeight="1">
      <c r="A61" s="1"/>
      <c r="B61" s="4" t="s">
        <v>161</v>
      </c>
      <c r="C61" s="15"/>
      <c r="D61" s="1"/>
      <c r="E61" s="1"/>
      <c r="F61" s="1"/>
      <c r="G61" s="2">
        <v>9900.0</v>
      </c>
    </row>
    <row r="62" ht="15.75" customHeight="1">
      <c r="A62" s="1"/>
      <c r="B62" s="4" t="s">
        <v>162</v>
      </c>
      <c r="C62" s="15"/>
      <c r="D62" s="1"/>
      <c r="E62" s="1"/>
      <c r="F62" s="1"/>
      <c r="G62" s="2">
        <v>54100.0</v>
      </c>
    </row>
    <row r="63" ht="15.75" customHeight="1">
      <c r="A63" s="1"/>
      <c r="B63" s="4"/>
      <c r="C63" s="15"/>
      <c r="D63" s="1"/>
      <c r="E63" s="1"/>
      <c r="F63" s="1"/>
      <c r="G63" s="2"/>
    </row>
    <row r="64" ht="15.75" customHeight="1">
      <c r="A64" s="1"/>
      <c r="B64" s="4"/>
      <c r="C64" s="15"/>
      <c r="D64" s="1"/>
      <c r="E64" s="1"/>
      <c r="F64" s="1"/>
      <c r="G64" s="2"/>
    </row>
    <row r="65" ht="15.75" customHeight="1">
      <c r="A65" s="1"/>
      <c r="B65" s="4"/>
      <c r="C65" s="15"/>
      <c r="D65" s="1"/>
      <c r="E65" s="1"/>
      <c r="F65" s="1"/>
      <c r="G65" s="2"/>
    </row>
    <row r="66" ht="15.75" customHeight="1">
      <c r="A66" s="1"/>
      <c r="B66" s="16" t="s">
        <v>43</v>
      </c>
      <c r="C66" s="10"/>
      <c r="D66" s="10"/>
      <c r="E66" s="10"/>
      <c r="F66" s="10"/>
      <c r="G66" s="17">
        <f>SUM(G25:G65)</f>
        <v>2246180</v>
      </c>
    </row>
    <row r="67" ht="15.75" customHeight="1">
      <c r="A67" s="1"/>
      <c r="B67" s="1"/>
      <c r="C67" s="1"/>
      <c r="D67" s="1"/>
      <c r="E67" s="1"/>
      <c r="F67" s="1"/>
      <c r="G67" s="18" t="s">
        <v>44</v>
      </c>
    </row>
    <row r="68" ht="15.75" customHeight="1">
      <c r="A68" s="1"/>
      <c r="B68" s="19" t="s">
        <v>45</v>
      </c>
      <c r="C68" s="20"/>
      <c r="D68" s="20"/>
      <c r="E68" s="20"/>
      <c r="F68" s="20"/>
      <c r="G68" s="21">
        <f>SUM(G23,G66)</f>
        <v>2744180</v>
      </c>
    </row>
    <row r="69" ht="15.75" customHeight="1">
      <c r="A69" s="1"/>
      <c r="B69" s="4" t="s">
        <v>46</v>
      </c>
      <c r="C69" s="1"/>
      <c r="D69" s="1"/>
      <c r="E69" s="1"/>
      <c r="F69" s="1"/>
      <c r="G69" s="2"/>
    </row>
    <row r="70" ht="15.75" customHeight="1">
      <c r="A70" s="35" t="s">
        <v>163</v>
      </c>
      <c r="B70" s="36"/>
      <c r="C70" s="37"/>
      <c r="D70" s="37"/>
      <c r="E70" s="37"/>
      <c r="F70" s="37"/>
      <c r="G70" s="38">
        <f>(G12-G68)</f>
        <v>1122420</v>
      </c>
    </row>
    <row r="71" ht="15.75" customHeight="1">
      <c r="A71" s="1"/>
      <c r="B71" s="4"/>
      <c r="C71" s="1"/>
      <c r="D71" s="1"/>
      <c r="E71" s="1"/>
      <c r="F71" s="1"/>
      <c r="G71" s="2"/>
    </row>
    <row r="72" ht="15.75" customHeight="1">
      <c r="A72" s="22"/>
      <c r="B72" s="1"/>
      <c r="C72" s="1"/>
      <c r="D72" s="1"/>
      <c r="E72" s="1"/>
      <c r="F72" s="1"/>
      <c r="G72" s="2"/>
    </row>
    <row r="73" ht="15.75" customHeight="1">
      <c r="A73" s="22"/>
      <c r="B73" s="1"/>
      <c r="C73" s="1"/>
      <c r="D73" s="1"/>
      <c r="E73" s="1"/>
      <c r="F73" s="1"/>
      <c r="G73" s="2"/>
    </row>
    <row r="74" ht="15.75" customHeight="1">
      <c r="A74" s="1"/>
      <c r="B74" s="1"/>
      <c r="C74" s="27"/>
      <c r="D74" s="27"/>
      <c r="E74" s="27"/>
      <c r="F74" s="27"/>
      <c r="G74" s="28"/>
    </row>
    <row r="75" ht="15.75" customHeight="1">
      <c r="A75" s="1"/>
      <c r="B75" s="1"/>
      <c r="C75" s="1"/>
      <c r="D75" s="1"/>
      <c r="E75" s="1"/>
      <c r="F75" s="1"/>
      <c r="G75" s="2"/>
    </row>
    <row r="76" ht="15.75" customHeight="1">
      <c r="A76" s="39"/>
      <c r="B76" s="40" t="s">
        <v>164</v>
      </c>
      <c r="C76" s="41"/>
      <c r="D76" s="41"/>
      <c r="E76" s="41"/>
      <c r="F76" s="41"/>
      <c r="G76" s="42">
        <f>SUM(G4,G70,-G74)</f>
        <v>8300376</v>
      </c>
    </row>
    <row r="77" ht="15.75" customHeight="1">
      <c r="A77" s="1"/>
      <c r="B77" s="1"/>
      <c r="C77" s="1"/>
      <c r="D77" s="1"/>
      <c r="E77" s="1"/>
      <c r="F77" s="1"/>
      <c r="G77" s="2"/>
    </row>
    <row r="78" ht="15.75" customHeight="1">
      <c r="A78" s="1"/>
      <c r="B78" s="32" t="s">
        <v>165</v>
      </c>
    </row>
    <row r="79" ht="15.75" customHeight="1">
      <c r="A79" s="1"/>
      <c r="B79" s="1"/>
      <c r="C79" s="1" t="s">
        <v>113</v>
      </c>
      <c r="D79" s="1"/>
      <c r="E79" s="1"/>
      <c r="F79" s="1"/>
      <c r="G79" s="1">
        <v>44400.0</v>
      </c>
    </row>
    <row r="80" ht="15.75" customHeight="1">
      <c r="A80" s="1"/>
      <c r="B80" s="1"/>
      <c r="C80" s="1" t="s">
        <v>114</v>
      </c>
      <c r="D80" s="1"/>
      <c r="E80" s="1"/>
      <c r="F80" s="1"/>
      <c r="G80" s="1">
        <v>122000.0</v>
      </c>
    </row>
    <row r="81" ht="15.75" customHeight="1">
      <c r="A81" s="1"/>
      <c r="B81" s="1"/>
      <c r="C81" s="43" t="s">
        <v>115</v>
      </c>
      <c r="D81" s="1"/>
      <c r="E81" s="1"/>
      <c r="F81" s="1"/>
      <c r="G81" s="1">
        <f>SUM(G79,G80)</f>
        <v>166400</v>
      </c>
    </row>
    <row r="82" ht="15.75" customHeight="1">
      <c r="A82" s="1"/>
      <c r="B82" s="1"/>
      <c r="C82" s="43"/>
      <c r="D82" s="1"/>
      <c r="E82" s="1"/>
      <c r="F82" s="1"/>
      <c r="G82" s="1"/>
    </row>
    <row r="83" ht="15.75" customHeight="1">
      <c r="A83" s="1"/>
      <c r="B83" s="33" t="s">
        <v>166</v>
      </c>
      <c r="C83" s="1"/>
      <c r="D83" s="1"/>
      <c r="E83" s="1"/>
      <c r="F83" s="1"/>
      <c r="G83" s="2"/>
    </row>
    <row r="84" ht="15.75" customHeight="1">
      <c r="A84" s="1"/>
      <c r="B84" s="4"/>
      <c r="C84" s="1"/>
      <c r="D84" s="1"/>
      <c r="E84" s="1"/>
      <c r="F84" s="1"/>
      <c r="G84" s="2"/>
    </row>
    <row r="85" ht="15.75" customHeight="1">
      <c r="A85" s="1"/>
      <c r="B85" s="26" t="s">
        <v>167</v>
      </c>
      <c r="C85" s="1"/>
      <c r="D85" s="1"/>
      <c r="E85" s="1"/>
      <c r="F85" s="1"/>
      <c r="G85" s="2"/>
    </row>
    <row r="86" ht="15.75" customHeight="1">
      <c r="A86" s="1"/>
      <c r="B86" s="26"/>
      <c r="C86" s="1"/>
      <c r="D86" s="1"/>
      <c r="E86" s="1"/>
      <c r="F86" s="1"/>
      <c r="G86" s="2"/>
    </row>
    <row r="87" ht="15.75" customHeight="1">
      <c r="A87" s="1"/>
      <c r="B87" s="26" t="s">
        <v>168</v>
      </c>
      <c r="C87" s="1"/>
      <c r="D87" s="1"/>
      <c r="E87" s="1"/>
      <c r="F87" s="1"/>
      <c r="G87" s="2"/>
    </row>
    <row r="88" ht="15.75" customHeight="1">
      <c r="A88" s="1"/>
      <c r="B88" s="4"/>
      <c r="C88" s="1"/>
      <c r="D88" s="1"/>
      <c r="E88" s="1"/>
      <c r="F88" s="1"/>
      <c r="G88" s="2"/>
    </row>
    <row r="89" ht="15.75" customHeight="1">
      <c r="A89" s="1"/>
      <c r="B89" s="26" t="s">
        <v>169</v>
      </c>
      <c r="C89" s="1"/>
      <c r="D89" s="1"/>
      <c r="E89" s="1"/>
      <c r="F89" s="1"/>
      <c r="G89" s="2"/>
    </row>
    <row r="90" ht="15.75" customHeight="1">
      <c r="A90" s="1"/>
      <c r="B90" s="4"/>
      <c r="C90" s="1"/>
      <c r="D90" s="1"/>
      <c r="E90" s="1"/>
      <c r="F90" s="1"/>
      <c r="G90" s="2"/>
    </row>
    <row r="91" ht="15.75" customHeight="1">
      <c r="A91" s="1"/>
      <c r="B91" s="26" t="s">
        <v>170</v>
      </c>
      <c r="C91" s="1"/>
      <c r="D91" s="1"/>
      <c r="E91" s="1"/>
      <c r="F91" s="1"/>
      <c r="G91" s="2"/>
    </row>
    <row r="92" ht="15.75" customHeight="1">
      <c r="A92" s="1"/>
      <c r="B92" s="26"/>
      <c r="C92" s="1"/>
      <c r="D92" s="1"/>
      <c r="E92" s="1"/>
      <c r="F92" s="1"/>
      <c r="G92" s="2"/>
    </row>
    <row r="93" ht="15.75" customHeight="1">
      <c r="A93" s="1"/>
      <c r="B93" s="34" t="s">
        <v>171</v>
      </c>
      <c r="C93" s="1"/>
      <c r="D93" s="1"/>
      <c r="E93" s="1"/>
      <c r="F93" s="1"/>
      <c r="G93" s="2"/>
    </row>
    <row r="94" ht="15.75" customHeight="1">
      <c r="A94" s="1"/>
      <c r="B94" s="1"/>
      <c r="C94" s="1"/>
      <c r="D94" s="1"/>
      <c r="E94" s="1"/>
      <c r="F94" s="1"/>
      <c r="G94" s="2"/>
    </row>
    <row r="95" ht="15.75" customHeight="1">
      <c r="A95" s="1"/>
      <c r="B95" s="1"/>
      <c r="C95" s="1"/>
      <c r="D95" s="1"/>
      <c r="E95" s="1"/>
      <c r="F95" s="1"/>
      <c r="G95" s="2"/>
    </row>
    <row r="96" ht="15.75" customHeight="1">
      <c r="A96" s="1"/>
      <c r="B96" s="1"/>
      <c r="C96" s="1"/>
      <c r="D96" s="1"/>
      <c r="E96" s="1"/>
      <c r="F96" s="1"/>
      <c r="G96" s="2"/>
    </row>
    <row r="97" ht="15.75" customHeight="1">
      <c r="A97" s="1"/>
      <c r="B97" s="1"/>
      <c r="C97" s="1"/>
      <c r="D97" s="1"/>
      <c r="E97" s="1"/>
      <c r="F97" s="1"/>
      <c r="G97" s="2"/>
    </row>
    <row r="98" ht="15.75" customHeight="1">
      <c r="A98" s="1"/>
      <c r="B98" s="1"/>
      <c r="C98" s="1"/>
      <c r="D98" s="1"/>
      <c r="E98" s="1"/>
      <c r="F98" s="1"/>
      <c r="G98" s="2"/>
    </row>
    <row r="99" ht="15.75" customHeight="1">
      <c r="A99" s="1"/>
      <c r="B99" s="1"/>
      <c r="C99" s="1"/>
      <c r="D99" s="1"/>
      <c r="E99" s="1"/>
      <c r="F99" s="1"/>
      <c r="G99" s="2"/>
    </row>
    <row r="100" ht="15.75" customHeight="1">
      <c r="A100" s="1"/>
      <c r="B100" s="1"/>
      <c r="C100" s="1"/>
      <c r="D100" s="1"/>
      <c r="E100" s="1"/>
      <c r="F100" s="1"/>
      <c r="G100" s="2"/>
    </row>
    <row r="101" ht="15.75" customHeight="1">
      <c r="A101" s="1"/>
      <c r="B101" s="1"/>
      <c r="C101" s="1"/>
      <c r="D101" s="1"/>
      <c r="E101" s="1"/>
      <c r="F101" s="1"/>
      <c r="G101" s="2"/>
    </row>
    <row r="102" ht="15.75" customHeight="1">
      <c r="A102" s="1"/>
      <c r="B102" s="1"/>
      <c r="C102" s="1"/>
      <c r="D102" s="1"/>
      <c r="E102" s="1"/>
      <c r="F102" s="1"/>
      <c r="G102" s="2"/>
    </row>
    <row r="103" ht="15.75" customHeight="1">
      <c r="A103" s="1"/>
      <c r="B103" s="1"/>
      <c r="C103" s="1"/>
      <c r="D103" s="1"/>
      <c r="E103" s="1"/>
      <c r="F103" s="1"/>
      <c r="G103" s="2"/>
    </row>
    <row r="104" ht="15.75" customHeight="1">
      <c r="A104" s="1"/>
      <c r="B104" s="1"/>
      <c r="C104" s="1"/>
      <c r="D104" s="1"/>
      <c r="E104" s="1"/>
      <c r="F104" s="1"/>
      <c r="G104" s="2"/>
    </row>
    <row r="105" ht="15.75" customHeight="1">
      <c r="A105" s="1"/>
      <c r="B105" s="1"/>
      <c r="C105" s="1"/>
      <c r="D105" s="1"/>
      <c r="E105" s="1"/>
      <c r="F105" s="1"/>
      <c r="G105" s="2"/>
    </row>
    <row r="106" ht="15.75" customHeight="1">
      <c r="A106" s="1"/>
      <c r="B106" s="1"/>
      <c r="C106" s="1"/>
      <c r="D106" s="1"/>
      <c r="E106" s="1"/>
      <c r="F106" s="1"/>
      <c r="G106" s="2"/>
    </row>
    <row r="107" ht="15.75" customHeight="1">
      <c r="A107" s="1"/>
      <c r="B107" s="1"/>
      <c r="C107" s="1"/>
      <c r="D107" s="1"/>
      <c r="E107" s="1"/>
      <c r="F107" s="1"/>
      <c r="G107" s="2"/>
    </row>
    <row r="108" ht="15.75" customHeight="1">
      <c r="A108" s="1"/>
      <c r="B108" s="1"/>
      <c r="C108" s="1"/>
      <c r="D108" s="1"/>
      <c r="E108" s="1"/>
      <c r="F108" s="1"/>
      <c r="G108" s="2"/>
    </row>
    <row r="109" ht="15.75" customHeight="1">
      <c r="A109" s="1"/>
      <c r="B109" s="1"/>
      <c r="C109" s="1"/>
      <c r="D109" s="1"/>
      <c r="E109" s="1"/>
      <c r="F109" s="1"/>
      <c r="G109" s="2"/>
    </row>
    <row r="110" ht="15.75" customHeight="1">
      <c r="A110" s="1"/>
      <c r="B110" s="1"/>
      <c r="C110" s="1"/>
      <c r="D110" s="1"/>
      <c r="E110" s="1"/>
      <c r="F110" s="1"/>
      <c r="G110" s="2"/>
    </row>
    <row r="111" ht="15.75" customHeight="1">
      <c r="A111" s="1"/>
      <c r="B111" s="1"/>
      <c r="C111" s="1"/>
      <c r="D111" s="1"/>
      <c r="E111" s="1"/>
      <c r="F111" s="1"/>
      <c r="G111" s="2"/>
    </row>
    <row r="112" ht="15.75" customHeight="1">
      <c r="A112" s="1"/>
      <c r="B112" s="1"/>
      <c r="C112" s="1"/>
      <c r="D112" s="1"/>
      <c r="E112" s="1"/>
      <c r="F112" s="1"/>
      <c r="G112" s="2"/>
    </row>
    <row r="113" ht="15.75" customHeight="1">
      <c r="A113" s="1"/>
      <c r="B113" s="1"/>
      <c r="C113" s="1"/>
      <c r="D113" s="1"/>
      <c r="E113" s="1"/>
      <c r="F113" s="1"/>
      <c r="G113" s="2"/>
    </row>
    <row r="114" ht="15.75" customHeight="1">
      <c r="A114" s="1"/>
      <c r="B114" s="1"/>
      <c r="C114" s="1"/>
      <c r="D114" s="1"/>
      <c r="E114" s="1"/>
      <c r="F114" s="1"/>
      <c r="G114" s="2"/>
    </row>
    <row r="115" ht="15.75" customHeight="1">
      <c r="A115" s="1"/>
      <c r="B115" s="1"/>
      <c r="C115" s="1"/>
      <c r="D115" s="1"/>
      <c r="E115" s="1"/>
      <c r="F115" s="1"/>
      <c r="G115" s="2"/>
    </row>
    <row r="116" ht="15.75" customHeight="1">
      <c r="A116" s="1"/>
      <c r="B116" s="1"/>
      <c r="C116" s="1"/>
      <c r="D116" s="1"/>
      <c r="E116" s="1"/>
      <c r="F116" s="1"/>
      <c r="G116" s="2"/>
    </row>
    <row r="117" ht="15.75" customHeight="1">
      <c r="A117" s="1"/>
      <c r="B117" s="1"/>
      <c r="C117" s="1"/>
      <c r="D117" s="1"/>
      <c r="E117" s="1"/>
      <c r="F117" s="1"/>
      <c r="G117" s="2"/>
    </row>
    <row r="118" ht="15.75" customHeight="1">
      <c r="A118" s="1"/>
      <c r="B118" s="1"/>
      <c r="C118" s="1"/>
      <c r="D118" s="1"/>
      <c r="E118" s="1"/>
      <c r="F118" s="1"/>
      <c r="G118" s="2"/>
    </row>
    <row r="119" ht="15.75" customHeight="1">
      <c r="A119" s="1"/>
      <c r="B119" s="1"/>
      <c r="C119" s="1"/>
      <c r="D119" s="1"/>
      <c r="E119" s="1"/>
      <c r="F119" s="1"/>
      <c r="G119" s="2"/>
    </row>
    <row r="120" ht="15.75" customHeight="1">
      <c r="A120" s="1"/>
      <c r="B120" s="1"/>
      <c r="C120" s="1"/>
      <c r="D120" s="1"/>
      <c r="E120" s="1"/>
      <c r="F120" s="1"/>
      <c r="G120" s="2"/>
    </row>
    <row r="121" ht="15.75" customHeight="1">
      <c r="A121" s="1"/>
      <c r="B121" s="1"/>
      <c r="C121" s="1"/>
      <c r="D121" s="1"/>
      <c r="E121" s="1"/>
      <c r="F121" s="1"/>
      <c r="G121" s="2"/>
    </row>
    <row r="122" ht="15.75" customHeight="1">
      <c r="A122" s="1"/>
      <c r="B122" s="1"/>
      <c r="C122" s="1"/>
      <c r="D122" s="1"/>
      <c r="E122" s="1"/>
      <c r="F122" s="1"/>
      <c r="G122" s="2"/>
    </row>
    <row r="123" ht="15.75" customHeight="1">
      <c r="A123" s="1"/>
      <c r="B123" s="1"/>
      <c r="C123" s="1"/>
      <c r="D123" s="1"/>
      <c r="E123" s="1"/>
      <c r="F123" s="1"/>
      <c r="G123" s="2"/>
    </row>
    <row r="124" ht="15.75" customHeight="1">
      <c r="A124" s="1"/>
      <c r="B124" s="1"/>
      <c r="C124" s="1"/>
      <c r="D124" s="1"/>
      <c r="E124" s="1"/>
      <c r="F124" s="1"/>
      <c r="G124" s="2"/>
    </row>
    <row r="125" ht="15.75" customHeight="1">
      <c r="A125" s="1"/>
      <c r="B125" s="1"/>
      <c r="C125" s="1"/>
      <c r="D125" s="1"/>
      <c r="E125" s="1"/>
      <c r="F125" s="1"/>
      <c r="G125" s="2"/>
    </row>
    <row r="126" ht="15.75" customHeight="1">
      <c r="A126" s="1"/>
      <c r="B126" s="1"/>
      <c r="C126" s="1"/>
      <c r="D126" s="1"/>
      <c r="E126" s="1"/>
      <c r="F126" s="1"/>
      <c r="G126" s="2"/>
    </row>
    <row r="127" ht="15.75" customHeight="1">
      <c r="A127" s="1"/>
      <c r="B127" s="1"/>
      <c r="C127" s="1"/>
      <c r="D127" s="1"/>
      <c r="E127" s="1"/>
      <c r="F127" s="1"/>
      <c r="G127" s="2"/>
    </row>
    <row r="128" ht="15.75" customHeight="1">
      <c r="A128" s="1"/>
      <c r="B128" s="1"/>
      <c r="C128" s="1"/>
      <c r="D128" s="1"/>
      <c r="E128" s="1"/>
      <c r="F128" s="1"/>
      <c r="G128" s="2"/>
    </row>
    <row r="129" ht="15.75" customHeight="1">
      <c r="A129" s="1"/>
      <c r="B129" s="1"/>
      <c r="C129" s="1"/>
      <c r="D129" s="1"/>
      <c r="E129" s="1"/>
      <c r="F129" s="1"/>
      <c r="G129" s="2"/>
    </row>
    <row r="130" ht="15.75" customHeight="1">
      <c r="A130" s="1"/>
      <c r="B130" s="1"/>
      <c r="C130" s="1"/>
      <c r="D130" s="1"/>
      <c r="E130" s="1"/>
      <c r="F130" s="1"/>
      <c r="G130" s="2"/>
    </row>
    <row r="131" ht="15.75" customHeight="1">
      <c r="A131" s="1"/>
      <c r="B131" s="1"/>
      <c r="C131" s="1"/>
      <c r="D131" s="1"/>
      <c r="E131" s="1"/>
      <c r="F131" s="1"/>
      <c r="G131" s="2"/>
    </row>
    <row r="132" ht="15.75" customHeight="1">
      <c r="A132" s="1"/>
      <c r="B132" s="1"/>
      <c r="C132" s="1"/>
      <c r="D132" s="1"/>
      <c r="E132" s="1"/>
      <c r="F132" s="1"/>
      <c r="G132" s="2"/>
    </row>
    <row r="133" ht="15.75" customHeight="1">
      <c r="A133" s="1"/>
      <c r="B133" s="1"/>
      <c r="C133" s="1"/>
      <c r="D133" s="1"/>
      <c r="E133" s="1"/>
      <c r="F133" s="1"/>
      <c r="G133" s="2"/>
    </row>
    <row r="134" ht="15.75" customHeight="1">
      <c r="A134" s="1"/>
      <c r="B134" s="1"/>
      <c r="C134" s="1"/>
      <c r="D134" s="1"/>
      <c r="E134" s="1"/>
      <c r="F134" s="1"/>
      <c r="G134" s="2"/>
    </row>
    <row r="135" ht="15.75" customHeight="1">
      <c r="A135" s="1"/>
      <c r="B135" s="1"/>
      <c r="C135" s="1"/>
      <c r="D135" s="1"/>
      <c r="E135" s="1"/>
      <c r="F135" s="1"/>
      <c r="G135" s="2"/>
    </row>
    <row r="136" ht="15.75" customHeight="1">
      <c r="A136" s="1"/>
      <c r="B136" s="1"/>
      <c r="C136" s="1"/>
      <c r="D136" s="1"/>
      <c r="E136" s="1"/>
      <c r="F136" s="1"/>
      <c r="G136" s="2"/>
    </row>
    <row r="137" ht="15.75" customHeight="1">
      <c r="A137" s="1"/>
      <c r="B137" s="1"/>
      <c r="C137" s="1"/>
      <c r="D137" s="1"/>
      <c r="E137" s="1"/>
      <c r="F137" s="1"/>
      <c r="G137" s="2"/>
    </row>
    <row r="138" ht="15.75" customHeight="1">
      <c r="A138" s="1"/>
      <c r="B138" s="1"/>
      <c r="C138" s="1"/>
      <c r="D138" s="1"/>
      <c r="E138" s="1"/>
      <c r="F138" s="1"/>
      <c r="G138" s="2"/>
    </row>
    <row r="139" ht="15.75" customHeight="1">
      <c r="A139" s="1"/>
      <c r="B139" s="1"/>
      <c r="C139" s="1"/>
      <c r="D139" s="1"/>
      <c r="E139" s="1"/>
      <c r="F139" s="1"/>
      <c r="G139" s="2"/>
    </row>
    <row r="140" ht="15.75" customHeight="1">
      <c r="A140" s="1"/>
      <c r="B140" s="1"/>
      <c r="C140" s="1"/>
      <c r="D140" s="1"/>
      <c r="E140" s="1"/>
      <c r="F140" s="1"/>
      <c r="G140" s="2"/>
    </row>
    <row r="141" ht="15.75" customHeight="1">
      <c r="A141" s="1"/>
      <c r="B141" s="1"/>
      <c r="C141" s="1"/>
      <c r="D141" s="1"/>
      <c r="E141" s="1"/>
      <c r="F141" s="1"/>
      <c r="G141" s="2"/>
    </row>
    <row r="142" ht="15.75" customHeight="1">
      <c r="A142" s="1"/>
      <c r="B142" s="1"/>
      <c r="C142" s="1"/>
      <c r="D142" s="1"/>
      <c r="E142" s="1"/>
      <c r="F142" s="1"/>
      <c r="G142" s="2"/>
    </row>
    <row r="143" ht="15.75" customHeight="1">
      <c r="A143" s="1"/>
      <c r="B143" s="1"/>
      <c r="C143" s="1"/>
      <c r="D143" s="1"/>
      <c r="E143" s="1"/>
      <c r="F143" s="1"/>
      <c r="G143" s="2"/>
    </row>
    <row r="144" ht="15.75" customHeight="1">
      <c r="A144" s="1"/>
      <c r="B144" s="1"/>
      <c r="C144" s="1"/>
      <c r="D144" s="1"/>
      <c r="E144" s="1"/>
      <c r="F144" s="1"/>
      <c r="G144" s="2"/>
    </row>
    <row r="145" ht="15.75" customHeight="1">
      <c r="A145" s="1"/>
      <c r="B145" s="1"/>
      <c r="C145" s="1"/>
      <c r="D145" s="1"/>
      <c r="E145" s="1"/>
      <c r="F145" s="1"/>
      <c r="G145" s="2"/>
    </row>
    <row r="146" ht="15.75" customHeight="1">
      <c r="A146" s="1"/>
      <c r="B146" s="1"/>
      <c r="C146" s="1"/>
      <c r="D146" s="1"/>
      <c r="E146" s="1"/>
      <c r="F146" s="1"/>
      <c r="G146" s="2"/>
    </row>
    <row r="147" ht="15.75" customHeight="1">
      <c r="A147" s="1"/>
      <c r="B147" s="1"/>
      <c r="C147" s="1"/>
      <c r="D147" s="1"/>
      <c r="E147" s="1"/>
      <c r="F147" s="1"/>
      <c r="G147" s="2"/>
    </row>
    <row r="148" ht="15.75" customHeight="1">
      <c r="A148" s="1"/>
      <c r="B148" s="1"/>
      <c r="C148" s="1"/>
      <c r="D148" s="1"/>
      <c r="E148" s="1"/>
      <c r="F148" s="1"/>
      <c r="G148" s="2"/>
    </row>
    <row r="149" ht="15.75" customHeight="1">
      <c r="A149" s="1"/>
      <c r="B149" s="1"/>
      <c r="C149" s="1"/>
      <c r="D149" s="1"/>
      <c r="E149" s="1"/>
      <c r="F149" s="1"/>
      <c r="G149" s="2"/>
    </row>
    <row r="150" ht="15.75" customHeight="1">
      <c r="A150" s="1"/>
      <c r="B150" s="1"/>
      <c r="C150" s="1"/>
      <c r="D150" s="1"/>
      <c r="E150" s="1"/>
      <c r="F150" s="1"/>
      <c r="G150" s="2"/>
    </row>
    <row r="151" ht="15.75" customHeight="1">
      <c r="A151" s="1"/>
      <c r="B151" s="1"/>
      <c r="C151" s="1"/>
      <c r="D151" s="1"/>
      <c r="E151" s="1"/>
      <c r="F151" s="1"/>
      <c r="G151" s="2"/>
    </row>
    <row r="152" ht="15.75" customHeight="1">
      <c r="A152" s="1"/>
      <c r="B152" s="1"/>
      <c r="C152" s="1"/>
      <c r="D152" s="1"/>
      <c r="E152" s="1"/>
      <c r="F152" s="1"/>
      <c r="G152" s="2"/>
    </row>
    <row r="153" ht="15.75" customHeight="1">
      <c r="A153" s="1"/>
      <c r="B153" s="1"/>
      <c r="C153" s="1"/>
      <c r="D153" s="1"/>
      <c r="E153" s="1"/>
      <c r="F153" s="1"/>
      <c r="G153" s="2"/>
    </row>
    <row r="154" ht="15.75" customHeight="1">
      <c r="A154" s="1"/>
      <c r="B154" s="1"/>
      <c r="C154" s="1"/>
      <c r="D154" s="1"/>
      <c r="E154" s="1"/>
      <c r="F154" s="1"/>
      <c r="G154" s="2"/>
    </row>
    <row r="155" ht="15.75" customHeight="1">
      <c r="A155" s="1"/>
      <c r="B155" s="1"/>
      <c r="C155" s="1"/>
      <c r="D155" s="1"/>
      <c r="E155" s="1"/>
      <c r="F155" s="1"/>
      <c r="G155" s="2"/>
    </row>
    <row r="156" ht="15.75" customHeight="1">
      <c r="A156" s="1"/>
      <c r="B156" s="1"/>
      <c r="C156" s="1"/>
      <c r="D156" s="1"/>
      <c r="E156" s="1"/>
      <c r="F156" s="1"/>
      <c r="G156" s="2"/>
    </row>
    <row r="157" ht="15.75" customHeight="1">
      <c r="A157" s="1"/>
      <c r="B157" s="1"/>
      <c r="C157" s="1"/>
      <c r="D157" s="1"/>
      <c r="E157" s="1"/>
      <c r="F157" s="1"/>
      <c r="G157" s="2"/>
    </row>
    <row r="158" ht="15.75" customHeight="1">
      <c r="A158" s="1"/>
      <c r="B158" s="1"/>
      <c r="C158" s="1"/>
      <c r="D158" s="1"/>
      <c r="E158" s="1"/>
      <c r="F158" s="1"/>
      <c r="G158" s="2"/>
    </row>
    <row r="159" ht="15.75" customHeight="1">
      <c r="A159" s="1"/>
      <c r="B159" s="1"/>
      <c r="C159" s="1"/>
      <c r="D159" s="1"/>
      <c r="E159" s="1"/>
      <c r="F159" s="1"/>
      <c r="G159" s="2"/>
    </row>
    <row r="160" ht="15.75" customHeight="1">
      <c r="A160" s="1"/>
      <c r="B160" s="1"/>
      <c r="C160" s="1"/>
      <c r="D160" s="1"/>
      <c r="E160" s="1"/>
      <c r="F160" s="1"/>
      <c r="G160" s="2"/>
    </row>
    <row r="161" ht="15.75" customHeight="1">
      <c r="A161" s="1"/>
      <c r="B161" s="1"/>
      <c r="C161" s="1"/>
      <c r="D161" s="1"/>
      <c r="E161" s="1"/>
      <c r="F161" s="1"/>
      <c r="G161" s="2"/>
    </row>
    <row r="162" ht="15.75" customHeight="1">
      <c r="A162" s="1"/>
      <c r="B162" s="1"/>
      <c r="C162" s="1"/>
      <c r="D162" s="1"/>
      <c r="E162" s="1"/>
      <c r="F162" s="1"/>
      <c r="G162" s="2"/>
    </row>
    <row r="163" ht="15.75" customHeight="1">
      <c r="A163" s="1"/>
      <c r="B163" s="1"/>
      <c r="C163" s="1"/>
      <c r="D163" s="1"/>
      <c r="E163" s="1"/>
      <c r="F163" s="1"/>
      <c r="G163" s="2"/>
    </row>
    <row r="164" ht="15.75" customHeight="1">
      <c r="A164" s="1"/>
      <c r="B164" s="1"/>
      <c r="C164" s="1"/>
      <c r="D164" s="1"/>
      <c r="E164" s="1"/>
      <c r="F164" s="1"/>
      <c r="G164" s="2"/>
    </row>
    <row r="165" ht="15.75" customHeight="1">
      <c r="A165" s="1"/>
      <c r="B165" s="1"/>
      <c r="C165" s="1"/>
      <c r="D165" s="1"/>
      <c r="E165" s="1"/>
      <c r="F165" s="1"/>
      <c r="G165" s="2"/>
    </row>
    <row r="166" ht="15.75" customHeight="1">
      <c r="A166" s="1"/>
      <c r="B166" s="1"/>
      <c r="C166" s="1"/>
      <c r="D166" s="1"/>
      <c r="E166" s="1"/>
      <c r="F166" s="1"/>
      <c r="G166" s="2"/>
    </row>
    <row r="167" ht="15.75" customHeight="1">
      <c r="A167" s="1"/>
      <c r="B167" s="1"/>
      <c r="C167" s="1"/>
      <c r="D167" s="1"/>
      <c r="E167" s="1"/>
      <c r="F167" s="1"/>
      <c r="G167" s="2"/>
    </row>
    <row r="168" ht="15.75" customHeight="1">
      <c r="A168" s="1"/>
      <c r="B168" s="1"/>
      <c r="C168" s="1"/>
      <c r="D168" s="1"/>
      <c r="E168" s="1"/>
      <c r="F168" s="1"/>
      <c r="G168" s="2"/>
    </row>
    <row r="169" ht="15.75" customHeight="1">
      <c r="A169" s="1"/>
      <c r="B169" s="1"/>
      <c r="C169" s="1"/>
      <c r="D169" s="1"/>
      <c r="E169" s="1"/>
      <c r="F169" s="1"/>
      <c r="G169" s="2"/>
    </row>
    <row r="170" ht="15.75" customHeight="1">
      <c r="A170" s="1"/>
      <c r="B170" s="1"/>
      <c r="C170" s="1"/>
      <c r="D170" s="1"/>
      <c r="E170" s="1"/>
      <c r="F170" s="1"/>
      <c r="G170" s="2"/>
    </row>
    <row r="171" ht="15.75" customHeight="1">
      <c r="A171" s="1"/>
      <c r="B171" s="1"/>
      <c r="C171" s="1"/>
      <c r="D171" s="1"/>
      <c r="E171" s="1"/>
      <c r="F171" s="1"/>
      <c r="G171" s="2"/>
    </row>
    <row r="172" ht="15.75" customHeight="1">
      <c r="A172" s="1"/>
      <c r="B172" s="1"/>
      <c r="C172" s="1"/>
      <c r="D172" s="1"/>
      <c r="E172" s="1"/>
      <c r="F172" s="1"/>
      <c r="G172" s="2"/>
    </row>
    <row r="173" ht="15.75" customHeight="1">
      <c r="A173" s="1"/>
      <c r="B173" s="1"/>
      <c r="C173" s="1"/>
      <c r="D173" s="1"/>
      <c r="E173" s="1"/>
      <c r="F173" s="1"/>
      <c r="G173" s="2"/>
    </row>
    <row r="174" ht="15.75" customHeight="1">
      <c r="A174" s="1"/>
      <c r="B174" s="1"/>
      <c r="C174" s="1"/>
      <c r="D174" s="1"/>
      <c r="E174" s="1"/>
      <c r="F174" s="1"/>
      <c r="G174" s="2"/>
    </row>
    <row r="175" ht="15.75" customHeight="1">
      <c r="A175" s="1"/>
      <c r="B175" s="1"/>
      <c r="C175" s="1"/>
      <c r="D175" s="1"/>
      <c r="E175" s="1"/>
      <c r="F175" s="1"/>
      <c r="G175" s="2"/>
    </row>
    <row r="176" ht="15.75" customHeight="1">
      <c r="A176" s="1"/>
      <c r="B176" s="1"/>
      <c r="C176" s="1"/>
      <c r="D176" s="1"/>
      <c r="E176" s="1"/>
      <c r="F176" s="1"/>
      <c r="G176" s="2"/>
    </row>
    <row r="177" ht="15.75" customHeight="1">
      <c r="A177" s="1"/>
      <c r="B177" s="1"/>
      <c r="C177" s="1"/>
      <c r="D177" s="1"/>
      <c r="E177" s="1"/>
      <c r="F177" s="1"/>
      <c r="G177" s="2"/>
    </row>
    <row r="178" ht="15.75" customHeight="1">
      <c r="A178" s="1"/>
      <c r="B178" s="1"/>
      <c r="C178" s="1"/>
      <c r="D178" s="1"/>
      <c r="E178" s="1"/>
      <c r="F178" s="1"/>
      <c r="G178" s="2"/>
    </row>
    <row r="179" ht="15.75" customHeight="1">
      <c r="A179" s="1"/>
      <c r="B179" s="1"/>
      <c r="C179" s="1"/>
      <c r="D179" s="1"/>
      <c r="E179" s="1"/>
      <c r="F179" s="1"/>
      <c r="G179" s="2"/>
    </row>
    <row r="180" ht="15.75" customHeight="1">
      <c r="A180" s="1"/>
      <c r="B180" s="1"/>
      <c r="C180" s="1"/>
      <c r="D180" s="1"/>
      <c r="E180" s="1"/>
      <c r="F180" s="1"/>
      <c r="G180" s="2"/>
    </row>
    <row r="181" ht="15.75" customHeight="1">
      <c r="A181" s="1"/>
      <c r="B181" s="1"/>
      <c r="C181" s="1"/>
      <c r="D181" s="1"/>
      <c r="E181" s="1"/>
      <c r="F181" s="1"/>
      <c r="G181" s="2"/>
    </row>
    <row r="182" ht="15.75" customHeight="1">
      <c r="A182" s="1"/>
      <c r="B182" s="1"/>
      <c r="C182" s="1"/>
      <c r="D182" s="1"/>
      <c r="E182" s="1"/>
      <c r="F182" s="1"/>
      <c r="G182" s="2"/>
    </row>
    <row r="183" ht="15.75" customHeight="1">
      <c r="A183" s="1"/>
      <c r="B183" s="1"/>
      <c r="C183" s="1"/>
      <c r="D183" s="1"/>
      <c r="E183" s="1"/>
      <c r="F183" s="1"/>
      <c r="G183" s="2"/>
    </row>
    <row r="184" ht="15.75" customHeight="1">
      <c r="A184" s="1"/>
      <c r="B184" s="1"/>
      <c r="C184" s="1"/>
      <c r="D184" s="1"/>
      <c r="E184" s="1"/>
      <c r="F184" s="1"/>
      <c r="G184" s="2"/>
    </row>
    <row r="185" ht="15.75" customHeight="1">
      <c r="A185" s="1"/>
      <c r="B185" s="1"/>
      <c r="C185" s="1"/>
      <c r="D185" s="1"/>
      <c r="E185" s="1"/>
      <c r="F185" s="1"/>
      <c r="G185" s="2"/>
    </row>
    <row r="186" ht="15.75" customHeight="1">
      <c r="A186" s="1"/>
      <c r="B186" s="1"/>
      <c r="C186" s="1"/>
      <c r="D186" s="1"/>
      <c r="E186" s="1"/>
      <c r="F186" s="1"/>
      <c r="G186" s="2"/>
    </row>
    <row r="187" ht="15.75" customHeight="1">
      <c r="A187" s="1"/>
      <c r="B187" s="1"/>
      <c r="C187" s="1"/>
      <c r="D187" s="1"/>
      <c r="E187" s="1"/>
      <c r="F187" s="1"/>
      <c r="G187" s="2"/>
    </row>
    <row r="188" ht="15.75" customHeight="1">
      <c r="A188" s="1"/>
      <c r="B188" s="1"/>
      <c r="C188" s="1"/>
      <c r="D188" s="1"/>
      <c r="E188" s="1"/>
      <c r="F188" s="1"/>
      <c r="G188" s="2"/>
    </row>
    <row r="189" ht="15.75" customHeight="1">
      <c r="A189" s="1"/>
      <c r="B189" s="1"/>
      <c r="C189" s="1"/>
      <c r="D189" s="1"/>
      <c r="E189" s="1"/>
      <c r="F189" s="1"/>
      <c r="G189" s="2"/>
    </row>
    <row r="190" ht="15.75" customHeight="1">
      <c r="A190" s="1"/>
      <c r="B190" s="1"/>
      <c r="C190" s="1"/>
      <c r="D190" s="1"/>
      <c r="E190" s="1"/>
      <c r="F190" s="1"/>
      <c r="G190" s="2"/>
    </row>
    <row r="191" ht="15.75" customHeight="1">
      <c r="A191" s="1"/>
      <c r="B191" s="1"/>
      <c r="C191" s="1"/>
      <c r="D191" s="1"/>
      <c r="E191" s="1"/>
      <c r="F191" s="1"/>
      <c r="G191" s="2"/>
    </row>
    <row r="192" ht="15.75" customHeight="1">
      <c r="A192" s="1"/>
      <c r="B192" s="1"/>
      <c r="C192" s="1"/>
      <c r="D192" s="1"/>
      <c r="E192" s="1"/>
      <c r="F192" s="1"/>
      <c r="G192" s="2"/>
    </row>
    <row r="193" ht="15.75" customHeight="1">
      <c r="A193" s="1"/>
      <c r="B193" s="1"/>
      <c r="C193" s="1"/>
      <c r="D193" s="1"/>
      <c r="E193" s="1"/>
      <c r="F193" s="1"/>
      <c r="G193" s="2"/>
    </row>
    <row r="194" ht="15.75" customHeight="1">
      <c r="A194" s="1"/>
      <c r="B194" s="1"/>
      <c r="C194" s="1"/>
      <c r="D194" s="1"/>
      <c r="E194" s="1"/>
      <c r="F194" s="1"/>
      <c r="G194" s="2"/>
    </row>
    <row r="195" ht="15.75" customHeight="1">
      <c r="A195" s="1"/>
      <c r="B195" s="1"/>
      <c r="C195" s="1"/>
      <c r="D195" s="1"/>
      <c r="E195" s="1"/>
      <c r="F195" s="1"/>
      <c r="G195" s="2"/>
    </row>
    <row r="196" ht="15.75" customHeight="1">
      <c r="A196" s="1"/>
      <c r="B196" s="1"/>
      <c r="C196" s="1"/>
      <c r="D196" s="1"/>
      <c r="E196" s="1"/>
      <c r="F196" s="1"/>
      <c r="G196" s="2"/>
    </row>
    <row r="197" ht="15.75" customHeight="1">
      <c r="A197" s="1"/>
      <c r="B197" s="1"/>
      <c r="C197" s="1"/>
      <c r="D197" s="1"/>
      <c r="E197" s="1"/>
      <c r="F197" s="1"/>
      <c r="G197" s="2"/>
    </row>
    <row r="198" ht="15.75" customHeight="1">
      <c r="A198" s="1"/>
      <c r="B198" s="1"/>
      <c r="C198" s="1"/>
      <c r="D198" s="1"/>
      <c r="E198" s="1"/>
      <c r="F198" s="1"/>
      <c r="G198" s="2"/>
    </row>
    <row r="199" ht="15.75" customHeight="1">
      <c r="A199" s="1"/>
      <c r="B199" s="1"/>
      <c r="C199" s="1"/>
      <c r="D199" s="1"/>
      <c r="E199" s="1"/>
      <c r="F199" s="1"/>
      <c r="G199" s="2"/>
    </row>
    <row r="200" ht="15.75" customHeight="1">
      <c r="A200" s="1"/>
      <c r="B200" s="1"/>
      <c r="C200" s="1"/>
      <c r="D200" s="1"/>
      <c r="E200" s="1"/>
      <c r="F200" s="1"/>
      <c r="G200" s="2"/>
    </row>
    <row r="201" ht="15.75" customHeight="1">
      <c r="A201" s="1"/>
      <c r="B201" s="1"/>
      <c r="C201" s="1"/>
      <c r="D201" s="1"/>
      <c r="E201" s="1"/>
      <c r="F201" s="1"/>
      <c r="G201" s="2"/>
    </row>
    <row r="202" ht="15.75" customHeight="1">
      <c r="A202" s="1"/>
      <c r="B202" s="1"/>
      <c r="C202" s="1"/>
      <c r="D202" s="1"/>
      <c r="E202" s="1"/>
      <c r="F202" s="1"/>
      <c r="G202" s="2"/>
    </row>
    <row r="203" ht="15.75" customHeight="1">
      <c r="A203" s="1"/>
      <c r="B203" s="1"/>
      <c r="C203" s="1"/>
      <c r="D203" s="1"/>
      <c r="E203" s="1"/>
      <c r="F203" s="1"/>
      <c r="G203" s="2"/>
    </row>
    <row r="204" ht="15.75" customHeight="1">
      <c r="A204" s="1"/>
      <c r="B204" s="1"/>
      <c r="C204" s="1"/>
      <c r="D204" s="1"/>
      <c r="E204" s="1"/>
      <c r="F204" s="1"/>
      <c r="G204" s="2"/>
    </row>
    <row r="205" ht="15.75" customHeight="1">
      <c r="A205" s="1"/>
      <c r="B205" s="1"/>
      <c r="C205" s="1"/>
      <c r="D205" s="1"/>
      <c r="E205" s="1"/>
      <c r="F205" s="1"/>
      <c r="G205" s="2"/>
    </row>
    <row r="206" ht="15.75" customHeight="1">
      <c r="A206" s="1"/>
      <c r="B206" s="1"/>
      <c r="C206" s="1"/>
      <c r="D206" s="1"/>
      <c r="E206" s="1"/>
      <c r="F206" s="1"/>
      <c r="G206" s="2"/>
    </row>
    <row r="207" ht="15.75" customHeight="1">
      <c r="A207" s="1"/>
      <c r="B207" s="1"/>
      <c r="C207" s="1"/>
      <c r="D207" s="1"/>
      <c r="E207" s="1"/>
      <c r="F207" s="1"/>
      <c r="G207" s="2"/>
    </row>
    <row r="208" ht="15.75" customHeight="1">
      <c r="A208" s="1"/>
      <c r="B208" s="1"/>
      <c r="C208" s="1"/>
      <c r="D208" s="1"/>
      <c r="E208" s="1"/>
      <c r="F208" s="1"/>
      <c r="G208" s="2"/>
    </row>
    <row r="209" ht="15.75" customHeight="1">
      <c r="A209" s="1"/>
      <c r="B209" s="1"/>
      <c r="C209" s="1"/>
      <c r="D209" s="1"/>
      <c r="E209" s="1"/>
      <c r="F209" s="1"/>
      <c r="G209" s="2"/>
    </row>
    <row r="210" ht="15.75" customHeight="1">
      <c r="A210" s="1"/>
      <c r="B210" s="1"/>
      <c r="C210" s="1"/>
      <c r="D210" s="1"/>
      <c r="E210" s="1"/>
      <c r="F210" s="1"/>
      <c r="G210" s="2"/>
    </row>
    <row r="211" ht="15.75" customHeight="1">
      <c r="A211" s="1"/>
      <c r="B211" s="1"/>
      <c r="C211" s="1"/>
      <c r="D211" s="1"/>
      <c r="E211" s="1"/>
      <c r="F211" s="1"/>
      <c r="G211" s="2"/>
    </row>
    <row r="212" ht="15.75" customHeight="1">
      <c r="A212" s="1"/>
      <c r="B212" s="1"/>
      <c r="C212" s="1"/>
      <c r="D212" s="1"/>
      <c r="E212" s="1"/>
      <c r="F212" s="1"/>
      <c r="G212" s="2"/>
    </row>
    <row r="213" ht="15.75" customHeight="1">
      <c r="A213" s="1"/>
      <c r="B213" s="1"/>
      <c r="C213" s="1"/>
      <c r="D213" s="1"/>
      <c r="E213" s="1"/>
      <c r="F213" s="1"/>
      <c r="G213" s="2"/>
    </row>
    <row r="214" ht="15.75" customHeight="1">
      <c r="A214" s="1"/>
      <c r="B214" s="1"/>
      <c r="C214" s="1"/>
      <c r="D214" s="1"/>
      <c r="E214" s="1"/>
      <c r="F214" s="1"/>
      <c r="G214" s="2"/>
    </row>
    <row r="215" ht="15.75" customHeight="1">
      <c r="A215" s="1"/>
      <c r="B215" s="1"/>
      <c r="C215" s="1"/>
      <c r="D215" s="1"/>
      <c r="E215" s="1"/>
      <c r="F215" s="1"/>
      <c r="G215" s="2"/>
    </row>
    <row r="216" ht="15.75" customHeight="1">
      <c r="A216" s="1"/>
      <c r="B216" s="1"/>
      <c r="C216" s="1"/>
      <c r="D216" s="1"/>
      <c r="E216" s="1"/>
      <c r="F216" s="1"/>
      <c r="G216" s="2"/>
    </row>
    <row r="217" ht="15.75" customHeight="1">
      <c r="A217" s="1"/>
      <c r="B217" s="1"/>
      <c r="C217" s="1"/>
      <c r="D217" s="1"/>
      <c r="E217" s="1"/>
      <c r="F217" s="1"/>
      <c r="G217" s="2"/>
    </row>
    <row r="218" ht="15.75" customHeight="1">
      <c r="A218" s="1"/>
      <c r="B218" s="1"/>
      <c r="C218" s="1"/>
      <c r="D218" s="1"/>
      <c r="E218" s="1"/>
      <c r="F218" s="1"/>
      <c r="G218" s="2"/>
    </row>
    <row r="219" ht="15.75" customHeight="1">
      <c r="A219" s="1"/>
      <c r="B219" s="1"/>
      <c r="C219" s="1"/>
      <c r="D219" s="1"/>
      <c r="E219" s="1"/>
      <c r="F219" s="1"/>
      <c r="G219" s="2"/>
    </row>
    <row r="220" ht="15.75" customHeight="1">
      <c r="A220" s="1"/>
      <c r="B220" s="1"/>
      <c r="C220" s="1"/>
      <c r="D220" s="1"/>
      <c r="E220" s="1"/>
      <c r="F220" s="1"/>
      <c r="G220" s="2"/>
    </row>
    <row r="221" ht="15.75" customHeight="1">
      <c r="A221" s="1"/>
      <c r="B221" s="1"/>
      <c r="C221" s="1"/>
      <c r="D221" s="1"/>
      <c r="E221" s="1"/>
      <c r="F221" s="1"/>
      <c r="G221" s="2"/>
    </row>
    <row r="222" ht="15.75" customHeight="1">
      <c r="A222" s="1"/>
      <c r="B222" s="1"/>
      <c r="C222" s="1"/>
      <c r="D222" s="1"/>
      <c r="E222" s="1"/>
      <c r="F222" s="1"/>
      <c r="G222" s="2"/>
    </row>
    <row r="223" ht="15.75" customHeight="1">
      <c r="A223" s="1"/>
      <c r="B223" s="1"/>
      <c r="C223" s="1"/>
      <c r="D223" s="1"/>
      <c r="E223" s="1"/>
      <c r="F223" s="1"/>
      <c r="G223" s="2"/>
    </row>
    <row r="224" ht="15.75" customHeight="1">
      <c r="A224" s="1"/>
      <c r="B224" s="1"/>
      <c r="C224" s="1"/>
      <c r="D224" s="1"/>
      <c r="E224" s="1"/>
      <c r="F224" s="1"/>
      <c r="G224" s="2"/>
    </row>
    <row r="225" ht="15.75" customHeight="1">
      <c r="A225" s="1"/>
      <c r="B225" s="1"/>
      <c r="C225" s="1"/>
      <c r="D225" s="1"/>
      <c r="E225" s="1"/>
      <c r="F225" s="1"/>
      <c r="G225" s="2"/>
    </row>
    <row r="226" ht="15.75" customHeight="1">
      <c r="A226" s="1"/>
      <c r="B226" s="1"/>
      <c r="C226" s="1"/>
      <c r="D226" s="1"/>
      <c r="E226" s="1"/>
      <c r="F226" s="1"/>
      <c r="G226" s="2"/>
    </row>
    <row r="227" ht="15.75" customHeight="1">
      <c r="A227" s="1"/>
      <c r="B227" s="1"/>
      <c r="C227" s="1"/>
      <c r="D227" s="1"/>
      <c r="E227" s="1"/>
      <c r="F227" s="1"/>
      <c r="G227" s="2"/>
    </row>
    <row r="228" ht="15.75" customHeight="1">
      <c r="A228" s="1"/>
      <c r="B228" s="1"/>
      <c r="C228" s="1"/>
      <c r="D228" s="1"/>
      <c r="E228" s="1"/>
      <c r="F228" s="1"/>
      <c r="G228" s="2"/>
    </row>
    <row r="229" ht="15.75" customHeight="1">
      <c r="A229" s="1"/>
      <c r="B229" s="1"/>
      <c r="C229" s="1"/>
      <c r="D229" s="1"/>
      <c r="E229" s="1"/>
      <c r="F229" s="1"/>
      <c r="G229" s="2"/>
    </row>
    <row r="230" ht="15.75" customHeight="1">
      <c r="A230" s="1"/>
      <c r="B230" s="1"/>
      <c r="C230" s="1"/>
      <c r="D230" s="1"/>
      <c r="E230" s="1"/>
      <c r="F230" s="1"/>
      <c r="G230" s="2"/>
    </row>
    <row r="231" ht="15.75" customHeight="1">
      <c r="A231" s="1"/>
      <c r="B231" s="1"/>
      <c r="C231" s="1"/>
      <c r="D231" s="1"/>
      <c r="E231" s="1"/>
      <c r="F231" s="1"/>
      <c r="G231" s="2"/>
    </row>
    <row r="232" ht="15.75" customHeight="1">
      <c r="A232" s="1"/>
      <c r="B232" s="1"/>
      <c r="C232" s="1"/>
      <c r="D232" s="1"/>
      <c r="E232" s="1"/>
      <c r="F232" s="1"/>
      <c r="G232" s="2"/>
    </row>
    <row r="233" ht="15.75" customHeight="1">
      <c r="A233" s="1"/>
      <c r="B233" s="1"/>
      <c r="C233" s="1"/>
      <c r="D233" s="1"/>
      <c r="E233" s="1"/>
      <c r="F233" s="1"/>
      <c r="G233" s="2"/>
    </row>
    <row r="234" ht="15.75" customHeight="1">
      <c r="A234" s="1"/>
      <c r="B234" s="1"/>
      <c r="C234" s="1"/>
      <c r="D234" s="1"/>
      <c r="E234" s="1"/>
      <c r="F234" s="1"/>
      <c r="G234" s="2"/>
    </row>
    <row r="235" ht="15.75" customHeight="1">
      <c r="A235" s="1"/>
      <c r="B235" s="1"/>
      <c r="C235" s="1"/>
      <c r="D235" s="1"/>
      <c r="E235" s="1"/>
      <c r="F235" s="1"/>
      <c r="G235" s="2"/>
    </row>
    <row r="236" ht="15.75" customHeight="1">
      <c r="A236" s="1"/>
      <c r="B236" s="1"/>
      <c r="C236" s="1"/>
      <c r="D236" s="1"/>
      <c r="E236" s="1"/>
      <c r="F236" s="1"/>
      <c r="G236" s="2"/>
    </row>
    <row r="237" ht="15.75" customHeight="1">
      <c r="A237" s="1"/>
      <c r="B237" s="1"/>
      <c r="C237" s="1"/>
      <c r="D237" s="1"/>
      <c r="E237" s="1"/>
      <c r="F237" s="1"/>
      <c r="G237" s="2"/>
    </row>
    <row r="238" ht="15.75" customHeight="1">
      <c r="A238" s="1"/>
      <c r="B238" s="1"/>
      <c r="C238" s="1"/>
      <c r="D238" s="1"/>
      <c r="E238" s="1"/>
      <c r="F238" s="1"/>
      <c r="G238" s="2"/>
    </row>
    <row r="239" ht="15.75" customHeight="1">
      <c r="A239" s="1"/>
      <c r="B239" s="1"/>
      <c r="C239" s="1"/>
      <c r="D239" s="1"/>
      <c r="E239" s="1"/>
      <c r="F239" s="1"/>
      <c r="G239" s="2"/>
    </row>
    <row r="240" ht="15.75" customHeight="1">
      <c r="A240" s="1"/>
      <c r="B240" s="1"/>
      <c r="C240" s="1"/>
      <c r="D240" s="1"/>
      <c r="E240" s="1"/>
      <c r="F240" s="1"/>
      <c r="G240" s="2"/>
    </row>
    <row r="241" ht="15.75" customHeight="1">
      <c r="A241" s="1"/>
      <c r="B241" s="1"/>
      <c r="C241" s="1"/>
      <c r="D241" s="1"/>
      <c r="E241" s="1"/>
      <c r="F241" s="1"/>
      <c r="G241" s="2"/>
    </row>
    <row r="242" ht="15.75" customHeight="1">
      <c r="A242" s="1"/>
      <c r="B242" s="1"/>
      <c r="C242" s="1"/>
      <c r="D242" s="1"/>
      <c r="E242" s="1"/>
      <c r="F242" s="1"/>
      <c r="G242" s="2"/>
    </row>
    <row r="243" ht="15.75" customHeight="1">
      <c r="A243" s="1"/>
      <c r="B243" s="1"/>
      <c r="C243" s="1"/>
      <c r="D243" s="1"/>
      <c r="E243" s="1"/>
      <c r="F243" s="1"/>
      <c r="G243" s="2"/>
    </row>
    <row r="244" ht="15.75" customHeight="1">
      <c r="A244" s="1"/>
      <c r="B244" s="1"/>
      <c r="C244" s="1"/>
      <c r="D244" s="1"/>
      <c r="E244" s="1"/>
      <c r="F244" s="1"/>
      <c r="G244" s="2"/>
    </row>
    <row r="245" ht="15.75" customHeight="1">
      <c r="A245" s="1"/>
      <c r="B245" s="1"/>
      <c r="C245" s="1"/>
      <c r="D245" s="1"/>
      <c r="E245" s="1"/>
      <c r="F245" s="1"/>
      <c r="G245" s="2"/>
    </row>
    <row r="246" ht="15.75" customHeight="1">
      <c r="A246" s="1"/>
      <c r="B246" s="1"/>
      <c r="C246" s="1"/>
      <c r="D246" s="1"/>
      <c r="E246" s="1"/>
      <c r="F246" s="1"/>
      <c r="G246" s="2"/>
    </row>
    <row r="247" ht="15.75" customHeight="1">
      <c r="A247" s="1"/>
      <c r="B247" s="1"/>
      <c r="C247" s="1"/>
      <c r="D247" s="1"/>
      <c r="E247" s="1"/>
      <c r="F247" s="1"/>
      <c r="G247" s="2"/>
    </row>
    <row r="248" ht="15.75" customHeight="1">
      <c r="A248" s="1"/>
      <c r="B248" s="1"/>
      <c r="C248" s="1"/>
      <c r="D248" s="1"/>
      <c r="E248" s="1"/>
      <c r="F248" s="1"/>
      <c r="G248" s="2"/>
    </row>
    <row r="249" ht="15.75" customHeight="1">
      <c r="A249" s="1"/>
      <c r="B249" s="1"/>
      <c r="C249" s="1"/>
      <c r="D249" s="1"/>
      <c r="E249" s="1"/>
      <c r="F249" s="1"/>
      <c r="G249" s="2"/>
    </row>
    <row r="250" ht="15.75" customHeight="1">
      <c r="A250" s="1"/>
      <c r="B250" s="1"/>
      <c r="C250" s="1"/>
      <c r="D250" s="1"/>
      <c r="E250" s="1"/>
      <c r="F250" s="1"/>
      <c r="G250" s="2"/>
    </row>
    <row r="251" ht="15.75" customHeight="1">
      <c r="A251" s="1"/>
      <c r="B251" s="1"/>
      <c r="C251" s="1"/>
      <c r="D251" s="1"/>
      <c r="E251" s="1"/>
      <c r="F251" s="1"/>
      <c r="G251" s="2"/>
    </row>
    <row r="252" ht="15.75" customHeight="1">
      <c r="A252" s="1"/>
      <c r="B252" s="1"/>
      <c r="C252" s="1"/>
      <c r="D252" s="1"/>
      <c r="E252" s="1"/>
      <c r="F252" s="1"/>
      <c r="G252" s="2"/>
    </row>
    <row r="253" ht="15.75" customHeight="1">
      <c r="A253" s="1"/>
      <c r="B253" s="1"/>
      <c r="C253" s="1"/>
      <c r="D253" s="1"/>
      <c r="E253" s="1"/>
      <c r="F253" s="1"/>
      <c r="G253" s="2"/>
    </row>
    <row r="254" ht="15.75" customHeight="1">
      <c r="A254" s="1"/>
      <c r="B254" s="1"/>
      <c r="C254" s="1"/>
      <c r="D254" s="1"/>
      <c r="E254" s="1"/>
      <c r="F254" s="1"/>
      <c r="G254" s="2"/>
    </row>
    <row r="255" ht="15.75" customHeight="1">
      <c r="A255" s="1"/>
      <c r="B255" s="1"/>
      <c r="C255" s="1"/>
      <c r="D255" s="1"/>
      <c r="E255" s="1"/>
      <c r="F255" s="1"/>
      <c r="G255" s="2"/>
    </row>
    <row r="256" ht="15.75" customHeight="1">
      <c r="A256" s="1"/>
      <c r="B256" s="1"/>
      <c r="C256" s="1"/>
      <c r="D256" s="1"/>
      <c r="E256" s="1"/>
      <c r="F256" s="1"/>
      <c r="G256" s="2"/>
    </row>
    <row r="257" ht="15.75" customHeight="1">
      <c r="A257" s="1"/>
      <c r="B257" s="1"/>
      <c r="C257" s="1"/>
      <c r="D257" s="1"/>
      <c r="E257" s="1"/>
      <c r="F257" s="1"/>
      <c r="G257" s="2"/>
    </row>
    <row r="258" ht="15.75" customHeight="1">
      <c r="A258" s="1"/>
      <c r="B258" s="1"/>
      <c r="C258" s="1"/>
      <c r="D258" s="1"/>
      <c r="E258" s="1"/>
      <c r="F258" s="1"/>
      <c r="G258" s="2"/>
    </row>
    <row r="259" ht="15.75" customHeight="1">
      <c r="A259" s="1"/>
      <c r="B259" s="1"/>
      <c r="C259" s="1"/>
      <c r="D259" s="1"/>
      <c r="E259" s="1"/>
      <c r="F259" s="1"/>
      <c r="G259" s="2"/>
    </row>
    <row r="260" ht="15.75" customHeight="1">
      <c r="A260" s="1"/>
      <c r="B260" s="1"/>
      <c r="C260" s="1"/>
      <c r="D260" s="1"/>
      <c r="E260" s="1"/>
      <c r="F260" s="1"/>
      <c r="G260" s="2"/>
    </row>
    <row r="261" ht="15.75" customHeight="1">
      <c r="A261" s="1"/>
      <c r="B261" s="1"/>
      <c r="C261" s="1"/>
      <c r="D261" s="1"/>
      <c r="E261" s="1"/>
      <c r="F261" s="1"/>
      <c r="G261" s="2"/>
    </row>
    <row r="262" ht="15.75" customHeight="1">
      <c r="A262" s="1"/>
      <c r="B262" s="1"/>
      <c r="C262" s="1"/>
      <c r="D262" s="1"/>
      <c r="E262" s="1"/>
      <c r="F262" s="1"/>
      <c r="G262" s="2"/>
    </row>
    <row r="263" ht="15.75" customHeight="1">
      <c r="A263" s="1"/>
      <c r="B263" s="1"/>
      <c r="C263" s="1"/>
      <c r="D263" s="1"/>
      <c r="E263" s="1"/>
      <c r="F263" s="1"/>
      <c r="G263" s="2"/>
    </row>
    <row r="264" ht="15.75" customHeight="1">
      <c r="A264" s="1"/>
      <c r="B264" s="1"/>
      <c r="C264" s="1"/>
      <c r="D264" s="1"/>
      <c r="E264" s="1"/>
      <c r="F264" s="1"/>
      <c r="G264" s="2"/>
    </row>
    <row r="265" ht="15.75" customHeight="1">
      <c r="A265" s="1"/>
      <c r="B265" s="1"/>
      <c r="C265" s="1"/>
      <c r="D265" s="1"/>
      <c r="E265" s="1"/>
      <c r="F265" s="1"/>
      <c r="G265" s="2"/>
    </row>
    <row r="266" ht="15.75" customHeight="1">
      <c r="A266" s="1"/>
      <c r="B266" s="1"/>
      <c r="C266" s="1"/>
      <c r="D266" s="1"/>
      <c r="E266" s="1"/>
      <c r="F266" s="1"/>
      <c r="G266" s="2"/>
    </row>
    <row r="267" ht="15.75" customHeight="1">
      <c r="A267" s="1"/>
      <c r="B267" s="1"/>
      <c r="C267" s="1"/>
      <c r="D267" s="1"/>
      <c r="E267" s="1"/>
      <c r="F267" s="1"/>
      <c r="G267" s="2"/>
    </row>
    <row r="268" ht="15.75" customHeight="1">
      <c r="A268" s="1"/>
      <c r="B268" s="1"/>
      <c r="C268" s="1"/>
      <c r="D268" s="1"/>
      <c r="E268" s="1"/>
      <c r="F268" s="1"/>
      <c r="G268" s="2"/>
    </row>
    <row r="269" ht="15.75" customHeight="1">
      <c r="A269" s="1"/>
      <c r="B269" s="1"/>
      <c r="C269" s="1"/>
      <c r="D269" s="1"/>
      <c r="E269" s="1"/>
      <c r="F269" s="1"/>
      <c r="G269" s="2"/>
    </row>
    <row r="270" ht="15.75" customHeight="1">
      <c r="A270" s="1"/>
      <c r="B270" s="1"/>
      <c r="C270" s="1"/>
      <c r="D270" s="1"/>
      <c r="E270" s="1"/>
      <c r="F270" s="1"/>
      <c r="G270" s="2"/>
    </row>
    <row r="271" ht="15.75" customHeight="1">
      <c r="A271" s="1"/>
      <c r="B271" s="1"/>
      <c r="C271" s="1"/>
      <c r="D271" s="1"/>
      <c r="E271" s="1"/>
      <c r="F271" s="1"/>
      <c r="G271" s="2"/>
    </row>
    <row r="272" ht="15.75" customHeight="1">
      <c r="A272" s="1"/>
      <c r="B272" s="1"/>
      <c r="C272" s="1"/>
      <c r="D272" s="1"/>
      <c r="E272" s="1"/>
      <c r="F272" s="1"/>
      <c r="G272" s="2"/>
    </row>
    <row r="273" ht="15.75" customHeight="1">
      <c r="A273" s="1"/>
      <c r="B273" s="1"/>
      <c r="C273" s="1"/>
      <c r="D273" s="1"/>
      <c r="E273" s="1"/>
      <c r="F273" s="1"/>
      <c r="G273" s="2"/>
    </row>
    <row r="274" ht="15.75" customHeight="1">
      <c r="A274" s="1"/>
      <c r="B274" s="1"/>
      <c r="C274" s="1"/>
      <c r="D274" s="1"/>
      <c r="E274" s="1"/>
      <c r="F274" s="1"/>
      <c r="G274" s="2"/>
    </row>
    <row r="275" ht="15.75" customHeight="1">
      <c r="A275" s="1"/>
      <c r="B275" s="1"/>
      <c r="C275" s="1"/>
      <c r="D275" s="1"/>
      <c r="E275" s="1"/>
      <c r="F275" s="1"/>
      <c r="G275" s="2"/>
    </row>
    <row r="276" ht="15.75" customHeight="1">
      <c r="A276" s="1"/>
      <c r="B276" s="1"/>
      <c r="C276" s="1"/>
      <c r="D276" s="1"/>
      <c r="E276" s="1"/>
      <c r="F276" s="1"/>
      <c r="G276" s="2"/>
    </row>
    <row r="277" ht="15.75" customHeight="1">
      <c r="A277" s="1"/>
      <c r="B277" s="1"/>
      <c r="C277" s="1"/>
      <c r="D277" s="1"/>
      <c r="E277" s="1"/>
      <c r="F277" s="1"/>
      <c r="G277" s="2"/>
    </row>
    <row r="278" ht="15.75" customHeight="1">
      <c r="A278" s="1"/>
      <c r="B278" s="1"/>
      <c r="C278" s="1"/>
      <c r="D278" s="1"/>
      <c r="E278" s="1"/>
      <c r="F278" s="1"/>
      <c r="G278" s="2"/>
    </row>
    <row r="279" ht="15.75" customHeight="1">
      <c r="A279" s="1"/>
      <c r="B279" s="1"/>
      <c r="C279" s="1"/>
      <c r="D279" s="1"/>
      <c r="E279" s="1"/>
      <c r="F279" s="1"/>
      <c r="G279" s="2"/>
    </row>
    <row r="280" ht="15.75" customHeight="1">
      <c r="A280" s="1"/>
      <c r="B280" s="1"/>
      <c r="C280" s="1"/>
      <c r="D280" s="1"/>
      <c r="E280" s="1"/>
      <c r="F280" s="1"/>
      <c r="G280" s="2"/>
    </row>
    <row r="281" ht="15.75" customHeight="1">
      <c r="A281" s="1"/>
      <c r="B281" s="1"/>
      <c r="C281" s="1"/>
      <c r="D281" s="1"/>
      <c r="E281" s="1"/>
      <c r="F281" s="1"/>
      <c r="G281" s="2"/>
    </row>
    <row r="282" ht="15.75" customHeight="1">
      <c r="A282" s="1"/>
      <c r="B282" s="1"/>
      <c r="C282" s="1"/>
      <c r="D282" s="1"/>
      <c r="E282" s="1"/>
      <c r="F282" s="1"/>
      <c r="G282" s="2"/>
    </row>
    <row r="283" ht="15.75" customHeight="1">
      <c r="A283" s="1"/>
      <c r="B283" s="1"/>
      <c r="C283" s="1"/>
      <c r="D283" s="1"/>
      <c r="E283" s="1"/>
      <c r="F283" s="1"/>
      <c r="G283" s="2"/>
    </row>
    <row r="284" ht="15.75" customHeight="1">
      <c r="A284" s="1"/>
      <c r="B284" s="1"/>
      <c r="C284" s="1"/>
      <c r="D284" s="1"/>
      <c r="E284" s="1"/>
      <c r="F284" s="1"/>
      <c r="G284" s="2"/>
    </row>
    <row r="285" ht="15.75" customHeight="1">
      <c r="A285" s="1"/>
      <c r="B285" s="1"/>
      <c r="C285" s="1"/>
      <c r="D285" s="1"/>
      <c r="E285" s="1"/>
      <c r="F285" s="1"/>
      <c r="G285" s="2"/>
    </row>
    <row r="286" ht="15.75" customHeight="1">
      <c r="A286" s="1"/>
      <c r="B286" s="1"/>
      <c r="C286" s="1"/>
      <c r="D286" s="1"/>
      <c r="E286" s="1"/>
      <c r="F286" s="1"/>
      <c r="G286" s="2"/>
    </row>
    <row r="287" ht="15.75" customHeight="1">
      <c r="A287" s="1"/>
      <c r="B287" s="1"/>
      <c r="C287" s="1"/>
      <c r="D287" s="1"/>
      <c r="E287" s="1"/>
      <c r="F287" s="1"/>
      <c r="G287" s="2"/>
    </row>
    <row r="288" ht="15.75" customHeight="1">
      <c r="A288" s="1"/>
      <c r="B288" s="1"/>
      <c r="C288" s="1"/>
      <c r="D288" s="1"/>
      <c r="E288" s="1"/>
      <c r="F288" s="1"/>
      <c r="G288" s="2"/>
    </row>
    <row r="289" ht="15.75" customHeight="1">
      <c r="A289" s="1"/>
      <c r="B289" s="1"/>
      <c r="C289" s="1"/>
      <c r="D289" s="1"/>
      <c r="E289" s="1"/>
      <c r="F289" s="1"/>
      <c r="G289" s="2"/>
    </row>
    <row r="290" ht="15.75" customHeight="1">
      <c r="A290" s="1"/>
      <c r="B290" s="1"/>
      <c r="C290" s="1"/>
      <c r="D290" s="1"/>
      <c r="E290" s="1"/>
      <c r="F290" s="1"/>
      <c r="G290" s="2"/>
    </row>
    <row r="291" ht="15.75" customHeight="1">
      <c r="A291" s="1"/>
      <c r="B291" s="1"/>
      <c r="C291" s="1"/>
      <c r="D291" s="1"/>
      <c r="E291" s="1"/>
      <c r="F291" s="1"/>
      <c r="G291" s="2"/>
    </row>
    <row r="292" ht="15.75" customHeight="1">
      <c r="A292" s="1"/>
      <c r="B292" s="1"/>
      <c r="C292" s="1"/>
      <c r="D292" s="1"/>
      <c r="E292" s="1"/>
      <c r="F292" s="1"/>
      <c r="G292" s="2"/>
    </row>
    <row r="293" ht="15.75" customHeight="1">
      <c r="A293" s="1"/>
      <c r="B293" s="1"/>
      <c r="C293" s="1"/>
      <c r="D293" s="1"/>
      <c r="E293" s="1"/>
      <c r="F293" s="1"/>
      <c r="G293" s="2"/>
    </row>
    <row r="294" ht="15.75" customHeight="1">
      <c r="A294" s="1"/>
      <c r="B294" s="1"/>
      <c r="C294" s="1"/>
      <c r="D294" s="1"/>
      <c r="E294" s="1"/>
      <c r="F294" s="1"/>
      <c r="G294" s="2"/>
    </row>
    <row r="295" ht="15.75" customHeight="1">
      <c r="A295" s="1"/>
      <c r="B295" s="1"/>
      <c r="C295" s="1"/>
      <c r="D295" s="1"/>
      <c r="E295" s="1"/>
      <c r="F295" s="1"/>
      <c r="G295" s="2"/>
    </row>
    <row r="296" ht="15.75" customHeight="1">
      <c r="A296" s="1"/>
      <c r="B296" s="1"/>
      <c r="C296" s="1"/>
      <c r="D296" s="1"/>
      <c r="E296" s="1"/>
      <c r="F296" s="1"/>
      <c r="G296" s="2"/>
    </row>
    <row r="297" ht="15.75" customHeight="1">
      <c r="A297" s="1"/>
      <c r="B297" s="1"/>
      <c r="C297" s="1"/>
      <c r="D297" s="1"/>
      <c r="E297" s="1"/>
      <c r="F297" s="1"/>
      <c r="G297" s="2"/>
    </row>
    <row r="298" ht="15.75" customHeight="1">
      <c r="A298" s="1"/>
      <c r="B298" s="1"/>
      <c r="C298" s="1"/>
      <c r="D298" s="1"/>
      <c r="E298" s="1"/>
      <c r="F298" s="1"/>
      <c r="G298" s="2"/>
    </row>
    <row r="299" ht="15.75" customHeight="1">
      <c r="A299" s="1"/>
      <c r="B299" s="1"/>
      <c r="C299" s="1"/>
      <c r="D299" s="1"/>
      <c r="E299" s="1"/>
      <c r="F299" s="1"/>
      <c r="G299" s="2"/>
    </row>
    <row r="300" ht="15.75" customHeight="1">
      <c r="A300" s="1"/>
      <c r="B300" s="1"/>
      <c r="C300" s="1"/>
      <c r="D300" s="1"/>
      <c r="E300" s="1"/>
      <c r="F300" s="1"/>
      <c r="G300" s="2"/>
    </row>
    <row r="301" ht="15.75" customHeight="1">
      <c r="A301" s="1"/>
      <c r="B301" s="1"/>
      <c r="C301" s="1"/>
      <c r="D301" s="1"/>
      <c r="E301" s="1"/>
      <c r="F301" s="1"/>
      <c r="G301" s="2"/>
    </row>
    <row r="302" ht="15.75" customHeight="1">
      <c r="A302" s="1"/>
      <c r="B302" s="1"/>
      <c r="C302" s="1"/>
      <c r="D302" s="1"/>
      <c r="E302" s="1"/>
      <c r="F302" s="1"/>
      <c r="G302" s="2"/>
    </row>
    <row r="303" ht="15.75" customHeight="1">
      <c r="A303" s="1"/>
      <c r="B303" s="1"/>
      <c r="C303" s="1"/>
      <c r="D303" s="1"/>
      <c r="E303" s="1"/>
      <c r="F303" s="1"/>
      <c r="G303" s="2"/>
    </row>
    <row r="304" ht="15.75" customHeight="1">
      <c r="A304" s="1"/>
      <c r="B304" s="1"/>
      <c r="C304" s="1"/>
      <c r="D304" s="1"/>
      <c r="E304" s="1"/>
      <c r="F304" s="1"/>
      <c r="G304" s="2"/>
    </row>
    <row r="305" ht="15.75" customHeight="1">
      <c r="A305" s="1"/>
      <c r="B305" s="1"/>
      <c r="C305" s="1"/>
      <c r="D305" s="1"/>
      <c r="E305" s="1"/>
      <c r="F305" s="1"/>
      <c r="G305" s="2"/>
    </row>
    <row r="306" ht="15.75" customHeight="1">
      <c r="A306" s="1"/>
      <c r="B306" s="1"/>
      <c r="C306" s="1"/>
      <c r="D306" s="1"/>
      <c r="E306" s="1"/>
      <c r="F306" s="1"/>
      <c r="G306" s="2"/>
    </row>
    <row r="307" ht="15.75" customHeight="1">
      <c r="A307" s="1"/>
      <c r="B307" s="1"/>
      <c r="C307" s="1"/>
      <c r="D307" s="1"/>
      <c r="E307" s="1"/>
      <c r="F307" s="1"/>
      <c r="G307" s="2"/>
    </row>
    <row r="308" ht="15.75" customHeight="1">
      <c r="A308" s="1"/>
      <c r="B308" s="1"/>
      <c r="C308" s="1"/>
      <c r="D308" s="1"/>
      <c r="E308" s="1"/>
      <c r="F308" s="1"/>
      <c r="G308" s="2"/>
    </row>
    <row r="309" ht="15.75" customHeight="1">
      <c r="A309" s="1"/>
      <c r="B309" s="1"/>
      <c r="C309" s="1"/>
      <c r="D309" s="1"/>
      <c r="E309" s="1"/>
      <c r="F309" s="1"/>
      <c r="G309" s="2"/>
    </row>
    <row r="310" ht="15.75" customHeight="1">
      <c r="A310" s="1"/>
      <c r="B310" s="1"/>
      <c r="C310" s="1"/>
      <c r="D310" s="1"/>
      <c r="E310" s="1"/>
      <c r="F310" s="1"/>
      <c r="G310" s="2"/>
    </row>
    <row r="311" ht="15.75" customHeight="1">
      <c r="A311" s="1"/>
      <c r="B311" s="1"/>
      <c r="C311" s="1"/>
      <c r="D311" s="1"/>
      <c r="E311" s="1"/>
      <c r="F311" s="1"/>
      <c r="G311" s="2"/>
    </row>
    <row r="312" ht="15.75" customHeight="1">
      <c r="A312" s="1"/>
      <c r="B312" s="1"/>
      <c r="C312" s="1"/>
      <c r="D312" s="1"/>
      <c r="E312" s="1"/>
      <c r="F312" s="1"/>
      <c r="G312" s="2"/>
    </row>
    <row r="313" ht="15.75" customHeight="1">
      <c r="A313" s="1"/>
      <c r="B313" s="1"/>
      <c r="C313" s="1"/>
      <c r="D313" s="1"/>
      <c r="E313" s="1"/>
      <c r="F313" s="1"/>
      <c r="G313" s="2"/>
    </row>
    <row r="314" ht="15.75" customHeight="1">
      <c r="A314" s="1"/>
      <c r="B314" s="1"/>
      <c r="C314" s="1"/>
      <c r="D314" s="1"/>
      <c r="E314" s="1"/>
      <c r="F314" s="1"/>
      <c r="G314" s="2"/>
    </row>
    <row r="315" ht="15.75" customHeight="1">
      <c r="A315" s="1"/>
      <c r="B315" s="1"/>
      <c r="C315" s="1"/>
      <c r="D315" s="1"/>
      <c r="E315" s="1"/>
      <c r="F315" s="1"/>
      <c r="G315" s="2"/>
    </row>
    <row r="316" ht="15.75" customHeight="1">
      <c r="A316" s="1"/>
      <c r="B316" s="1"/>
      <c r="C316" s="1"/>
      <c r="D316" s="1"/>
      <c r="E316" s="1"/>
      <c r="F316" s="1"/>
      <c r="G316" s="2"/>
    </row>
    <row r="317" ht="15.75" customHeight="1">
      <c r="A317" s="1"/>
      <c r="B317" s="1"/>
      <c r="C317" s="1"/>
      <c r="D317" s="1"/>
      <c r="E317" s="1"/>
      <c r="F317" s="1"/>
      <c r="G317" s="2"/>
    </row>
    <row r="318" ht="15.75" customHeight="1">
      <c r="A318" s="1"/>
      <c r="B318" s="1"/>
      <c r="C318" s="1"/>
      <c r="D318" s="1"/>
      <c r="E318" s="1"/>
      <c r="F318" s="1"/>
      <c r="G318" s="2"/>
    </row>
    <row r="319" ht="15.75" customHeight="1">
      <c r="A319" s="1"/>
      <c r="B319" s="1"/>
      <c r="C319" s="1"/>
      <c r="D319" s="1"/>
      <c r="E319" s="1"/>
      <c r="F319" s="1"/>
      <c r="G319" s="2"/>
    </row>
    <row r="320" ht="15.75" customHeight="1">
      <c r="A320" s="1"/>
      <c r="B320" s="1"/>
      <c r="C320" s="1"/>
      <c r="D320" s="1"/>
      <c r="E320" s="1"/>
      <c r="F320" s="1"/>
      <c r="G320" s="2"/>
    </row>
    <row r="321" ht="15.75" customHeight="1">
      <c r="A321" s="1"/>
      <c r="B321" s="1"/>
      <c r="C321" s="1"/>
      <c r="D321" s="1"/>
      <c r="E321" s="1"/>
      <c r="F321" s="1"/>
      <c r="G321" s="2"/>
    </row>
    <row r="322" ht="15.75" customHeight="1">
      <c r="A322" s="1"/>
      <c r="B322" s="1"/>
      <c r="C322" s="1"/>
      <c r="D322" s="1"/>
      <c r="E322" s="1"/>
      <c r="F322" s="1"/>
      <c r="G322" s="2"/>
    </row>
    <row r="323" ht="15.75" customHeight="1">
      <c r="A323" s="1"/>
      <c r="B323" s="1"/>
      <c r="C323" s="1"/>
      <c r="D323" s="1"/>
      <c r="E323" s="1"/>
      <c r="F323" s="1"/>
      <c r="G323" s="2"/>
    </row>
    <row r="324" ht="15.75" customHeight="1">
      <c r="A324" s="1"/>
      <c r="B324" s="1"/>
      <c r="C324" s="1"/>
      <c r="D324" s="1"/>
      <c r="E324" s="1"/>
      <c r="F324" s="1"/>
      <c r="G324" s="2"/>
    </row>
    <row r="325" ht="15.75" customHeight="1">
      <c r="A325" s="1"/>
      <c r="B325" s="1"/>
      <c r="C325" s="1"/>
      <c r="D325" s="1"/>
      <c r="E325" s="1"/>
      <c r="F325" s="1"/>
      <c r="G325" s="2"/>
    </row>
    <row r="326" ht="15.75" customHeight="1">
      <c r="A326" s="1"/>
      <c r="B326" s="1"/>
      <c r="C326" s="1"/>
      <c r="D326" s="1"/>
      <c r="E326" s="1"/>
      <c r="F326" s="1"/>
      <c r="G326" s="2"/>
    </row>
    <row r="327" ht="15.75" customHeight="1">
      <c r="A327" s="1"/>
      <c r="B327" s="1"/>
      <c r="C327" s="1"/>
      <c r="D327" s="1"/>
      <c r="E327" s="1"/>
      <c r="F327" s="1"/>
      <c r="G327" s="2"/>
    </row>
    <row r="328" ht="15.75" customHeight="1">
      <c r="A328" s="1"/>
      <c r="B328" s="1"/>
      <c r="C328" s="1"/>
      <c r="D328" s="1"/>
      <c r="E328" s="1"/>
      <c r="F328" s="1"/>
      <c r="G328" s="2"/>
    </row>
    <row r="329" ht="15.75" customHeight="1">
      <c r="A329" s="1"/>
      <c r="B329" s="1"/>
      <c r="C329" s="1"/>
      <c r="D329" s="1"/>
      <c r="E329" s="1"/>
      <c r="F329" s="1"/>
      <c r="G329" s="2"/>
    </row>
    <row r="330" ht="15.75" customHeight="1">
      <c r="A330" s="1"/>
      <c r="B330" s="1"/>
      <c r="C330" s="1"/>
      <c r="D330" s="1"/>
      <c r="E330" s="1"/>
      <c r="F330" s="1"/>
      <c r="G330" s="2"/>
    </row>
    <row r="331" ht="15.75" customHeight="1">
      <c r="A331" s="1"/>
      <c r="B331" s="1"/>
      <c r="C331" s="1"/>
      <c r="D331" s="1"/>
      <c r="E331" s="1"/>
      <c r="F331" s="1"/>
      <c r="G331" s="2"/>
    </row>
    <row r="332" ht="15.75" customHeight="1">
      <c r="A332" s="1"/>
      <c r="B332" s="1"/>
      <c r="C332" s="1"/>
      <c r="D332" s="1"/>
      <c r="E332" s="1"/>
      <c r="F332" s="1"/>
      <c r="G332" s="2"/>
    </row>
    <row r="333" ht="15.75" customHeight="1">
      <c r="A333" s="1"/>
      <c r="B333" s="1"/>
      <c r="C333" s="1"/>
      <c r="D333" s="1"/>
      <c r="E333" s="1"/>
      <c r="F333" s="1"/>
      <c r="G333" s="2"/>
    </row>
    <row r="334" ht="15.75" customHeight="1">
      <c r="A334" s="1"/>
      <c r="B334" s="1"/>
      <c r="C334" s="1"/>
      <c r="D334" s="1"/>
      <c r="E334" s="1"/>
      <c r="F334" s="1"/>
      <c r="G334" s="2"/>
    </row>
    <row r="335" ht="15.75" customHeight="1">
      <c r="A335" s="1"/>
      <c r="B335" s="1"/>
      <c r="C335" s="1"/>
      <c r="D335" s="1"/>
      <c r="E335" s="1"/>
      <c r="F335" s="1"/>
      <c r="G335" s="2"/>
    </row>
    <row r="336" ht="15.75" customHeight="1">
      <c r="A336" s="1"/>
      <c r="B336" s="1"/>
      <c r="C336" s="1"/>
      <c r="D336" s="1"/>
      <c r="E336" s="1"/>
      <c r="F336" s="1"/>
      <c r="G336" s="2"/>
    </row>
    <row r="337" ht="15.75" customHeight="1">
      <c r="A337" s="1"/>
      <c r="B337" s="1"/>
      <c r="C337" s="1"/>
      <c r="D337" s="1"/>
      <c r="E337" s="1"/>
      <c r="F337" s="1"/>
      <c r="G337" s="2"/>
    </row>
    <row r="338" ht="15.75" customHeight="1">
      <c r="A338" s="1"/>
      <c r="B338" s="1"/>
      <c r="C338" s="1"/>
      <c r="D338" s="1"/>
      <c r="E338" s="1"/>
      <c r="F338" s="1"/>
      <c r="G338" s="2"/>
    </row>
    <row r="339" ht="15.75" customHeight="1">
      <c r="A339" s="1"/>
      <c r="B339" s="1"/>
      <c r="C339" s="1"/>
      <c r="D339" s="1"/>
      <c r="E339" s="1"/>
      <c r="F339" s="1"/>
      <c r="G339" s="2"/>
    </row>
    <row r="340" ht="15.75" customHeight="1">
      <c r="A340" s="1"/>
      <c r="B340" s="1"/>
      <c r="C340" s="1"/>
      <c r="D340" s="1"/>
      <c r="E340" s="1"/>
      <c r="F340" s="1"/>
      <c r="G340" s="2"/>
    </row>
    <row r="341" ht="15.75" customHeight="1">
      <c r="A341" s="1"/>
      <c r="B341" s="1"/>
      <c r="C341" s="1"/>
      <c r="D341" s="1"/>
      <c r="E341" s="1"/>
      <c r="F341" s="1"/>
      <c r="G341" s="2"/>
    </row>
    <row r="342" ht="15.75" customHeight="1">
      <c r="A342" s="1"/>
      <c r="B342" s="1"/>
      <c r="C342" s="1"/>
      <c r="D342" s="1"/>
      <c r="E342" s="1"/>
      <c r="F342" s="1"/>
      <c r="G342" s="2"/>
    </row>
    <row r="343" ht="15.75" customHeight="1">
      <c r="A343" s="1"/>
      <c r="B343" s="1"/>
      <c r="C343" s="1"/>
      <c r="D343" s="1"/>
      <c r="E343" s="1"/>
      <c r="F343" s="1"/>
      <c r="G343" s="2"/>
    </row>
    <row r="344" ht="15.75" customHeight="1">
      <c r="A344" s="1"/>
      <c r="B344" s="1"/>
      <c r="C344" s="1"/>
      <c r="D344" s="1"/>
      <c r="E344" s="1"/>
      <c r="F344" s="1"/>
      <c r="G344" s="2"/>
    </row>
    <row r="345" ht="15.75" customHeight="1">
      <c r="A345" s="1"/>
      <c r="B345" s="1"/>
      <c r="C345" s="1"/>
      <c r="D345" s="1"/>
      <c r="E345" s="1"/>
      <c r="F345" s="1"/>
      <c r="G345" s="2"/>
    </row>
    <row r="346" ht="15.75" customHeight="1">
      <c r="A346" s="1"/>
      <c r="B346" s="1"/>
      <c r="C346" s="1"/>
      <c r="D346" s="1"/>
      <c r="E346" s="1"/>
      <c r="F346" s="1"/>
      <c r="G346" s="2"/>
    </row>
    <row r="347" ht="15.75" customHeight="1">
      <c r="A347" s="1"/>
      <c r="B347" s="1"/>
      <c r="C347" s="1"/>
      <c r="D347" s="1"/>
      <c r="E347" s="1"/>
      <c r="F347" s="1"/>
      <c r="G347" s="2"/>
    </row>
    <row r="348" ht="15.75" customHeight="1">
      <c r="A348" s="1"/>
      <c r="B348" s="1"/>
      <c r="C348" s="1"/>
      <c r="D348" s="1"/>
      <c r="E348" s="1"/>
      <c r="F348" s="1"/>
      <c r="G348" s="2"/>
    </row>
    <row r="349" ht="15.75" customHeight="1">
      <c r="A349" s="1"/>
      <c r="B349" s="1"/>
      <c r="C349" s="1"/>
      <c r="D349" s="1"/>
      <c r="E349" s="1"/>
      <c r="F349" s="1"/>
      <c r="G349" s="2"/>
    </row>
    <row r="350" ht="15.75" customHeight="1">
      <c r="A350" s="1"/>
      <c r="B350" s="1"/>
      <c r="C350" s="1"/>
      <c r="D350" s="1"/>
      <c r="E350" s="1"/>
      <c r="F350" s="1"/>
      <c r="G350" s="2"/>
    </row>
    <row r="351" ht="15.75" customHeight="1">
      <c r="A351" s="1"/>
      <c r="B351" s="1"/>
      <c r="C351" s="1"/>
      <c r="D351" s="1"/>
      <c r="E351" s="1"/>
      <c r="F351" s="1"/>
      <c r="G351" s="2"/>
    </row>
    <row r="352" ht="15.75" customHeight="1">
      <c r="A352" s="1"/>
      <c r="B352" s="1"/>
      <c r="C352" s="1"/>
      <c r="D352" s="1"/>
      <c r="E352" s="1"/>
      <c r="F352" s="1"/>
      <c r="G352" s="2"/>
    </row>
    <row r="353" ht="15.75" customHeight="1">
      <c r="A353" s="1"/>
      <c r="B353" s="1"/>
      <c r="C353" s="1"/>
      <c r="D353" s="1"/>
      <c r="E353" s="1"/>
      <c r="F353" s="1"/>
      <c r="G353" s="2"/>
    </row>
    <row r="354" ht="15.75" customHeight="1">
      <c r="A354" s="1"/>
      <c r="B354" s="1"/>
      <c r="C354" s="1"/>
      <c r="D354" s="1"/>
      <c r="E354" s="1"/>
      <c r="F354" s="1"/>
      <c r="G354" s="2"/>
    </row>
    <row r="355" ht="15.75" customHeight="1">
      <c r="A355" s="1"/>
      <c r="B355" s="1"/>
      <c r="C355" s="1"/>
      <c r="D355" s="1"/>
      <c r="E355" s="1"/>
      <c r="F355" s="1"/>
      <c r="G355" s="2"/>
    </row>
    <row r="356" ht="15.75" customHeight="1">
      <c r="A356" s="1"/>
      <c r="B356" s="1"/>
      <c r="C356" s="1"/>
      <c r="D356" s="1"/>
      <c r="E356" s="1"/>
      <c r="F356" s="1"/>
      <c r="G356" s="2"/>
    </row>
    <row r="357" ht="15.75" customHeight="1">
      <c r="A357" s="1"/>
      <c r="B357" s="1"/>
      <c r="C357" s="1"/>
      <c r="D357" s="1"/>
      <c r="E357" s="1"/>
      <c r="F357" s="1"/>
      <c r="G357" s="2"/>
    </row>
    <row r="358" ht="15.75" customHeight="1">
      <c r="A358" s="1"/>
      <c r="B358" s="1"/>
      <c r="C358" s="1"/>
      <c r="D358" s="1"/>
      <c r="E358" s="1"/>
      <c r="F358" s="1"/>
      <c r="G358" s="2"/>
    </row>
    <row r="359" ht="15.75" customHeight="1">
      <c r="A359" s="1"/>
      <c r="B359" s="1"/>
      <c r="C359" s="1"/>
      <c r="D359" s="1"/>
      <c r="E359" s="1"/>
      <c r="F359" s="1"/>
      <c r="G359" s="2"/>
    </row>
    <row r="360" ht="15.75" customHeight="1">
      <c r="A360" s="1"/>
      <c r="B360" s="1"/>
      <c r="C360" s="1"/>
      <c r="D360" s="1"/>
      <c r="E360" s="1"/>
      <c r="F360" s="1"/>
      <c r="G360" s="2"/>
    </row>
    <row r="361" ht="15.75" customHeight="1">
      <c r="A361" s="1"/>
      <c r="B361" s="1"/>
      <c r="C361" s="1"/>
      <c r="D361" s="1"/>
      <c r="E361" s="1"/>
      <c r="F361" s="1"/>
      <c r="G361" s="2"/>
    </row>
    <row r="362" ht="15.75" customHeight="1">
      <c r="A362" s="1"/>
      <c r="B362" s="1"/>
      <c r="C362" s="1"/>
      <c r="D362" s="1"/>
      <c r="E362" s="1"/>
      <c r="F362" s="1"/>
      <c r="G362" s="2"/>
    </row>
    <row r="363" ht="15.75" customHeight="1">
      <c r="A363" s="1"/>
      <c r="B363" s="1"/>
      <c r="C363" s="1"/>
      <c r="D363" s="1"/>
      <c r="E363" s="1"/>
      <c r="F363" s="1"/>
      <c r="G363" s="2"/>
    </row>
    <row r="364" ht="15.75" customHeight="1">
      <c r="A364" s="1"/>
      <c r="B364" s="1"/>
      <c r="C364" s="1"/>
      <c r="D364" s="1"/>
      <c r="E364" s="1"/>
      <c r="F364" s="1"/>
      <c r="G364" s="2"/>
    </row>
    <row r="365" ht="15.75" customHeight="1">
      <c r="A365" s="1"/>
      <c r="B365" s="1"/>
      <c r="C365" s="1"/>
      <c r="D365" s="1"/>
      <c r="E365" s="1"/>
      <c r="F365" s="1"/>
      <c r="G365" s="2"/>
    </row>
    <row r="366" ht="15.75" customHeight="1">
      <c r="A366" s="1"/>
      <c r="B366" s="1"/>
      <c r="C366" s="1"/>
      <c r="D366" s="1"/>
      <c r="E366" s="1"/>
      <c r="F366" s="1"/>
      <c r="G366" s="2"/>
    </row>
    <row r="367" ht="15.75" customHeight="1">
      <c r="A367" s="1"/>
      <c r="B367" s="1"/>
      <c r="C367" s="1"/>
      <c r="D367" s="1"/>
      <c r="E367" s="1"/>
      <c r="F367" s="1"/>
      <c r="G367" s="2"/>
    </row>
    <row r="368" ht="15.75" customHeight="1">
      <c r="A368" s="1"/>
      <c r="B368" s="1"/>
      <c r="C368" s="1"/>
      <c r="D368" s="1"/>
      <c r="E368" s="1"/>
      <c r="F368" s="1"/>
      <c r="G368" s="2"/>
    </row>
    <row r="369" ht="15.75" customHeight="1">
      <c r="A369" s="1"/>
      <c r="B369" s="1"/>
      <c r="C369" s="1"/>
      <c r="D369" s="1"/>
      <c r="E369" s="1"/>
      <c r="F369" s="1"/>
      <c r="G369" s="2"/>
    </row>
    <row r="370" ht="15.75" customHeight="1">
      <c r="A370" s="1"/>
      <c r="B370" s="1"/>
      <c r="C370" s="1"/>
      <c r="D370" s="1"/>
      <c r="E370" s="1"/>
      <c r="F370" s="1"/>
      <c r="G370" s="2"/>
    </row>
    <row r="371" ht="15.75" customHeight="1">
      <c r="A371" s="1"/>
      <c r="B371" s="1"/>
      <c r="C371" s="1"/>
      <c r="D371" s="1"/>
      <c r="E371" s="1"/>
      <c r="F371" s="1"/>
      <c r="G371" s="2"/>
    </row>
    <row r="372" ht="15.75" customHeight="1">
      <c r="A372" s="1"/>
      <c r="B372" s="1"/>
      <c r="C372" s="1"/>
      <c r="D372" s="1"/>
      <c r="E372" s="1"/>
      <c r="F372" s="1"/>
      <c r="G372" s="2"/>
    </row>
    <row r="373" ht="15.75" customHeight="1">
      <c r="A373" s="1"/>
      <c r="B373" s="1"/>
      <c r="C373" s="1"/>
      <c r="D373" s="1"/>
      <c r="E373" s="1"/>
      <c r="F373" s="1"/>
      <c r="G373" s="2"/>
    </row>
    <row r="374" ht="15.75" customHeight="1">
      <c r="A374" s="1"/>
      <c r="B374" s="1"/>
      <c r="C374" s="1"/>
      <c r="D374" s="1"/>
      <c r="E374" s="1"/>
      <c r="F374" s="1"/>
      <c r="G374" s="2"/>
    </row>
    <row r="375" ht="15.75" customHeight="1">
      <c r="A375" s="1"/>
      <c r="B375" s="1"/>
      <c r="C375" s="1"/>
      <c r="D375" s="1"/>
      <c r="E375" s="1"/>
      <c r="F375" s="1"/>
      <c r="G375" s="2"/>
    </row>
    <row r="376" ht="15.75" customHeight="1">
      <c r="A376" s="1"/>
      <c r="B376" s="1"/>
      <c r="C376" s="1"/>
      <c r="D376" s="1"/>
      <c r="E376" s="1"/>
      <c r="F376" s="1"/>
      <c r="G376" s="2"/>
    </row>
    <row r="377" ht="15.75" customHeight="1">
      <c r="A377" s="1"/>
      <c r="B377" s="1"/>
      <c r="C377" s="1"/>
      <c r="D377" s="1"/>
      <c r="E377" s="1"/>
      <c r="F377" s="1"/>
      <c r="G377" s="2"/>
    </row>
    <row r="378" ht="15.75" customHeight="1">
      <c r="A378" s="1"/>
      <c r="B378" s="1"/>
      <c r="C378" s="1"/>
      <c r="D378" s="1"/>
      <c r="E378" s="1"/>
      <c r="F378" s="1"/>
      <c r="G378" s="2"/>
    </row>
    <row r="379" ht="15.75" customHeight="1">
      <c r="A379" s="1"/>
      <c r="B379" s="1"/>
      <c r="C379" s="1"/>
      <c r="D379" s="1"/>
      <c r="E379" s="1"/>
      <c r="F379" s="1"/>
      <c r="G379" s="2"/>
    </row>
    <row r="380" ht="15.75" customHeight="1">
      <c r="A380" s="1"/>
      <c r="B380" s="1"/>
      <c r="C380" s="1"/>
      <c r="D380" s="1"/>
      <c r="E380" s="1"/>
      <c r="F380" s="1"/>
      <c r="G380" s="2"/>
    </row>
    <row r="381" ht="15.75" customHeight="1">
      <c r="A381" s="1"/>
      <c r="B381" s="1"/>
      <c r="C381" s="1"/>
      <c r="D381" s="1"/>
      <c r="E381" s="1"/>
      <c r="F381" s="1"/>
      <c r="G381" s="2"/>
    </row>
    <row r="382" ht="15.75" customHeight="1">
      <c r="A382" s="1"/>
      <c r="B382" s="1"/>
      <c r="C382" s="1"/>
      <c r="D382" s="1"/>
      <c r="E382" s="1"/>
      <c r="F382" s="1"/>
      <c r="G382" s="2"/>
    </row>
    <row r="383" ht="15.75" customHeight="1">
      <c r="A383" s="1"/>
      <c r="B383" s="1"/>
      <c r="C383" s="1"/>
      <c r="D383" s="1"/>
      <c r="E383" s="1"/>
      <c r="F383" s="1"/>
      <c r="G383" s="2"/>
    </row>
    <row r="384" ht="15.75" customHeight="1">
      <c r="A384" s="1"/>
      <c r="B384" s="1"/>
      <c r="C384" s="1"/>
      <c r="D384" s="1"/>
      <c r="E384" s="1"/>
      <c r="F384" s="1"/>
      <c r="G384" s="2"/>
    </row>
    <row r="385" ht="15.75" customHeight="1">
      <c r="A385" s="1"/>
      <c r="B385" s="1"/>
      <c r="C385" s="1"/>
      <c r="D385" s="1"/>
      <c r="E385" s="1"/>
      <c r="F385" s="1"/>
      <c r="G385" s="2"/>
    </row>
    <row r="386" ht="15.75" customHeight="1">
      <c r="A386" s="1"/>
      <c r="B386" s="1"/>
      <c r="C386" s="1"/>
      <c r="D386" s="1"/>
      <c r="E386" s="1"/>
      <c r="F386" s="1"/>
      <c r="G386" s="2"/>
    </row>
    <row r="387" ht="15.75" customHeight="1">
      <c r="A387" s="1"/>
      <c r="B387" s="1"/>
      <c r="C387" s="1"/>
      <c r="D387" s="1"/>
      <c r="E387" s="1"/>
      <c r="F387" s="1"/>
      <c r="G387" s="2"/>
    </row>
    <row r="388" ht="15.75" customHeight="1">
      <c r="A388" s="1"/>
      <c r="B388" s="1"/>
      <c r="C388" s="1"/>
      <c r="D388" s="1"/>
      <c r="E388" s="1"/>
      <c r="F388" s="1"/>
      <c r="G388" s="2"/>
    </row>
    <row r="389" ht="15.75" customHeight="1">
      <c r="A389" s="1"/>
      <c r="B389" s="1"/>
      <c r="C389" s="1"/>
      <c r="D389" s="1"/>
      <c r="E389" s="1"/>
      <c r="F389" s="1"/>
      <c r="G389" s="2"/>
    </row>
    <row r="390" ht="15.75" customHeight="1">
      <c r="A390" s="1"/>
      <c r="B390" s="1"/>
      <c r="C390" s="1"/>
      <c r="D390" s="1"/>
      <c r="E390" s="1"/>
      <c r="F390" s="1"/>
      <c r="G390" s="2"/>
    </row>
    <row r="391" ht="15.75" customHeight="1">
      <c r="A391" s="1"/>
      <c r="B391" s="1"/>
      <c r="C391" s="1"/>
      <c r="D391" s="1"/>
      <c r="E391" s="1"/>
      <c r="F391" s="1"/>
      <c r="G391" s="2"/>
    </row>
    <row r="392" ht="15.75" customHeight="1">
      <c r="A392" s="1"/>
      <c r="B392" s="1"/>
      <c r="C392" s="1"/>
      <c r="D392" s="1"/>
      <c r="E392" s="1"/>
      <c r="F392" s="1"/>
      <c r="G392" s="2"/>
    </row>
    <row r="393" ht="15.75" customHeight="1">
      <c r="A393" s="1"/>
      <c r="B393" s="1"/>
      <c r="C393" s="1"/>
      <c r="D393" s="1"/>
      <c r="E393" s="1"/>
      <c r="F393" s="1"/>
      <c r="G393" s="2"/>
    </row>
    <row r="394" ht="15.75" customHeight="1">
      <c r="A394" s="1"/>
      <c r="B394" s="1"/>
      <c r="C394" s="1"/>
      <c r="D394" s="1"/>
      <c r="E394" s="1"/>
      <c r="F394" s="1"/>
      <c r="G394" s="2"/>
    </row>
    <row r="395" ht="15.75" customHeight="1">
      <c r="A395" s="1"/>
      <c r="B395" s="1"/>
      <c r="C395" s="1"/>
      <c r="D395" s="1"/>
      <c r="E395" s="1"/>
      <c r="F395" s="1"/>
      <c r="G395" s="2"/>
    </row>
    <row r="396" ht="15.75" customHeight="1">
      <c r="A396" s="1"/>
      <c r="B396" s="1"/>
      <c r="C396" s="1"/>
      <c r="D396" s="1"/>
      <c r="E396" s="1"/>
      <c r="F396" s="1"/>
      <c r="G396" s="2"/>
    </row>
    <row r="397" ht="15.75" customHeight="1">
      <c r="A397" s="1"/>
      <c r="B397" s="1"/>
      <c r="C397" s="1"/>
      <c r="D397" s="1"/>
      <c r="E397" s="1"/>
      <c r="F397" s="1"/>
      <c r="G397" s="2"/>
    </row>
    <row r="398" ht="15.75" customHeight="1">
      <c r="A398" s="1"/>
      <c r="B398" s="1"/>
      <c r="C398" s="1"/>
      <c r="D398" s="1"/>
      <c r="E398" s="1"/>
      <c r="F398" s="1"/>
      <c r="G398" s="2"/>
    </row>
    <row r="399" ht="15.75" customHeight="1">
      <c r="A399" s="1"/>
      <c r="B399" s="1"/>
      <c r="C399" s="1"/>
      <c r="D399" s="1"/>
      <c r="E399" s="1"/>
      <c r="F399" s="1"/>
      <c r="G399" s="2"/>
    </row>
    <row r="400" ht="15.75" customHeight="1">
      <c r="A400" s="1"/>
      <c r="B400" s="1"/>
      <c r="C400" s="1"/>
      <c r="D400" s="1"/>
      <c r="E400" s="1"/>
      <c r="F400" s="1"/>
      <c r="G400" s="2"/>
    </row>
    <row r="401" ht="15.75" customHeight="1">
      <c r="A401" s="1"/>
      <c r="B401" s="1"/>
      <c r="C401" s="1"/>
      <c r="D401" s="1"/>
      <c r="E401" s="1"/>
      <c r="F401" s="1"/>
      <c r="G401" s="2"/>
    </row>
    <row r="402" ht="15.75" customHeight="1">
      <c r="A402" s="1"/>
      <c r="B402" s="1"/>
      <c r="C402" s="1"/>
      <c r="D402" s="1"/>
      <c r="E402" s="1"/>
      <c r="F402" s="1"/>
      <c r="G402" s="2"/>
    </row>
    <row r="403" ht="15.75" customHeight="1">
      <c r="A403" s="1"/>
      <c r="B403" s="1"/>
      <c r="C403" s="1"/>
      <c r="D403" s="1"/>
      <c r="E403" s="1"/>
      <c r="F403" s="1"/>
      <c r="G403" s="2"/>
    </row>
    <row r="404" ht="15.75" customHeight="1">
      <c r="A404" s="1"/>
      <c r="B404" s="1"/>
      <c r="C404" s="1"/>
      <c r="D404" s="1"/>
      <c r="E404" s="1"/>
      <c r="F404" s="1"/>
      <c r="G404" s="2"/>
    </row>
    <row r="405" ht="15.75" customHeight="1">
      <c r="A405" s="1"/>
      <c r="B405" s="1"/>
      <c r="C405" s="1"/>
      <c r="D405" s="1"/>
      <c r="E405" s="1"/>
      <c r="F405" s="1"/>
      <c r="G405" s="2"/>
    </row>
    <row r="406" ht="15.75" customHeight="1">
      <c r="A406" s="1"/>
      <c r="B406" s="1"/>
      <c r="C406" s="1"/>
      <c r="D406" s="1"/>
      <c r="E406" s="1"/>
      <c r="F406" s="1"/>
      <c r="G406" s="2"/>
    </row>
    <row r="407" ht="15.75" customHeight="1">
      <c r="A407" s="1"/>
      <c r="B407" s="1"/>
      <c r="C407" s="1"/>
      <c r="D407" s="1"/>
      <c r="E407" s="1"/>
      <c r="F407" s="1"/>
      <c r="G407" s="2"/>
    </row>
    <row r="408" ht="15.75" customHeight="1">
      <c r="A408" s="1"/>
      <c r="B408" s="1"/>
      <c r="C408" s="1"/>
      <c r="D408" s="1"/>
      <c r="E408" s="1"/>
      <c r="F408" s="1"/>
      <c r="G408" s="2"/>
    </row>
    <row r="409" ht="15.75" customHeight="1">
      <c r="A409" s="1"/>
      <c r="B409" s="1"/>
      <c r="C409" s="1"/>
      <c r="D409" s="1"/>
      <c r="E409" s="1"/>
      <c r="F409" s="1"/>
      <c r="G409" s="2"/>
    </row>
    <row r="410" ht="15.75" customHeight="1">
      <c r="A410" s="1"/>
      <c r="B410" s="1"/>
      <c r="C410" s="1"/>
      <c r="D410" s="1"/>
      <c r="E410" s="1"/>
      <c r="F410" s="1"/>
      <c r="G410" s="2"/>
    </row>
    <row r="411" ht="15.75" customHeight="1">
      <c r="A411" s="1"/>
      <c r="B411" s="1"/>
      <c r="C411" s="1"/>
      <c r="D411" s="1"/>
      <c r="E411" s="1"/>
      <c r="F411" s="1"/>
      <c r="G411" s="2"/>
    </row>
    <row r="412" ht="15.75" customHeight="1">
      <c r="A412" s="1"/>
      <c r="B412" s="1"/>
      <c r="C412" s="1"/>
      <c r="D412" s="1"/>
      <c r="E412" s="1"/>
      <c r="F412" s="1"/>
      <c r="G412" s="2"/>
    </row>
    <row r="413" ht="15.75" customHeight="1">
      <c r="A413" s="1"/>
      <c r="B413" s="1"/>
      <c r="C413" s="1"/>
      <c r="D413" s="1"/>
      <c r="E413" s="1"/>
      <c r="F413" s="1"/>
      <c r="G413" s="2"/>
    </row>
    <row r="414" ht="15.75" customHeight="1">
      <c r="A414" s="1"/>
      <c r="B414" s="1"/>
      <c r="C414" s="1"/>
      <c r="D414" s="1"/>
      <c r="E414" s="1"/>
      <c r="F414" s="1"/>
      <c r="G414" s="2"/>
    </row>
    <row r="415" ht="15.75" customHeight="1">
      <c r="A415" s="1"/>
      <c r="B415" s="1"/>
      <c r="C415" s="1"/>
      <c r="D415" s="1"/>
      <c r="E415" s="1"/>
      <c r="F415" s="1"/>
      <c r="G415" s="2"/>
    </row>
    <row r="416" ht="15.75" customHeight="1">
      <c r="A416" s="1"/>
      <c r="B416" s="1"/>
      <c r="C416" s="1"/>
      <c r="D416" s="1"/>
      <c r="E416" s="1"/>
      <c r="F416" s="1"/>
      <c r="G416" s="2"/>
    </row>
    <row r="417" ht="15.75" customHeight="1">
      <c r="A417" s="1"/>
      <c r="B417" s="1"/>
      <c r="C417" s="1"/>
      <c r="D417" s="1"/>
      <c r="E417" s="1"/>
      <c r="F417" s="1"/>
      <c r="G417" s="2"/>
    </row>
    <row r="418" ht="15.75" customHeight="1">
      <c r="A418" s="1"/>
      <c r="B418" s="1"/>
      <c r="C418" s="1"/>
      <c r="D418" s="1"/>
      <c r="E418" s="1"/>
      <c r="F418" s="1"/>
      <c r="G418" s="2"/>
    </row>
    <row r="419" ht="15.75" customHeight="1">
      <c r="A419" s="1"/>
      <c r="B419" s="1"/>
      <c r="C419" s="1"/>
      <c r="D419" s="1"/>
      <c r="E419" s="1"/>
      <c r="F419" s="1"/>
      <c r="G419" s="2"/>
    </row>
    <row r="420" ht="15.75" customHeight="1">
      <c r="A420" s="1"/>
      <c r="B420" s="1"/>
      <c r="C420" s="1"/>
      <c r="D420" s="1"/>
      <c r="E420" s="1"/>
      <c r="F420" s="1"/>
      <c r="G420" s="2"/>
    </row>
    <row r="421" ht="15.75" customHeight="1">
      <c r="A421" s="1"/>
      <c r="B421" s="1"/>
      <c r="C421" s="1"/>
      <c r="D421" s="1"/>
      <c r="E421" s="1"/>
      <c r="F421" s="1"/>
      <c r="G421" s="2"/>
    </row>
    <row r="422" ht="15.75" customHeight="1">
      <c r="A422" s="1"/>
      <c r="B422" s="1"/>
      <c r="C422" s="1"/>
      <c r="D422" s="1"/>
      <c r="E422" s="1"/>
      <c r="F422" s="1"/>
      <c r="G422" s="2"/>
    </row>
    <row r="423" ht="15.75" customHeight="1">
      <c r="A423" s="1"/>
      <c r="B423" s="1"/>
      <c r="C423" s="1"/>
      <c r="D423" s="1"/>
      <c r="E423" s="1"/>
      <c r="F423" s="1"/>
      <c r="G423" s="2"/>
    </row>
    <row r="424" ht="15.75" customHeight="1">
      <c r="A424" s="1"/>
      <c r="B424" s="1"/>
      <c r="C424" s="1"/>
      <c r="D424" s="1"/>
      <c r="E424" s="1"/>
      <c r="F424" s="1"/>
      <c r="G424" s="2"/>
    </row>
    <row r="425" ht="15.75" customHeight="1">
      <c r="A425" s="1"/>
      <c r="B425" s="1"/>
      <c r="C425" s="1"/>
      <c r="D425" s="1"/>
      <c r="E425" s="1"/>
      <c r="F425" s="1"/>
      <c r="G425" s="2"/>
    </row>
    <row r="426" ht="15.75" customHeight="1">
      <c r="A426" s="1"/>
      <c r="B426" s="1"/>
      <c r="C426" s="1"/>
      <c r="D426" s="1"/>
      <c r="E426" s="1"/>
      <c r="F426" s="1"/>
      <c r="G426" s="2"/>
    </row>
    <row r="427" ht="15.75" customHeight="1">
      <c r="A427" s="1"/>
      <c r="B427" s="1"/>
      <c r="C427" s="1"/>
      <c r="D427" s="1"/>
      <c r="E427" s="1"/>
      <c r="F427" s="1"/>
      <c r="G427" s="2"/>
    </row>
    <row r="428" ht="15.75" customHeight="1">
      <c r="A428" s="1"/>
      <c r="B428" s="1"/>
      <c r="C428" s="1"/>
      <c r="D428" s="1"/>
      <c r="E428" s="1"/>
      <c r="F428" s="1"/>
      <c r="G428" s="2"/>
    </row>
    <row r="429" ht="15.75" customHeight="1">
      <c r="A429" s="1"/>
      <c r="B429" s="1"/>
      <c r="C429" s="1"/>
      <c r="D429" s="1"/>
      <c r="E429" s="1"/>
      <c r="F429" s="1"/>
      <c r="G429" s="2"/>
    </row>
    <row r="430" ht="15.75" customHeight="1">
      <c r="A430" s="1"/>
      <c r="B430" s="1"/>
      <c r="C430" s="1"/>
      <c r="D430" s="1"/>
      <c r="E430" s="1"/>
      <c r="F430" s="1"/>
      <c r="G430" s="2"/>
    </row>
    <row r="431" ht="15.75" customHeight="1">
      <c r="A431" s="1"/>
      <c r="B431" s="1"/>
      <c r="C431" s="1"/>
      <c r="D431" s="1"/>
      <c r="E431" s="1"/>
      <c r="F431" s="1"/>
      <c r="G431" s="2"/>
    </row>
    <row r="432" ht="15.75" customHeight="1">
      <c r="A432" s="1"/>
      <c r="B432" s="1"/>
      <c r="C432" s="1"/>
      <c r="D432" s="1"/>
      <c r="E432" s="1"/>
      <c r="F432" s="1"/>
      <c r="G432" s="2"/>
    </row>
    <row r="433" ht="15.75" customHeight="1">
      <c r="A433" s="1"/>
      <c r="B433" s="1"/>
      <c r="C433" s="1"/>
      <c r="D433" s="1"/>
      <c r="E433" s="1"/>
      <c r="F433" s="1"/>
      <c r="G433" s="2"/>
    </row>
    <row r="434" ht="15.75" customHeight="1">
      <c r="A434" s="1"/>
      <c r="B434" s="1"/>
      <c r="C434" s="1"/>
      <c r="D434" s="1"/>
      <c r="E434" s="1"/>
      <c r="F434" s="1"/>
      <c r="G434" s="2"/>
    </row>
    <row r="435" ht="15.75" customHeight="1">
      <c r="A435" s="1"/>
      <c r="B435" s="1"/>
      <c r="C435" s="1"/>
      <c r="D435" s="1"/>
      <c r="E435" s="1"/>
      <c r="F435" s="1"/>
      <c r="G435" s="2"/>
    </row>
    <row r="436" ht="15.75" customHeight="1">
      <c r="A436" s="1"/>
      <c r="B436" s="1"/>
      <c r="C436" s="1"/>
      <c r="D436" s="1"/>
      <c r="E436" s="1"/>
      <c r="F436" s="1"/>
      <c r="G436" s="2"/>
    </row>
    <row r="437" ht="15.75" customHeight="1">
      <c r="A437" s="1"/>
      <c r="B437" s="1"/>
      <c r="C437" s="1"/>
      <c r="D437" s="1"/>
      <c r="E437" s="1"/>
      <c r="F437" s="1"/>
      <c r="G437" s="2"/>
    </row>
    <row r="438" ht="15.75" customHeight="1">
      <c r="A438" s="1"/>
      <c r="B438" s="1"/>
      <c r="C438" s="1"/>
      <c r="D438" s="1"/>
      <c r="E438" s="1"/>
      <c r="F438" s="1"/>
      <c r="G438" s="2"/>
    </row>
    <row r="439" ht="15.75" customHeight="1">
      <c r="A439" s="1"/>
      <c r="B439" s="1"/>
      <c r="C439" s="1"/>
      <c r="D439" s="1"/>
      <c r="E439" s="1"/>
      <c r="F439" s="1"/>
      <c r="G439" s="2"/>
    </row>
    <row r="440" ht="15.75" customHeight="1">
      <c r="A440" s="1"/>
      <c r="B440" s="1"/>
      <c r="C440" s="1"/>
      <c r="D440" s="1"/>
      <c r="E440" s="1"/>
      <c r="F440" s="1"/>
      <c r="G440" s="2"/>
    </row>
    <row r="441" ht="15.75" customHeight="1">
      <c r="A441" s="1"/>
      <c r="B441" s="1"/>
      <c r="C441" s="1"/>
      <c r="D441" s="1"/>
      <c r="E441" s="1"/>
      <c r="F441" s="1"/>
      <c r="G441" s="2"/>
    </row>
    <row r="442" ht="15.75" customHeight="1">
      <c r="A442" s="1"/>
      <c r="B442" s="1"/>
      <c r="C442" s="1"/>
      <c r="D442" s="1"/>
      <c r="E442" s="1"/>
      <c r="F442" s="1"/>
      <c r="G442" s="2"/>
    </row>
    <row r="443" ht="15.75" customHeight="1">
      <c r="A443" s="1"/>
      <c r="B443" s="1"/>
      <c r="C443" s="1"/>
      <c r="D443" s="1"/>
      <c r="E443" s="1"/>
      <c r="F443" s="1"/>
      <c r="G443" s="2"/>
    </row>
    <row r="444" ht="15.75" customHeight="1">
      <c r="A444" s="1"/>
      <c r="B444" s="1"/>
      <c r="C444" s="1"/>
      <c r="D444" s="1"/>
      <c r="E444" s="1"/>
      <c r="F444" s="1"/>
      <c r="G444" s="2"/>
    </row>
    <row r="445" ht="15.75" customHeight="1">
      <c r="A445" s="1"/>
      <c r="B445" s="1"/>
      <c r="C445" s="1"/>
      <c r="D445" s="1"/>
      <c r="E445" s="1"/>
      <c r="F445" s="1"/>
      <c r="G445" s="2"/>
    </row>
    <row r="446" ht="15.75" customHeight="1">
      <c r="A446" s="1"/>
      <c r="B446" s="1"/>
      <c r="C446" s="1"/>
      <c r="D446" s="1"/>
      <c r="E446" s="1"/>
      <c r="F446" s="1"/>
      <c r="G446" s="2"/>
    </row>
    <row r="447" ht="15.75" customHeight="1">
      <c r="A447" s="1"/>
      <c r="B447" s="1"/>
      <c r="C447" s="1"/>
      <c r="D447" s="1"/>
      <c r="E447" s="1"/>
      <c r="F447" s="1"/>
      <c r="G447" s="2"/>
    </row>
    <row r="448" ht="15.75" customHeight="1">
      <c r="A448" s="1"/>
      <c r="B448" s="1"/>
      <c r="C448" s="1"/>
      <c r="D448" s="1"/>
      <c r="E448" s="1"/>
      <c r="F448" s="1"/>
      <c r="G448" s="2"/>
    </row>
    <row r="449" ht="15.75" customHeight="1">
      <c r="A449" s="1"/>
      <c r="B449" s="1"/>
      <c r="C449" s="1"/>
      <c r="D449" s="1"/>
      <c r="E449" s="1"/>
      <c r="F449" s="1"/>
      <c r="G449" s="2"/>
    </row>
    <row r="450" ht="15.75" customHeight="1">
      <c r="A450" s="1"/>
      <c r="B450" s="1"/>
      <c r="C450" s="1"/>
      <c r="D450" s="1"/>
      <c r="E450" s="1"/>
      <c r="F450" s="1"/>
      <c r="G450" s="2"/>
    </row>
    <row r="451" ht="15.75" customHeight="1">
      <c r="A451" s="1"/>
      <c r="B451" s="1"/>
      <c r="C451" s="1"/>
      <c r="D451" s="1"/>
      <c r="E451" s="1"/>
      <c r="F451" s="1"/>
      <c r="G451" s="2"/>
    </row>
    <row r="452" ht="15.75" customHeight="1">
      <c r="A452" s="1"/>
      <c r="B452" s="1"/>
      <c r="C452" s="1"/>
      <c r="D452" s="1"/>
      <c r="E452" s="1"/>
      <c r="F452" s="1"/>
      <c r="G452" s="2"/>
    </row>
    <row r="453" ht="15.75" customHeight="1">
      <c r="A453" s="1"/>
      <c r="B453" s="1"/>
      <c r="C453" s="1"/>
      <c r="D453" s="1"/>
      <c r="E453" s="1"/>
      <c r="F453" s="1"/>
      <c r="G453" s="2"/>
    </row>
    <row r="454" ht="15.75" customHeight="1">
      <c r="A454" s="1"/>
      <c r="B454" s="1"/>
      <c r="C454" s="1"/>
      <c r="D454" s="1"/>
      <c r="E454" s="1"/>
      <c r="F454" s="1"/>
      <c r="G454" s="2"/>
    </row>
    <row r="455" ht="15.75" customHeight="1">
      <c r="A455" s="1"/>
      <c r="B455" s="1"/>
      <c r="C455" s="1"/>
      <c r="D455" s="1"/>
      <c r="E455" s="1"/>
      <c r="F455" s="1"/>
      <c r="G455" s="2"/>
    </row>
    <row r="456" ht="15.75" customHeight="1">
      <c r="A456" s="1"/>
      <c r="B456" s="1"/>
      <c r="C456" s="1"/>
      <c r="D456" s="1"/>
      <c r="E456" s="1"/>
      <c r="F456" s="1"/>
      <c r="G456" s="2"/>
    </row>
    <row r="457" ht="15.75" customHeight="1">
      <c r="A457" s="1"/>
      <c r="B457" s="1"/>
      <c r="C457" s="1"/>
      <c r="D457" s="1"/>
      <c r="E457" s="1"/>
      <c r="F457" s="1"/>
      <c r="G457" s="2"/>
    </row>
    <row r="458" ht="15.75" customHeight="1">
      <c r="A458" s="1"/>
      <c r="B458" s="1"/>
      <c r="C458" s="1"/>
      <c r="D458" s="1"/>
      <c r="E458" s="1"/>
      <c r="F458" s="1"/>
      <c r="G458" s="2"/>
    </row>
    <row r="459" ht="15.75" customHeight="1">
      <c r="A459" s="1"/>
      <c r="B459" s="1"/>
      <c r="C459" s="1"/>
      <c r="D459" s="1"/>
      <c r="E459" s="1"/>
      <c r="F459" s="1"/>
      <c r="G459" s="2"/>
    </row>
    <row r="460" ht="15.75" customHeight="1">
      <c r="A460" s="1"/>
      <c r="B460" s="1"/>
      <c r="C460" s="1"/>
      <c r="D460" s="1"/>
      <c r="E460" s="1"/>
      <c r="F460" s="1"/>
      <c r="G460" s="2"/>
    </row>
    <row r="461" ht="15.75" customHeight="1">
      <c r="A461" s="1"/>
      <c r="B461" s="1"/>
      <c r="C461" s="1"/>
      <c r="D461" s="1"/>
      <c r="E461" s="1"/>
      <c r="F461" s="1"/>
      <c r="G461" s="2"/>
    </row>
    <row r="462" ht="15.75" customHeight="1">
      <c r="A462" s="1"/>
      <c r="B462" s="1"/>
      <c r="C462" s="1"/>
      <c r="D462" s="1"/>
      <c r="E462" s="1"/>
      <c r="F462" s="1"/>
      <c r="G462" s="2"/>
    </row>
    <row r="463" ht="15.75" customHeight="1">
      <c r="A463" s="1"/>
      <c r="B463" s="1"/>
      <c r="C463" s="1"/>
      <c r="D463" s="1"/>
      <c r="E463" s="1"/>
      <c r="F463" s="1"/>
      <c r="G463" s="2"/>
    </row>
    <row r="464" ht="15.75" customHeight="1">
      <c r="A464" s="1"/>
      <c r="B464" s="1"/>
      <c r="C464" s="1"/>
      <c r="D464" s="1"/>
      <c r="E464" s="1"/>
      <c r="F464" s="1"/>
      <c r="G464" s="2"/>
    </row>
    <row r="465" ht="15.75" customHeight="1">
      <c r="A465" s="1"/>
      <c r="B465" s="1"/>
      <c r="C465" s="1"/>
      <c r="D465" s="1"/>
      <c r="E465" s="1"/>
      <c r="F465" s="1"/>
      <c r="G465" s="2"/>
    </row>
    <row r="466" ht="15.75" customHeight="1">
      <c r="A466" s="1"/>
      <c r="B466" s="1"/>
      <c r="C466" s="1"/>
      <c r="D466" s="1"/>
      <c r="E466" s="1"/>
      <c r="F466" s="1"/>
      <c r="G466" s="2"/>
    </row>
    <row r="467" ht="15.75" customHeight="1">
      <c r="A467" s="1"/>
      <c r="B467" s="1"/>
      <c r="C467" s="1"/>
      <c r="D467" s="1"/>
      <c r="E467" s="1"/>
      <c r="F467" s="1"/>
      <c r="G467" s="2"/>
    </row>
    <row r="468" ht="15.75" customHeight="1">
      <c r="A468" s="1"/>
      <c r="B468" s="1"/>
      <c r="C468" s="1"/>
      <c r="D468" s="1"/>
      <c r="E468" s="1"/>
      <c r="F468" s="1"/>
      <c r="G468" s="2"/>
    </row>
    <row r="469" ht="15.75" customHeight="1">
      <c r="A469" s="1"/>
      <c r="B469" s="1"/>
      <c r="C469" s="1"/>
      <c r="D469" s="1"/>
      <c r="E469" s="1"/>
      <c r="F469" s="1"/>
      <c r="G469" s="2"/>
    </row>
    <row r="470" ht="15.75" customHeight="1">
      <c r="A470" s="1"/>
      <c r="B470" s="1"/>
      <c r="C470" s="1"/>
      <c r="D470" s="1"/>
      <c r="E470" s="1"/>
      <c r="F470" s="1"/>
      <c r="G470" s="2"/>
    </row>
    <row r="471" ht="15.75" customHeight="1">
      <c r="A471" s="1"/>
      <c r="B471" s="1"/>
      <c r="C471" s="1"/>
      <c r="D471" s="1"/>
      <c r="E471" s="1"/>
      <c r="F471" s="1"/>
      <c r="G471" s="2"/>
    </row>
    <row r="472" ht="15.75" customHeight="1">
      <c r="A472" s="1"/>
      <c r="B472" s="1"/>
      <c r="C472" s="1"/>
      <c r="D472" s="1"/>
      <c r="E472" s="1"/>
      <c r="F472" s="1"/>
      <c r="G472" s="2"/>
    </row>
    <row r="473" ht="15.75" customHeight="1">
      <c r="A473" s="1"/>
      <c r="B473" s="1"/>
      <c r="C473" s="1"/>
      <c r="D473" s="1"/>
      <c r="E473" s="1"/>
      <c r="F473" s="1"/>
      <c r="G473" s="2"/>
    </row>
    <row r="474" ht="15.75" customHeight="1">
      <c r="A474" s="1"/>
      <c r="B474" s="1"/>
      <c r="C474" s="1"/>
      <c r="D474" s="1"/>
      <c r="E474" s="1"/>
      <c r="F474" s="1"/>
      <c r="G474" s="2"/>
    </row>
    <row r="475" ht="15.75" customHeight="1">
      <c r="A475" s="1"/>
      <c r="B475" s="1"/>
      <c r="C475" s="1"/>
      <c r="D475" s="1"/>
      <c r="E475" s="1"/>
      <c r="F475" s="1"/>
      <c r="G475" s="2"/>
    </row>
    <row r="476" ht="15.75" customHeight="1">
      <c r="A476" s="1"/>
      <c r="B476" s="1"/>
      <c r="C476" s="1"/>
      <c r="D476" s="1"/>
      <c r="E476" s="1"/>
      <c r="F476" s="1"/>
      <c r="G476" s="2"/>
    </row>
    <row r="477" ht="15.75" customHeight="1">
      <c r="A477" s="1"/>
      <c r="B477" s="1"/>
      <c r="C477" s="1"/>
      <c r="D477" s="1"/>
      <c r="E477" s="1"/>
      <c r="F477" s="1"/>
      <c r="G477" s="2"/>
    </row>
    <row r="478" ht="15.75" customHeight="1">
      <c r="A478" s="1"/>
      <c r="B478" s="1"/>
      <c r="C478" s="1"/>
      <c r="D478" s="1"/>
      <c r="E478" s="1"/>
      <c r="F478" s="1"/>
      <c r="G478" s="2"/>
    </row>
    <row r="479" ht="15.75" customHeight="1">
      <c r="A479" s="1"/>
      <c r="B479" s="1"/>
      <c r="C479" s="1"/>
      <c r="D479" s="1"/>
      <c r="E479" s="1"/>
      <c r="F479" s="1"/>
      <c r="G479" s="2"/>
    </row>
    <row r="480" ht="15.75" customHeight="1">
      <c r="A480" s="1"/>
      <c r="B480" s="1"/>
      <c r="C480" s="1"/>
      <c r="D480" s="1"/>
      <c r="E480" s="1"/>
      <c r="F480" s="1"/>
      <c r="G480" s="2"/>
    </row>
    <row r="481" ht="15.75" customHeight="1">
      <c r="A481" s="1"/>
      <c r="B481" s="1"/>
      <c r="C481" s="1"/>
      <c r="D481" s="1"/>
      <c r="E481" s="1"/>
      <c r="F481" s="1"/>
      <c r="G481" s="2"/>
    </row>
    <row r="482" ht="15.75" customHeight="1">
      <c r="A482" s="1"/>
      <c r="B482" s="1"/>
      <c r="C482" s="1"/>
      <c r="D482" s="1"/>
      <c r="E482" s="1"/>
      <c r="F482" s="1"/>
      <c r="G482" s="2"/>
    </row>
    <row r="483" ht="15.75" customHeight="1">
      <c r="A483" s="1"/>
      <c r="B483" s="1"/>
      <c r="C483" s="1"/>
      <c r="D483" s="1"/>
      <c r="E483" s="1"/>
      <c r="F483" s="1"/>
      <c r="G483" s="2"/>
    </row>
    <row r="484" ht="15.75" customHeight="1">
      <c r="A484" s="1"/>
      <c r="B484" s="1"/>
      <c r="C484" s="1"/>
      <c r="D484" s="1"/>
      <c r="E484" s="1"/>
      <c r="F484" s="1"/>
      <c r="G484" s="2"/>
    </row>
    <row r="485" ht="15.75" customHeight="1">
      <c r="A485" s="1"/>
      <c r="B485" s="1"/>
      <c r="C485" s="1"/>
      <c r="D485" s="1"/>
      <c r="E485" s="1"/>
      <c r="F485" s="1"/>
      <c r="G485" s="2"/>
    </row>
    <row r="486" ht="15.75" customHeight="1">
      <c r="A486" s="1"/>
      <c r="B486" s="1"/>
      <c r="C486" s="1"/>
      <c r="D486" s="1"/>
      <c r="E486" s="1"/>
      <c r="F486" s="1"/>
      <c r="G486" s="2"/>
    </row>
    <row r="487" ht="15.75" customHeight="1">
      <c r="A487" s="1"/>
      <c r="B487" s="1"/>
      <c r="C487" s="1"/>
      <c r="D487" s="1"/>
      <c r="E487" s="1"/>
      <c r="F487" s="1"/>
      <c r="G487" s="2"/>
    </row>
    <row r="488" ht="15.75" customHeight="1">
      <c r="A488" s="1"/>
      <c r="B488" s="1"/>
      <c r="C488" s="1"/>
      <c r="D488" s="1"/>
      <c r="E488" s="1"/>
      <c r="F488" s="1"/>
      <c r="G488" s="2"/>
    </row>
    <row r="489" ht="15.75" customHeight="1">
      <c r="A489" s="1"/>
      <c r="B489" s="1"/>
      <c r="C489" s="1"/>
      <c r="D489" s="1"/>
      <c r="E489" s="1"/>
      <c r="F489" s="1"/>
      <c r="G489" s="2"/>
    </row>
    <row r="490" ht="15.75" customHeight="1">
      <c r="A490" s="1"/>
      <c r="B490" s="1"/>
      <c r="C490" s="1"/>
      <c r="D490" s="1"/>
      <c r="E490" s="1"/>
      <c r="F490" s="1"/>
      <c r="G490" s="2"/>
    </row>
    <row r="491" ht="15.75" customHeight="1">
      <c r="A491" s="1"/>
      <c r="B491" s="1"/>
      <c r="C491" s="1"/>
      <c r="D491" s="1"/>
      <c r="E491" s="1"/>
      <c r="F491" s="1"/>
      <c r="G491" s="2"/>
    </row>
    <row r="492" ht="15.75" customHeight="1">
      <c r="A492" s="1"/>
      <c r="B492" s="1"/>
      <c r="C492" s="1"/>
      <c r="D492" s="1"/>
      <c r="E492" s="1"/>
      <c r="F492" s="1"/>
      <c r="G492" s="2"/>
    </row>
    <row r="493" ht="15.75" customHeight="1">
      <c r="A493" s="1"/>
      <c r="B493" s="1"/>
      <c r="C493" s="1"/>
      <c r="D493" s="1"/>
      <c r="E493" s="1"/>
      <c r="F493" s="1"/>
      <c r="G493" s="2"/>
    </row>
    <row r="494" ht="15.75" customHeight="1">
      <c r="A494" s="1"/>
      <c r="B494" s="1"/>
      <c r="C494" s="1"/>
      <c r="D494" s="1"/>
      <c r="E494" s="1"/>
      <c r="F494" s="1"/>
      <c r="G494" s="2"/>
    </row>
    <row r="495" ht="15.75" customHeight="1">
      <c r="A495" s="1"/>
      <c r="B495" s="1"/>
      <c r="C495" s="1"/>
      <c r="D495" s="1"/>
      <c r="E495" s="1"/>
      <c r="F495" s="1"/>
      <c r="G495" s="2"/>
    </row>
    <row r="496" ht="15.75" customHeight="1">
      <c r="A496" s="1"/>
      <c r="B496" s="1"/>
      <c r="C496" s="1"/>
      <c r="D496" s="1"/>
      <c r="E496" s="1"/>
      <c r="F496" s="1"/>
      <c r="G496" s="2"/>
    </row>
    <row r="497" ht="15.75" customHeight="1">
      <c r="A497" s="1"/>
      <c r="B497" s="1"/>
      <c r="C497" s="1"/>
      <c r="D497" s="1"/>
      <c r="E497" s="1"/>
      <c r="F497" s="1"/>
      <c r="G497" s="2"/>
    </row>
    <row r="498" ht="15.75" customHeight="1">
      <c r="A498" s="1"/>
      <c r="B498" s="1"/>
      <c r="C498" s="1"/>
      <c r="D498" s="1"/>
      <c r="E498" s="1"/>
      <c r="F498" s="1"/>
      <c r="G498" s="2"/>
    </row>
    <row r="499" ht="15.75" customHeight="1">
      <c r="A499" s="1"/>
      <c r="B499" s="1"/>
      <c r="C499" s="1"/>
      <c r="D499" s="1"/>
      <c r="E499" s="1"/>
      <c r="F499" s="1"/>
      <c r="G499" s="2"/>
    </row>
    <row r="500" ht="15.75" customHeight="1">
      <c r="A500" s="1"/>
      <c r="B500" s="1"/>
      <c r="C500" s="1"/>
      <c r="D500" s="1"/>
      <c r="E500" s="1"/>
      <c r="F500" s="1"/>
      <c r="G500" s="2"/>
    </row>
    <row r="501" ht="15.75" customHeight="1">
      <c r="A501" s="1"/>
      <c r="B501" s="1"/>
      <c r="C501" s="1"/>
      <c r="D501" s="1"/>
      <c r="E501" s="1"/>
      <c r="F501" s="1"/>
      <c r="G501" s="2"/>
    </row>
    <row r="502" ht="15.75" customHeight="1">
      <c r="A502" s="1"/>
      <c r="B502" s="1"/>
      <c r="C502" s="1"/>
      <c r="D502" s="1"/>
      <c r="E502" s="1"/>
      <c r="F502" s="1"/>
      <c r="G502" s="2"/>
    </row>
    <row r="503" ht="15.75" customHeight="1">
      <c r="A503" s="1"/>
      <c r="B503" s="1"/>
      <c r="C503" s="1"/>
      <c r="D503" s="1"/>
      <c r="E503" s="1"/>
      <c r="F503" s="1"/>
      <c r="G503" s="2"/>
    </row>
    <row r="504" ht="15.75" customHeight="1">
      <c r="A504" s="1"/>
      <c r="B504" s="1"/>
      <c r="C504" s="1"/>
      <c r="D504" s="1"/>
      <c r="E504" s="1"/>
      <c r="F504" s="1"/>
      <c r="G504" s="2"/>
    </row>
    <row r="505" ht="15.75" customHeight="1">
      <c r="A505" s="1"/>
      <c r="B505" s="1"/>
      <c r="C505" s="1"/>
      <c r="D505" s="1"/>
      <c r="E505" s="1"/>
      <c r="F505" s="1"/>
      <c r="G505" s="2"/>
    </row>
    <row r="506" ht="15.75" customHeight="1">
      <c r="A506" s="1"/>
      <c r="B506" s="1"/>
      <c r="C506" s="1"/>
      <c r="D506" s="1"/>
      <c r="E506" s="1"/>
      <c r="F506" s="1"/>
      <c r="G506" s="2"/>
    </row>
    <row r="507" ht="15.75" customHeight="1">
      <c r="A507" s="1"/>
      <c r="B507" s="1"/>
      <c r="C507" s="1"/>
      <c r="D507" s="1"/>
      <c r="E507" s="1"/>
      <c r="F507" s="1"/>
      <c r="G507" s="2"/>
    </row>
    <row r="508" ht="15.75" customHeight="1">
      <c r="A508" s="1"/>
      <c r="B508" s="1"/>
      <c r="C508" s="1"/>
      <c r="D508" s="1"/>
      <c r="E508" s="1"/>
      <c r="F508" s="1"/>
      <c r="G508" s="2"/>
    </row>
    <row r="509" ht="15.75" customHeight="1">
      <c r="A509" s="1"/>
      <c r="B509" s="1"/>
      <c r="C509" s="1"/>
      <c r="D509" s="1"/>
      <c r="E509" s="1"/>
      <c r="F509" s="1"/>
      <c r="G509" s="2"/>
    </row>
    <row r="510" ht="15.75" customHeight="1">
      <c r="A510" s="1"/>
      <c r="B510" s="1"/>
      <c r="C510" s="1"/>
      <c r="D510" s="1"/>
      <c r="E510" s="1"/>
      <c r="F510" s="1"/>
      <c r="G510" s="2"/>
    </row>
    <row r="511" ht="15.75" customHeight="1">
      <c r="A511" s="1"/>
      <c r="B511" s="1"/>
      <c r="C511" s="1"/>
      <c r="D511" s="1"/>
      <c r="E511" s="1"/>
      <c r="F511" s="1"/>
      <c r="G511" s="2"/>
    </row>
    <row r="512" ht="15.75" customHeight="1">
      <c r="A512" s="1"/>
      <c r="B512" s="1"/>
      <c r="C512" s="1"/>
      <c r="D512" s="1"/>
      <c r="E512" s="1"/>
      <c r="F512" s="1"/>
      <c r="G512" s="2"/>
    </row>
    <row r="513" ht="15.75" customHeight="1">
      <c r="A513" s="1"/>
      <c r="B513" s="1"/>
      <c r="C513" s="1"/>
      <c r="D513" s="1"/>
      <c r="E513" s="1"/>
      <c r="F513" s="1"/>
      <c r="G513" s="2"/>
    </row>
    <row r="514" ht="15.75" customHeight="1">
      <c r="A514" s="1"/>
      <c r="B514" s="1"/>
      <c r="C514" s="1"/>
      <c r="D514" s="1"/>
      <c r="E514" s="1"/>
      <c r="F514" s="1"/>
      <c r="G514" s="2"/>
    </row>
    <row r="515" ht="15.75" customHeight="1">
      <c r="A515" s="1"/>
      <c r="B515" s="1"/>
      <c r="C515" s="1"/>
      <c r="D515" s="1"/>
      <c r="E515" s="1"/>
      <c r="F515" s="1"/>
      <c r="G515" s="2"/>
    </row>
    <row r="516" ht="15.75" customHeight="1">
      <c r="A516" s="1"/>
      <c r="B516" s="1"/>
      <c r="C516" s="1"/>
      <c r="D516" s="1"/>
      <c r="E516" s="1"/>
      <c r="F516" s="1"/>
      <c r="G516" s="2"/>
    </row>
    <row r="517" ht="15.75" customHeight="1">
      <c r="A517" s="1"/>
      <c r="B517" s="1"/>
      <c r="C517" s="1"/>
      <c r="D517" s="1"/>
      <c r="E517" s="1"/>
      <c r="F517" s="1"/>
      <c r="G517" s="2"/>
    </row>
    <row r="518" ht="15.75" customHeight="1">
      <c r="A518" s="1"/>
      <c r="B518" s="1"/>
      <c r="C518" s="1"/>
      <c r="D518" s="1"/>
      <c r="E518" s="1"/>
      <c r="F518" s="1"/>
      <c r="G518" s="2"/>
    </row>
    <row r="519" ht="15.75" customHeight="1">
      <c r="A519" s="1"/>
      <c r="B519" s="1"/>
      <c r="C519" s="1"/>
      <c r="D519" s="1"/>
      <c r="E519" s="1"/>
      <c r="F519" s="1"/>
      <c r="G519" s="2"/>
    </row>
    <row r="520" ht="15.75" customHeight="1">
      <c r="A520" s="1"/>
      <c r="B520" s="1"/>
      <c r="C520" s="1"/>
      <c r="D520" s="1"/>
      <c r="E520" s="1"/>
      <c r="F520" s="1"/>
      <c r="G520" s="2"/>
    </row>
    <row r="521" ht="15.75" customHeight="1">
      <c r="A521" s="1"/>
      <c r="B521" s="1"/>
      <c r="C521" s="1"/>
      <c r="D521" s="1"/>
      <c r="E521" s="1"/>
      <c r="F521" s="1"/>
      <c r="G521" s="2"/>
    </row>
    <row r="522" ht="15.75" customHeight="1">
      <c r="A522" s="1"/>
      <c r="B522" s="1"/>
      <c r="C522" s="1"/>
      <c r="D522" s="1"/>
      <c r="E522" s="1"/>
      <c r="F522" s="1"/>
      <c r="G522" s="2"/>
    </row>
    <row r="523" ht="15.75" customHeight="1">
      <c r="A523" s="1"/>
      <c r="B523" s="1"/>
      <c r="C523" s="1"/>
      <c r="D523" s="1"/>
      <c r="E523" s="1"/>
      <c r="F523" s="1"/>
      <c r="G523" s="2"/>
    </row>
    <row r="524" ht="15.75" customHeight="1">
      <c r="A524" s="1"/>
      <c r="B524" s="1"/>
      <c r="C524" s="1"/>
      <c r="D524" s="1"/>
      <c r="E524" s="1"/>
      <c r="F524" s="1"/>
      <c r="G524" s="2"/>
    </row>
    <row r="525" ht="15.75" customHeight="1">
      <c r="A525" s="1"/>
      <c r="B525" s="1"/>
      <c r="C525" s="1"/>
      <c r="D525" s="1"/>
      <c r="E525" s="1"/>
      <c r="F525" s="1"/>
      <c r="G525" s="2"/>
    </row>
    <row r="526" ht="15.75" customHeight="1">
      <c r="A526" s="1"/>
      <c r="B526" s="1"/>
      <c r="C526" s="1"/>
      <c r="D526" s="1"/>
      <c r="E526" s="1"/>
      <c r="F526" s="1"/>
      <c r="G526" s="2"/>
    </row>
    <row r="527" ht="15.75" customHeight="1">
      <c r="A527" s="1"/>
      <c r="B527" s="1"/>
      <c r="C527" s="1"/>
      <c r="D527" s="1"/>
      <c r="E527" s="1"/>
      <c r="F527" s="1"/>
      <c r="G527" s="2"/>
    </row>
    <row r="528" ht="15.75" customHeight="1">
      <c r="A528" s="1"/>
      <c r="B528" s="1"/>
      <c r="C528" s="1"/>
      <c r="D528" s="1"/>
      <c r="E528" s="1"/>
      <c r="F528" s="1"/>
      <c r="G528" s="2"/>
    </row>
    <row r="529" ht="15.75" customHeight="1">
      <c r="A529" s="1"/>
      <c r="B529" s="1"/>
      <c r="C529" s="1"/>
      <c r="D529" s="1"/>
      <c r="E529" s="1"/>
      <c r="F529" s="1"/>
      <c r="G529" s="2"/>
    </row>
    <row r="530" ht="15.75" customHeight="1">
      <c r="A530" s="1"/>
      <c r="B530" s="1"/>
      <c r="C530" s="1"/>
      <c r="D530" s="1"/>
      <c r="E530" s="1"/>
      <c r="F530" s="1"/>
      <c r="G530" s="2"/>
    </row>
    <row r="531" ht="15.75" customHeight="1">
      <c r="A531" s="1"/>
      <c r="B531" s="1"/>
      <c r="C531" s="1"/>
      <c r="D531" s="1"/>
      <c r="E531" s="1"/>
      <c r="F531" s="1"/>
      <c r="G531" s="2"/>
    </row>
    <row r="532" ht="15.75" customHeight="1">
      <c r="A532" s="1"/>
      <c r="B532" s="1"/>
      <c r="C532" s="1"/>
      <c r="D532" s="1"/>
      <c r="E532" s="1"/>
      <c r="F532" s="1"/>
      <c r="G532" s="2"/>
    </row>
    <row r="533" ht="15.75" customHeight="1">
      <c r="A533" s="1"/>
      <c r="B533" s="1"/>
      <c r="C533" s="1"/>
      <c r="D533" s="1"/>
      <c r="E533" s="1"/>
      <c r="F533" s="1"/>
      <c r="G533" s="2"/>
    </row>
    <row r="534" ht="15.75" customHeight="1">
      <c r="A534" s="1"/>
      <c r="B534" s="1"/>
      <c r="C534" s="1"/>
      <c r="D534" s="1"/>
      <c r="E534" s="1"/>
      <c r="F534" s="1"/>
      <c r="G534" s="2"/>
    </row>
    <row r="535" ht="15.75" customHeight="1">
      <c r="A535" s="1"/>
      <c r="B535" s="1"/>
      <c r="C535" s="1"/>
      <c r="D535" s="1"/>
      <c r="E535" s="1"/>
      <c r="F535" s="1"/>
      <c r="G535" s="2"/>
    </row>
    <row r="536" ht="15.75" customHeight="1">
      <c r="A536" s="1"/>
      <c r="B536" s="1"/>
      <c r="C536" s="1"/>
      <c r="D536" s="1"/>
      <c r="E536" s="1"/>
      <c r="F536" s="1"/>
      <c r="G536" s="2"/>
    </row>
    <row r="537" ht="15.75" customHeight="1">
      <c r="A537" s="1"/>
      <c r="B537" s="1"/>
      <c r="C537" s="1"/>
      <c r="D537" s="1"/>
      <c r="E537" s="1"/>
      <c r="F537" s="1"/>
      <c r="G537" s="2"/>
    </row>
    <row r="538" ht="15.75" customHeight="1">
      <c r="A538" s="1"/>
      <c r="B538" s="1"/>
      <c r="C538" s="1"/>
      <c r="D538" s="1"/>
      <c r="E538" s="1"/>
      <c r="F538" s="1"/>
      <c r="G538" s="2"/>
    </row>
    <row r="539" ht="15.75" customHeight="1">
      <c r="A539" s="1"/>
      <c r="B539" s="1"/>
      <c r="C539" s="1"/>
      <c r="D539" s="1"/>
      <c r="E539" s="1"/>
      <c r="F539" s="1"/>
      <c r="G539" s="2"/>
    </row>
    <row r="540" ht="15.75" customHeight="1">
      <c r="A540" s="1"/>
      <c r="B540" s="1"/>
      <c r="C540" s="1"/>
      <c r="D540" s="1"/>
      <c r="E540" s="1"/>
      <c r="F540" s="1"/>
      <c r="G540" s="2"/>
    </row>
    <row r="541" ht="15.75" customHeight="1">
      <c r="A541" s="1"/>
      <c r="B541" s="1"/>
      <c r="C541" s="1"/>
      <c r="D541" s="1"/>
      <c r="E541" s="1"/>
      <c r="F541" s="1"/>
      <c r="G541" s="2"/>
    </row>
    <row r="542" ht="15.75" customHeight="1">
      <c r="A542" s="1"/>
      <c r="B542" s="1"/>
      <c r="C542" s="1"/>
      <c r="D542" s="1"/>
      <c r="E542" s="1"/>
      <c r="F542" s="1"/>
      <c r="G542" s="2"/>
    </row>
    <row r="543" ht="15.75" customHeight="1">
      <c r="A543" s="1"/>
      <c r="B543" s="1"/>
      <c r="C543" s="1"/>
      <c r="D543" s="1"/>
      <c r="E543" s="1"/>
      <c r="F543" s="1"/>
      <c r="G543" s="2"/>
    </row>
    <row r="544" ht="15.75" customHeight="1">
      <c r="A544" s="1"/>
      <c r="B544" s="1"/>
      <c r="C544" s="1"/>
      <c r="D544" s="1"/>
      <c r="E544" s="1"/>
      <c r="F544" s="1"/>
      <c r="G544" s="2"/>
    </row>
    <row r="545" ht="15.75" customHeight="1">
      <c r="A545" s="1"/>
      <c r="B545" s="1"/>
      <c r="C545" s="1"/>
      <c r="D545" s="1"/>
      <c r="E545" s="1"/>
      <c r="F545" s="1"/>
      <c r="G545" s="2"/>
    </row>
    <row r="546" ht="15.75" customHeight="1">
      <c r="A546" s="1"/>
      <c r="B546" s="1"/>
      <c r="C546" s="1"/>
      <c r="D546" s="1"/>
      <c r="E546" s="1"/>
      <c r="F546" s="1"/>
      <c r="G546" s="2"/>
    </row>
    <row r="547" ht="15.75" customHeight="1">
      <c r="A547" s="1"/>
      <c r="B547" s="1"/>
      <c r="C547" s="1"/>
      <c r="D547" s="1"/>
      <c r="E547" s="1"/>
      <c r="F547" s="1"/>
      <c r="G547" s="2"/>
    </row>
    <row r="548" ht="15.75" customHeight="1">
      <c r="A548" s="1"/>
      <c r="B548" s="1"/>
      <c r="C548" s="1"/>
      <c r="D548" s="1"/>
      <c r="E548" s="1"/>
      <c r="F548" s="1"/>
      <c r="G548" s="2"/>
    </row>
    <row r="549" ht="15.75" customHeight="1">
      <c r="A549" s="1"/>
      <c r="B549" s="1"/>
      <c r="C549" s="1"/>
      <c r="D549" s="1"/>
      <c r="E549" s="1"/>
      <c r="F549" s="1"/>
      <c r="G549" s="2"/>
    </row>
    <row r="550" ht="15.75" customHeight="1">
      <c r="A550" s="1"/>
      <c r="B550" s="1"/>
      <c r="C550" s="1"/>
      <c r="D550" s="1"/>
      <c r="E550" s="1"/>
      <c r="F550" s="1"/>
      <c r="G550" s="2"/>
    </row>
    <row r="551" ht="15.75" customHeight="1">
      <c r="A551" s="1"/>
      <c r="B551" s="1"/>
      <c r="C551" s="1"/>
      <c r="D551" s="1"/>
      <c r="E551" s="1"/>
      <c r="F551" s="1"/>
      <c r="G551" s="2"/>
    </row>
    <row r="552" ht="15.75" customHeight="1">
      <c r="A552" s="1"/>
      <c r="B552" s="1"/>
      <c r="C552" s="1"/>
      <c r="D552" s="1"/>
      <c r="E552" s="1"/>
      <c r="F552" s="1"/>
      <c r="G552" s="2"/>
    </row>
    <row r="553" ht="15.75" customHeight="1">
      <c r="A553" s="1"/>
      <c r="B553" s="1"/>
      <c r="C553" s="1"/>
      <c r="D553" s="1"/>
      <c r="E553" s="1"/>
      <c r="F553" s="1"/>
      <c r="G553" s="2"/>
    </row>
    <row r="554" ht="15.75" customHeight="1">
      <c r="A554" s="1"/>
      <c r="B554" s="1"/>
      <c r="C554" s="1"/>
      <c r="D554" s="1"/>
      <c r="E554" s="1"/>
      <c r="F554" s="1"/>
      <c r="G554" s="2"/>
    </row>
    <row r="555" ht="15.75" customHeight="1">
      <c r="A555" s="1"/>
      <c r="B555" s="1"/>
      <c r="C555" s="1"/>
      <c r="D555" s="1"/>
      <c r="E555" s="1"/>
      <c r="F555" s="1"/>
      <c r="G555" s="2"/>
    </row>
    <row r="556" ht="15.75" customHeight="1">
      <c r="A556" s="1"/>
      <c r="B556" s="1"/>
      <c r="C556" s="1"/>
      <c r="D556" s="1"/>
      <c r="E556" s="1"/>
      <c r="F556" s="1"/>
      <c r="G556" s="2"/>
    </row>
    <row r="557" ht="15.75" customHeight="1">
      <c r="A557" s="1"/>
      <c r="B557" s="1"/>
      <c r="C557" s="1"/>
      <c r="D557" s="1"/>
      <c r="E557" s="1"/>
      <c r="F557" s="1"/>
      <c r="G557" s="2"/>
    </row>
    <row r="558" ht="15.75" customHeight="1">
      <c r="A558" s="1"/>
      <c r="B558" s="1"/>
      <c r="C558" s="1"/>
      <c r="D558" s="1"/>
      <c r="E558" s="1"/>
      <c r="F558" s="1"/>
      <c r="G558" s="2"/>
    </row>
    <row r="559" ht="15.75" customHeight="1">
      <c r="A559" s="1"/>
      <c r="B559" s="1"/>
      <c r="C559" s="1"/>
      <c r="D559" s="1"/>
      <c r="E559" s="1"/>
      <c r="F559" s="1"/>
      <c r="G559" s="2"/>
    </row>
    <row r="560" ht="15.75" customHeight="1">
      <c r="A560" s="1"/>
      <c r="B560" s="1"/>
      <c r="C560" s="1"/>
      <c r="D560" s="1"/>
      <c r="E560" s="1"/>
      <c r="F560" s="1"/>
      <c r="G560" s="2"/>
    </row>
    <row r="561" ht="15.75" customHeight="1">
      <c r="A561" s="1"/>
      <c r="B561" s="1"/>
      <c r="C561" s="1"/>
      <c r="D561" s="1"/>
      <c r="E561" s="1"/>
      <c r="F561" s="1"/>
      <c r="G561" s="2"/>
    </row>
    <row r="562" ht="15.75" customHeight="1">
      <c r="A562" s="1"/>
      <c r="B562" s="1"/>
      <c r="C562" s="1"/>
      <c r="D562" s="1"/>
      <c r="E562" s="1"/>
      <c r="F562" s="1"/>
      <c r="G562" s="2"/>
    </row>
    <row r="563" ht="15.75" customHeight="1">
      <c r="A563" s="1"/>
      <c r="B563" s="1"/>
      <c r="C563" s="1"/>
      <c r="D563" s="1"/>
      <c r="E563" s="1"/>
      <c r="F563" s="1"/>
      <c r="G563" s="2"/>
    </row>
    <row r="564" ht="15.75" customHeight="1">
      <c r="A564" s="1"/>
      <c r="B564" s="1"/>
      <c r="C564" s="1"/>
      <c r="D564" s="1"/>
      <c r="E564" s="1"/>
      <c r="F564" s="1"/>
      <c r="G564" s="2"/>
    </row>
    <row r="565" ht="15.75" customHeight="1">
      <c r="A565" s="1"/>
      <c r="B565" s="1"/>
      <c r="C565" s="1"/>
      <c r="D565" s="1"/>
      <c r="E565" s="1"/>
      <c r="F565" s="1"/>
      <c r="G565" s="2"/>
    </row>
    <row r="566" ht="15.75" customHeight="1">
      <c r="A566" s="1"/>
      <c r="B566" s="1"/>
      <c r="C566" s="1"/>
      <c r="D566" s="1"/>
      <c r="E566" s="1"/>
      <c r="F566" s="1"/>
      <c r="G566" s="2"/>
    </row>
    <row r="567" ht="15.75" customHeight="1">
      <c r="A567" s="1"/>
      <c r="B567" s="1"/>
      <c r="C567" s="1"/>
      <c r="D567" s="1"/>
      <c r="E567" s="1"/>
      <c r="F567" s="1"/>
      <c r="G567" s="2"/>
    </row>
    <row r="568" ht="15.75" customHeight="1">
      <c r="A568" s="1"/>
      <c r="B568" s="1"/>
      <c r="C568" s="1"/>
      <c r="D568" s="1"/>
      <c r="E568" s="1"/>
      <c r="F568" s="1"/>
      <c r="G568" s="2"/>
    </row>
    <row r="569" ht="15.75" customHeight="1">
      <c r="A569" s="1"/>
      <c r="B569" s="1"/>
      <c r="C569" s="1"/>
      <c r="D569" s="1"/>
      <c r="E569" s="1"/>
      <c r="F569" s="1"/>
      <c r="G569" s="2"/>
    </row>
    <row r="570" ht="15.75" customHeight="1">
      <c r="A570" s="1"/>
      <c r="B570" s="1"/>
      <c r="C570" s="1"/>
      <c r="D570" s="1"/>
      <c r="E570" s="1"/>
      <c r="F570" s="1"/>
      <c r="G570" s="2"/>
    </row>
    <row r="571" ht="15.75" customHeight="1">
      <c r="A571" s="1"/>
      <c r="B571" s="1"/>
      <c r="C571" s="1"/>
      <c r="D571" s="1"/>
      <c r="E571" s="1"/>
      <c r="F571" s="1"/>
      <c r="G571" s="2"/>
    </row>
    <row r="572" ht="15.75" customHeight="1">
      <c r="A572" s="1"/>
      <c r="B572" s="1"/>
      <c r="C572" s="1"/>
      <c r="D572" s="1"/>
      <c r="E572" s="1"/>
      <c r="F572" s="1"/>
      <c r="G572" s="2"/>
    </row>
    <row r="573" ht="15.75" customHeight="1">
      <c r="A573" s="1"/>
      <c r="B573" s="1"/>
      <c r="C573" s="1"/>
      <c r="D573" s="1"/>
      <c r="E573" s="1"/>
      <c r="F573" s="1"/>
      <c r="G573" s="2"/>
    </row>
    <row r="574" ht="15.75" customHeight="1">
      <c r="A574" s="1"/>
      <c r="B574" s="1"/>
      <c r="C574" s="1"/>
      <c r="D574" s="1"/>
      <c r="E574" s="1"/>
      <c r="F574" s="1"/>
      <c r="G574" s="2"/>
    </row>
    <row r="575" ht="15.75" customHeight="1">
      <c r="A575" s="1"/>
      <c r="B575" s="1"/>
      <c r="C575" s="1"/>
      <c r="D575" s="1"/>
      <c r="E575" s="1"/>
      <c r="F575" s="1"/>
      <c r="G575" s="2"/>
    </row>
    <row r="576" ht="15.75" customHeight="1">
      <c r="A576" s="1"/>
      <c r="B576" s="1"/>
      <c r="C576" s="1"/>
      <c r="D576" s="1"/>
      <c r="E576" s="1"/>
      <c r="F576" s="1"/>
      <c r="G576" s="2"/>
    </row>
    <row r="577" ht="15.75" customHeight="1">
      <c r="A577" s="1"/>
      <c r="B577" s="1"/>
      <c r="C577" s="1"/>
      <c r="D577" s="1"/>
      <c r="E577" s="1"/>
      <c r="F577" s="1"/>
      <c r="G577" s="2"/>
    </row>
    <row r="578" ht="15.75" customHeight="1">
      <c r="A578" s="1"/>
      <c r="B578" s="1"/>
      <c r="C578" s="1"/>
      <c r="D578" s="1"/>
      <c r="E578" s="1"/>
      <c r="F578" s="1"/>
      <c r="G578" s="2"/>
    </row>
    <row r="579" ht="15.75" customHeight="1">
      <c r="A579" s="1"/>
      <c r="B579" s="1"/>
      <c r="C579" s="1"/>
      <c r="D579" s="1"/>
      <c r="E579" s="1"/>
      <c r="F579" s="1"/>
      <c r="G579" s="2"/>
    </row>
    <row r="580" ht="15.75" customHeight="1">
      <c r="A580" s="1"/>
      <c r="B580" s="1"/>
      <c r="C580" s="1"/>
      <c r="D580" s="1"/>
      <c r="E580" s="1"/>
      <c r="F580" s="1"/>
      <c r="G580" s="2"/>
    </row>
    <row r="581" ht="15.75" customHeight="1">
      <c r="A581" s="1"/>
      <c r="B581" s="1"/>
      <c r="C581" s="1"/>
      <c r="D581" s="1"/>
      <c r="E581" s="1"/>
      <c r="F581" s="1"/>
      <c r="G581" s="2"/>
    </row>
    <row r="582" ht="15.75" customHeight="1">
      <c r="A582" s="1"/>
      <c r="B582" s="1"/>
      <c r="C582" s="1"/>
      <c r="D582" s="1"/>
      <c r="E582" s="1"/>
      <c r="F582" s="1"/>
      <c r="G582" s="2"/>
    </row>
    <row r="583" ht="15.75" customHeight="1">
      <c r="A583" s="1"/>
      <c r="B583" s="1"/>
      <c r="C583" s="1"/>
      <c r="D583" s="1"/>
      <c r="E583" s="1"/>
      <c r="F583" s="1"/>
      <c r="G583" s="2"/>
    </row>
    <row r="584" ht="15.75" customHeight="1">
      <c r="A584" s="1"/>
      <c r="B584" s="1"/>
      <c r="C584" s="1"/>
      <c r="D584" s="1"/>
      <c r="E584" s="1"/>
      <c r="F584" s="1"/>
      <c r="G584" s="2"/>
    </row>
    <row r="585" ht="15.75" customHeight="1">
      <c r="A585" s="1"/>
      <c r="B585" s="1"/>
      <c r="C585" s="1"/>
      <c r="D585" s="1"/>
      <c r="E585" s="1"/>
      <c r="F585" s="1"/>
      <c r="G585" s="2"/>
    </row>
    <row r="586" ht="15.75" customHeight="1">
      <c r="A586" s="1"/>
      <c r="B586" s="1"/>
      <c r="C586" s="1"/>
      <c r="D586" s="1"/>
      <c r="E586" s="1"/>
      <c r="F586" s="1"/>
      <c r="G586" s="2"/>
    </row>
    <row r="587" ht="15.75" customHeight="1">
      <c r="A587" s="1"/>
      <c r="B587" s="1"/>
      <c r="C587" s="1"/>
      <c r="D587" s="1"/>
      <c r="E587" s="1"/>
      <c r="F587" s="1"/>
      <c r="G587" s="2"/>
    </row>
    <row r="588" ht="15.75" customHeight="1">
      <c r="A588" s="1"/>
      <c r="B588" s="1"/>
      <c r="C588" s="1"/>
      <c r="D588" s="1"/>
      <c r="E588" s="1"/>
      <c r="F588" s="1"/>
      <c r="G588" s="2"/>
    </row>
    <row r="589" ht="15.75" customHeight="1">
      <c r="A589" s="1"/>
      <c r="B589" s="1"/>
      <c r="C589" s="1"/>
      <c r="D589" s="1"/>
      <c r="E589" s="1"/>
      <c r="F589" s="1"/>
      <c r="G589" s="2"/>
    </row>
    <row r="590" ht="15.75" customHeight="1">
      <c r="A590" s="1"/>
      <c r="B590" s="1"/>
      <c r="C590" s="1"/>
      <c r="D590" s="1"/>
      <c r="E590" s="1"/>
      <c r="F590" s="1"/>
      <c r="G590" s="2"/>
    </row>
    <row r="591" ht="15.75" customHeight="1">
      <c r="A591" s="1"/>
      <c r="B591" s="1"/>
      <c r="C591" s="1"/>
      <c r="D591" s="1"/>
      <c r="E591" s="1"/>
      <c r="F591" s="1"/>
      <c r="G591" s="2"/>
    </row>
    <row r="592" ht="15.75" customHeight="1">
      <c r="A592" s="1"/>
      <c r="B592" s="1"/>
      <c r="C592" s="1"/>
      <c r="D592" s="1"/>
      <c r="E592" s="1"/>
      <c r="F592" s="1"/>
      <c r="G592" s="2"/>
    </row>
    <row r="593" ht="15.75" customHeight="1">
      <c r="A593" s="1"/>
      <c r="B593" s="1"/>
      <c r="C593" s="1"/>
      <c r="D593" s="1"/>
      <c r="E593" s="1"/>
      <c r="F593" s="1"/>
      <c r="G593" s="2"/>
    </row>
    <row r="594" ht="15.75" customHeight="1">
      <c r="A594" s="1"/>
      <c r="B594" s="1"/>
      <c r="C594" s="1"/>
      <c r="D594" s="1"/>
      <c r="E594" s="1"/>
      <c r="F594" s="1"/>
      <c r="G594" s="2"/>
    </row>
    <row r="595" ht="15.75" customHeight="1">
      <c r="A595" s="1"/>
      <c r="B595" s="1"/>
      <c r="C595" s="1"/>
      <c r="D595" s="1"/>
      <c r="E595" s="1"/>
      <c r="F595" s="1"/>
      <c r="G595" s="2"/>
    </row>
    <row r="596" ht="15.75" customHeight="1">
      <c r="A596" s="1"/>
      <c r="B596" s="1"/>
      <c r="C596" s="1"/>
      <c r="D596" s="1"/>
      <c r="E596" s="1"/>
      <c r="F596" s="1"/>
      <c r="G596" s="2"/>
    </row>
    <row r="597" ht="15.75" customHeight="1">
      <c r="A597" s="1"/>
      <c r="B597" s="1"/>
      <c r="C597" s="1"/>
      <c r="D597" s="1"/>
      <c r="E597" s="1"/>
      <c r="F597" s="1"/>
      <c r="G597" s="2"/>
    </row>
    <row r="598" ht="15.75" customHeight="1">
      <c r="A598" s="1"/>
      <c r="B598" s="1"/>
      <c r="C598" s="1"/>
      <c r="D598" s="1"/>
      <c r="E598" s="1"/>
      <c r="F598" s="1"/>
      <c r="G598" s="2"/>
    </row>
    <row r="599" ht="15.75" customHeight="1">
      <c r="A599" s="1"/>
      <c r="B599" s="1"/>
      <c r="C599" s="1"/>
      <c r="D599" s="1"/>
      <c r="E599" s="1"/>
      <c r="F599" s="1"/>
      <c r="G599" s="2"/>
    </row>
    <row r="600" ht="15.75" customHeight="1">
      <c r="A600" s="1"/>
      <c r="B600" s="1"/>
      <c r="C600" s="1"/>
      <c r="D600" s="1"/>
      <c r="E600" s="1"/>
      <c r="F600" s="1"/>
      <c r="G600" s="2"/>
    </row>
    <row r="601" ht="15.75" customHeight="1">
      <c r="A601" s="1"/>
      <c r="B601" s="1"/>
      <c r="C601" s="1"/>
      <c r="D601" s="1"/>
      <c r="E601" s="1"/>
      <c r="F601" s="1"/>
      <c r="G601" s="2"/>
    </row>
    <row r="602" ht="15.75" customHeight="1">
      <c r="A602" s="1"/>
      <c r="B602" s="1"/>
      <c r="C602" s="1"/>
      <c r="D602" s="1"/>
      <c r="E602" s="1"/>
      <c r="F602" s="1"/>
      <c r="G602" s="2"/>
    </row>
    <row r="603" ht="15.75" customHeight="1">
      <c r="A603" s="1"/>
      <c r="B603" s="1"/>
      <c r="C603" s="1"/>
      <c r="D603" s="1"/>
      <c r="E603" s="1"/>
      <c r="F603" s="1"/>
      <c r="G603" s="2"/>
    </row>
    <row r="604" ht="15.75" customHeight="1">
      <c r="A604" s="1"/>
      <c r="B604" s="1"/>
      <c r="C604" s="1"/>
      <c r="D604" s="1"/>
      <c r="E604" s="1"/>
      <c r="F604" s="1"/>
      <c r="G604" s="2"/>
    </row>
    <row r="605" ht="15.75" customHeight="1">
      <c r="A605" s="1"/>
      <c r="B605" s="1"/>
      <c r="C605" s="1"/>
      <c r="D605" s="1"/>
      <c r="E605" s="1"/>
      <c r="F605" s="1"/>
      <c r="G605" s="2"/>
    </row>
    <row r="606" ht="15.75" customHeight="1">
      <c r="A606" s="1"/>
      <c r="B606" s="1"/>
      <c r="C606" s="1"/>
      <c r="D606" s="1"/>
      <c r="E606" s="1"/>
      <c r="F606" s="1"/>
      <c r="G606" s="2"/>
    </row>
    <row r="607" ht="15.75" customHeight="1">
      <c r="A607" s="1"/>
      <c r="B607" s="1"/>
      <c r="C607" s="1"/>
      <c r="D607" s="1"/>
      <c r="E607" s="1"/>
      <c r="F607" s="1"/>
      <c r="G607" s="2"/>
    </row>
    <row r="608" ht="15.75" customHeight="1">
      <c r="A608" s="1"/>
      <c r="B608" s="1"/>
      <c r="C608" s="1"/>
      <c r="D608" s="1"/>
      <c r="E608" s="1"/>
      <c r="F608" s="1"/>
      <c r="G608" s="2"/>
    </row>
    <row r="609" ht="15.75" customHeight="1">
      <c r="A609" s="1"/>
      <c r="B609" s="1"/>
      <c r="C609" s="1"/>
      <c r="D609" s="1"/>
      <c r="E609" s="1"/>
      <c r="F609" s="1"/>
      <c r="G609" s="2"/>
    </row>
    <row r="610" ht="15.75" customHeight="1">
      <c r="A610" s="1"/>
      <c r="B610" s="1"/>
      <c r="C610" s="1"/>
      <c r="D610" s="1"/>
      <c r="E610" s="1"/>
      <c r="F610" s="1"/>
      <c r="G610" s="2"/>
    </row>
    <row r="611" ht="15.75" customHeight="1">
      <c r="A611" s="1"/>
      <c r="B611" s="1"/>
      <c r="C611" s="1"/>
      <c r="D611" s="1"/>
      <c r="E611" s="1"/>
      <c r="F611" s="1"/>
      <c r="G611" s="2"/>
    </row>
    <row r="612" ht="15.75" customHeight="1">
      <c r="A612" s="1"/>
      <c r="B612" s="1"/>
      <c r="C612" s="1"/>
      <c r="D612" s="1"/>
      <c r="E612" s="1"/>
      <c r="F612" s="1"/>
      <c r="G612" s="2"/>
    </row>
    <row r="613" ht="15.75" customHeight="1">
      <c r="A613" s="1"/>
      <c r="B613" s="1"/>
      <c r="C613" s="1"/>
      <c r="D613" s="1"/>
      <c r="E613" s="1"/>
      <c r="F613" s="1"/>
      <c r="G613" s="2"/>
    </row>
    <row r="614" ht="15.75" customHeight="1">
      <c r="A614" s="1"/>
      <c r="B614" s="1"/>
      <c r="C614" s="1"/>
      <c r="D614" s="1"/>
      <c r="E614" s="1"/>
      <c r="F614" s="1"/>
      <c r="G614" s="2"/>
    </row>
    <row r="615" ht="15.75" customHeight="1">
      <c r="A615" s="1"/>
      <c r="B615" s="1"/>
      <c r="C615" s="1"/>
      <c r="D615" s="1"/>
      <c r="E615" s="1"/>
      <c r="F615" s="1"/>
      <c r="G615" s="2"/>
    </row>
    <row r="616" ht="15.75" customHeight="1">
      <c r="A616" s="1"/>
      <c r="B616" s="1"/>
      <c r="C616" s="1"/>
      <c r="D616" s="1"/>
      <c r="E616" s="1"/>
      <c r="F616" s="1"/>
      <c r="G616" s="2"/>
    </row>
    <row r="617" ht="15.75" customHeight="1">
      <c r="A617" s="1"/>
      <c r="B617" s="1"/>
      <c r="C617" s="1"/>
      <c r="D617" s="1"/>
      <c r="E617" s="1"/>
      <c r="F617" s="1"/>
      <c r="G617" s="2"/>
    </row>
    <row r="618" ht="15.75" customHeight="1">
      <c r="A618" s="1"/>
      <c r="B618" s="1"/>
      <c r="C618" s="1"/>
      <c r="D618" s="1"/>
      <c r="E618" s="1"/>
      <c r="F618" s="1"/>
      <c r="G618" s="2"/>
    </row>
    <row r="619" ht="15.75" customHeight="1">
      <c r="A619" s="1"/>
      <c r="B619" s="1"/>
      <c r="C619" s="1"/>
      <c r="D619" s="1"/>
      <c r="E619" s="1"/>
      <c r="F619" s="1"/>
      <c r="G619" s="2"/>
    </row>
    <row r="620" ht="15.75" customHeight="1">
      <c r="A620" s="1"/>
      <c r="B620" s="1"/>
      <c r="C620" s="1"/>
      <c r="D620" s="1"/>
      <c r="E620" s="1"/>
      <c r="F620" s="1"/>
      <c r="G620" s="2"/>
    </row>
    <row r="621" ht="15.75" customHeight="1">
      <c r="A621" s="1"/>
      <c r="B621" s="1"/>
      <c r="C621" s="1"/>
      <c r="D621" s="1"/>
      <c r="E621" s="1"/>
      <c r="F621" s="1"/>
      <c r="G621" s="2"/>
    </row>
    <row r="622" ht="15.75" customHeight="1">
      <c r="A622" s="1"/>
      <c r="B622" s="1"/>
      <c r="C622" s="1"/>
      <c r="D622" s="1"/>
      <c r="E622" s="1"/>
      <c r="F622" s="1"/>
      <c r="G622" s="2"/>
    </row>
    <row r="623" ht="15.75" customHeight="1">
      <c r="A623" s="1"/>
      <c r="B623" s="1"/>
      <c r="C623" s="1"/>
      <c r="D623" s="1"/>
      <c r="E623" s="1"/>
      <c r="F623" s="1"/>
      <c r="G623" s="2"/>
    </row>
    <row r="624" ht="15.75" customHeight="1">
      <c r="A624" s="1"/>
      <c r="B624" s="1"/>
      <c r="C624" s="1"/>
      <c r="D624" s="1"/>
      <c r="E624" s="1"/>
      <c r="F624" s="1"/>
      <c r="G624" s="2"/>
    </row>
    <row r="625" ht="15.75" customHeight="1">
      <c r="A625" s="1"/>
      <c r="B625" s="1"/>
      <c r="C625" s="1"/>
      <c r="D625" s="1"/>
      <c r="E625" s="1"/>
      <c r="F625" s="1"/>
      <c r="G625" s="2"/>
    </row>
    <row r="626" ht="15.75" customHeight="1">
      <c r="A626" s="1"/>
      <c r="B626" s="1"/>
      <c r="C626" s="1"/>
      <c r="D626" s="1"/>
      <c r="E626" s="1"/>
      <c r="F626" s="1"/>
      <c r="G626" s="2"/>
    </row>
    <row r="627" ht="15.75" customHeight="1">
      <c r="A627" s="1"/>
      <c r="B627" s="1"/>
      <c r="C627" s="1"/>
      <c r="D627" s="1"/>
      <c r="E627" s="1"/>
      <c r="F627" s="1"/>
      <c r="G627" s="2"/>
    </row>
    <row r="628" ht="15.75" customHeight="1">
      <c r="A628" s="1"/>
      <c r="B628" s="1"/>
      <c r="C628" s="1"/>
      <c r="D628" s="1"/>
      <c r="E628" s="1"/>
      <c r="F628" s="1"/>
      <c r="G628" s="2"/>
    </row>
    <row r="629" ht="15.75" customHeight="1">
      <c r="A629" s="1"/>
      <c r="B629" s="1"/>
      <c r="C629" s="1"/>
      <c r="D629" s="1"/>
      <c r="E629" s="1"/>
      <c r="F629" s="1"/>
      <c r="G629" s="2"/>
    </row>
    <row r="630" ht="15.75" customHeight="1">
      <c r="A630" s="1"/>
      <c r="B630" s="1"/>
      <c r="C630" s="1"/>
      <c r="D630" s="1"/>
      <c r="E630" s="1"/>
      <c r="F630" s="1"/>
      <c r="G630" s="2"/>
    </row>
    <row r="631" ht="15.75" customHeight="1">
      <c r="A631" s="1"/>
      <c r="B631" s="1"/>
      <c r="C631" s="1"/>
      <c r="D631" s="1"/>
      <c r="E631" s="1"/>
      <c r="F631" s="1"/>
      <c r="G631" s="2"/>
    </row>
    <row r="632" ht="15.75" customHeight="1">
      <c r="A632" s="1"/>
      <c r="B632" s="1"/>
      <c r="C632" s="1"/>
      <c r="D632" s="1"/>
      <c r="E632" s="1"/>
      <c r="F632" s="1"/>
      <c r="G632" s="2"/>
    </row>
    <row r="633" ht="15.75" customHeight="1">
      <c r="A633" s="1"/>
      <c r="B633" s="1"/>
      <c r="C633" s="1"/>
      <c r="D633" s="1"/>
      <c r="E633" s="1"/>
      <c r="F633" s="1"/>
      <c r="G633" s="2"/>
    </row>
    <row r="634" ht="15.75" customHeight="1">
      <c r="A634" s="1"/>
      <c r="B634" s="1"/>
      <c r="C634" s="1"/>
      <c r="D634" s="1"/>
      <c r="E634" s="1"/>
      <c r="F634" s="1"/>
      <c r="G634" s="2"/>
    </row>
    <row r="635" ht="15.75" customHeight="1">
      <c r="A635" s="1"/>
      <c r="B635" s="1"/>
      <c r="C635" s="1"/>
      <c r="D635" s="1"/>
      <c r="E635" s="1"/>
      <c r="F635" s="1"/>
      <c r="G635" s="2"/>
    </row>
    <row r="636" ht="15.75" customHeight="1">
      <c r="A636" s="1"/>
      <c r="B636" s="1"/>
      <c r="C636" s="1"/>
      <c r="D636" s="1"/>
      <c r="E636" s="1"/>
      <c r="F636" s="1"/>
      <c r="G636" s="2"/>
    </row>
    <row r="637" ht="15.75" customHeight="1">
      <c r="A637" s="1"/>
      <c r="B637" s="1"/>
      <c r="C637" s="1"/>
      <c r="D637" s="1"/>
      <c r="E637" s="1"/>
      <c r="F637" s="1"/>
      <c r="G637" s="2"/>
    </row>
    <row r="638" ht="15.75" customHeight="1">
      <c r="A638" s="1"/>
      <c r="B638" s="1"/>
      <c r="C638" s="1"/>
      <c r="D638" s="1"/>
      <c r="E638" s="1"/>
      <c r="F638" s="1"/>
      <c r="G638" s="2"/>
    </row>
    <row r="639" ht="15.75" customHeight="1">
      <c r="A639" s="1"/>
      <c r="B639" s="1"/>
      <c r="C639" s="1"/>
      <c r="D639" s="1"/>
      <c r="E639" s="1"/>
      <c r="F639" s="1"/>
      <c r="G639" s="2"/>
    </row>
    <row r="640" ht="15.75" customHeight="1">
      <c r="A640" s="1"/>
      <c r="B640" s="1"/>
      <c r="C640" s="1"/>
      <c r="D640" s="1"/>
      <c r="E640" s="1"/>
      <c r="F640" s="1"/>
      <c r="G640" s="2"/>
    </row>
    <row r="641" ht="15.75" customHeight="1">
      <c r="A641" s="1"/>
      <c r="B641" s="1"/>
      <c r="C641" s="1"/>
      <c r="D641" s="1"/>
      <c r="E641" s="1"/>
      <c r="F641" s="1"/>
      <c r="G641" s="2"/>
    </row>
    <row r="642" ht="15.75" customHeight="1">
      <c r="A642" s="1"/>
      <c r="B642" s="1"/>
      <c r="C642" s="1"/>
      <c r="D642" s="1"/>
      <c r="E642" s="1"/>
      <c r="F642" s="1"/>
      <c r="G642" s="2"/>
    </row>
    <row r="643" ht="15.75" customHeight="1">
      <c r="A643" s="1"/>
      <c r="B643" s="1"/>
      <c r="C643" s="1"/>
      <c r="D643" s="1"/>
      <c r="E643" s="1"/>
      <c r="F643" s="1"/>
      <c r="G643" s="2"/>
    </row>
    <row r="644" ht="15.75" customHeight="1">
      <c r="A644" s="1"/>
      <c r="B644" s="1"/>
      <c r="C644" s="1"/>
      <c r="D644" s="1"/>
      <c r="E644" s="1"/>
      <c r="F644" s="1"/>
      <c r="G644" s="2"/>
    </row>
    <row r="645" ht="15.75" customHeight="1">
      <c r="A645" s="1"/>
      <c r="B645" s="1"/>
      <c r="C645" s="1"/>
      <c r="D645" s="1"/>
      <c r="E645" s="1"/>
      <c r="F645" s="1"/>
      <c r="G645" s="2"/>
    </row>
    <row r="646" ht="15.75" customHeight="1">
      <c r="A646" s="1"/>
      <c r="B646" s="1"/>
      <c r="C646" s="1"/>
      <c r="D646" s="1"/>
      <c r="E646" s="1"/>
      <c r="F646" s="1"/>
      <c r="G646" s="2"/>
    </row>
    <row r="647" ht="15.75" customHeight="1">
      <c r="A647" s="1"/>
      <c r="B647" s="1"/>
      <c r="C647" s="1"/>
      <c r="D647" s="1"/>
      <c r="E647" s="1"/>
      <c r="F647" s="1"/>
      <c r="G647" s="2"/>
    </row>
    <row r="648" ht="15.75" customHeight="1">
      <c r="A648" s="1"/>
      <c r="B648" s="1"/>
      <c r="C648" s="1"/>
      <c r="D648" s="1"/>
      <c r="E648" s="1"/>
      <c r="F648" s="1"/>
      <c r="G648" s="2"/>
    </row>
    <row r="649" ht="15.75" customHeight="1">
      <c r="A649" s="1"/>
      <c r="B649" s="1"/>
      <c r="C649" s="1"/>
      <c r="D649" s="1"/>
      <c r="E649" s="1"/>
      <c r="F649" s="1"/>
      <c r="G649" s="2"/>
    </row>
    <row r="650" ht="15.75" customHeight="1">
      <c r="A650" s="1"/>
      <c r="B650" s="1"/>
      <c r="C650" s="1"/>
      <c r="D650" s="1"/>
      <c r="E650" s="1"/>
      <c r="F650" s="1"/>
      <c r="G650" s="2"/>
    </row>
    <row r="651" ht="15.75" customHeight="1">
      <c r="A651" s="1"/>
      <c r="B651" s="1"/>
      <c r="C651" s="1"/>
      <c r="D651" s="1"/>
      <c r="E651" s="1"/>
      <c r="F651" s="1"/>
      <c r="G651" s="2"/>
    </row>
    <row r="652" ht="15.75" customHeight="1">
      <c r="A652" s="1"/>
      <c r="B652" s="1"/>
      <c r="C652" s="1"/>
      <c r="D652" s="1"/>
      <c r="E652" s="1"/>
      <c r="F652" s="1"/>
      <c r="G652" s="2"/>
    </row>
    <row r="653" ht="15.75" customHeight="1">
      <c r="A653" s="1"/>
      <c r="B653" s="1"/>
      <c r="C653" s="1"/>
      <c r="D653" s="1"/>
      <c r="E653" s="1"/>
      <c r="F653" s="1"/>
      <c r="G653" s="2"/>
    </row>
    <row r="654" ht="15.75" customHeight="1">
      <c r="A654" s="1"/>
      <c r="B654" s="1"/>
      <c r="C654" s="1"/>
      <c r="D654" s="1"/>
      <c r="E654" s="1"/>
      <c r="F654" s="1"/>
      <c r="G654" s="2"/>
    </row>
    <row r="655" ht="15.75" customHeight="1">
      <c r="A655" s="1"/>
      <c r="B655" s="1"/>
      <c r="C655" s="1"/>
      <c r="D655" s="1"/>
      <c r="E655" s="1"/>
      <c r="F655" s="1"/>
      <c r="G655" s="2"/>
    </row>
    <row r="656" ht="15.75" customHeight="1">
      <c r="A656" s="1"/>
      <c r="B656" s="1"/>
      <c r="C656" s="1"/>
      <c r="D656" s="1"/>
      <c r="E656" s="1"/>
      <c r="F656" s="1"/>
      <c r="G656" s="2"/>
    </row>
    <row r="657" ht="15.75" customHeight="1">
      <c r="A657" s="1"/>
      <c r="B657" s="1"/>
      <c r="C657" s="1"/>
      <c r="D657" s="1"/>
      <c r="E657" s="1"/>
      <c r="F657" s="1"/>
      <c r="G657" s="2"/>
    </row>
    <row r="658" ht="15.75" customHeight="1">
      <c r="A658" s="1"/>
      <c r="B658" s="1"/>
      <c r="C658" s="1"/>
      <c r="D658" s="1"/>
      <c r="E658" s="1"/>
      <c r="F658" s="1"/>
      <c r="G658" s="2"/>
    </row>
    <row r="659" ht="15.75" customHeight="1">
      <c r="A659" s="1"/>
      <c r="B659" s="1"/>
      <c r="C659" s="1"/>
      <c r="D659" s="1"/>
      <c r="E659" s="1"/>
      <c r="F659" s="1"/>
      <c r="G659" s="2"/>
    </row>
    <row r="660" ht="15.75" customHeight="1">
      <c r="A660" s="1"/>
      <c r="B660" s="1"/>
      <c r="C660" s="1"/>
      <c r="D660" s="1"/>
      <c r="E660" s="1"/>
      <c r="F660" s="1"/>
      <c r="G660" s="2"/>
    </row>
    <row r="661" ht="15.75" customHeight="1">
      <c r="A661" s="1"/>
      <c r="B661" s="1"/>
      <c r="C661" s="1"/>
      <c r="D661" s="1"/>
      <c r="E661" s="1"/>
      <c r="F661" s="1"/>
      <c r="G661" s="2"/>
    </row>
    <row r="662" ht="15.75" customHeight="1">
      <c r="A662" s="1"/>
      <c r="B662" s="1"/>
      <c r="C662" s="1"/>
      <c r="D662" s="1"/>
      <c r="E662" s="1"/>
      <c r="F662" s="1"/>
      <c r="G662" s="2"/>
    </row>
    <row r="663" ht="15.75" customHeight="1">
      <c r="A663" s="1"/>
      <c r="B663" s="1"/>
      <c r="C663" s="1"/>
      <c r="D663" s="1"/>
      <c r="E663" s="1"/>
      <c r="F663" s="1"/>
      <c r="G663" s="2"/>
    </row>
    <row r="664" ht="15.75" customHeight="1">
      <c r="A664" s="1"/>
      <c r="B664" s="1"/>
      <c r="C664" s="1"/>
      <c r="D664" s="1"/>
      <c r="E664" s="1"/>
      <c r="F664" s="1"/>
      <c r="G664" s="2"/>
    </row>
    <row r="665" ht="15.75" customHeight="1">
      <c r="A665" s="1"/>
      <c r="B665" s="1"/>
      <c r="C665" s="1"/>
      <c r="D665" s="1"/>
      <c r="E665" s="1"/>
      <c r="F665" s="1"/>
      <c r="G665" s="2"/>
    </row>
    <row r="666" ht="15.75" customHeight="1">
      <c r="A666" s="1"/>
      <c r="B666" s="1"/>
      <c r="C666" s="1"/>
      <c r="D666" s="1"/>
      <c r="E666" s="1"/>
      <c r="F666" s="1"/>
      <c r="G666" s="2"/>
    </row>
    <row r="667" ht="15.75" customHeight="1">
      <c r="A667" s="1"/>
      <c r="B667" s="1"/>
      <c r="C667" s="1"/>
      <c r="D667" s="1"/>
      <c r="E667" s="1"/>
      <c r="F667" s="1"/>
      <c r="G667" s="2"/>
    </row>
    <row r="668" ht="15.75" customHeight="1">
      <c r="A668" s="1"/>
      <c r="B668" s="1"/>
      <c r="C668" s="1"/>
      <c r="D668" s="1"/>
      <c r="E668" s="1"/>
      <c r="F668" s="1"/>
      <c r="G668" s="2"/>
    </row>
    <row r="669" ht="15.75" customHeight="1">
      <c r="A669" s="1"/>
      <c r="B669" s="1"/>
      <c r="C669" s="1"/>
      <c r="D669" s="1"/>
      <c r="E669" s="1"/>
      <c r="F669" s="1"/>
      <c r="G669" s="2"/>
    </row>
    <row r="670" ht="15.75" customHeight="1">
      <c r="A670" s="1"/>
      <c r="B670" s="1"/>
      <c r="C670" s="1"/>
      <c r="D670" s="1"/>
      <c r="E670" s="1"/>
      <c r="F670" s="1"/>
      <c r="G670" s="2"/>
    </row>
    <row r="671" ht="15.75" customHeight="1">
      <c r="A671" s="1"/>
      <c r="B671" s="1"/>
      <c r="C671" s="1"/>
      <c r="D671" s="1"/>
      <c r="E671" s="1"/>
      <c r="F671" s="1"/>
      <c r="G671" s="2"/>
    </row>
    <row r="672" ht="15.75" customHeight="1">
      <c r="A672" s="1"/>
      <c r="B672" s="1"/>
      <c r="C672" s="1"/>
      <c r="D672" s="1"/>
      <c r="E672" s="1"/>
      <c r="F672" s="1"/>
      <c r="G672" s="2"/>
    </row>
    <row r="673" ht="15.75" customHeight="1">
      <c r="A673" s="1"/>
      <c r="B673" s="1"/>
      <c r="C673" s="1"/>
      <c r="D673" s="1"/>
      <c r="E673" s="1"/>
      <c r="F673" s="1"/>
      <c r="G673" s="2"/>
    </row>
    <row r="674" ht="15.75" customHeight="1">
      <c r="A674" s="1"/>
      <c r="B674" s="1"/>
      <c r="C674" s="1"/>
      <c r="D674" s="1"/>
      <c r="E674" s="1"/>
      <c r="F674" s="1"/>
      <c r="G674" s="2"/>
    </row>
    <row r="675" ht="15.75" customHeight="1">
      <c r="A675" s="1"/>
      <c r="B675" s="1"/>
      <c r="C675" s="1"/>
      <c r="D675" s="1"/>
      <c r="E675" s="1"/>
      <c r="F675" s="1"/>
      <c r="G675" s="2"/>
    </row>
    <row r="676" ht="15.75" customHeight="1">
      <c r="A676" s="1"/>
      <c r="B676" s="1"/>
      <c r="C676" s="1"/>
      <c r="D676" s="1"/>
      <c r="E676" s="1"/>
      <c r="F676" s="1"/>
      <c r="G676" s="2"/>
    </row>
    <row r="677" ht="15.75" customHeight="1">
      <c r="A677" s="1"/>
      <c r="B677" s="1"/>
      <c r="C677" s="1"/>
      <c r="D677" s="1"/>
      <c r="E677" s="1"/>
      <c r="F677" s="1"/>
      <c r="G677" s="2"/>
    </row>
    <row r="678" ht="15.75" customHeight="1">
      <c r="A678" s="1"/>
      <c r="B678" s="1"/>
      <c r="C678" s="1"/>
      <c r="D678" s="1"/>
      <c r="E678" s="1"/>
      <c r="F678" s="1"/>
      <c r="G678" s="2"/>
    </row>
    <row r="679" ht="15.75" customHeight="1">
      <c r="A679" s="1"/>
      <c r="B679" s="1"/>
      <c r="C679" s="1"/>
      <c r="D679" s="1"/>
      <c r="E679" s="1"/>
      <c r="F679" s="1"/>
      <c r="G679" s="2"/>
    </row>
    <row r="680" ht="15.75" customHeight="1">
      <c r="A680" s="1"/>
      <c r="B680" s="1"/>
      <c r="C680" s="1"/>
      <c r="D680" s="1"/>
      <c r="E680" s="1"/>
      <c r="F680" s="1"/>
      <c r="G680" s="2"/>
    </row>
    <row r="681" ht="15.75" customHeight="1">
      <c r="A681" s="1"/>
      <c r="B681" s="1"/>
      <c r="C681" s="1"/>
      <c r="D681" s="1"/>
      <c r="E681" s="1"/>
      <c r="F681" s="1"/>
      <c r="G681" s="2"/>
    </row>
    <row r="682" ht="15.75" customHeight="1">
      <c r="A682" s="1"/>
      <c r="B682" s="1"/>
      <c r="C682" s="1"/>
      <c r="D682" s="1"/>
      <c r="E682" s="1"/>
      <c r="F682" s="1"/>
      <c r="G682" s="2"/>
    </row>
    <row r="683" ht="15.75" customHeight="1">
      <c r="A683" s="1"/>
      <c r="B683" s="1"/>
      <c r="C683" s="1"/>
      <c r="D683" s="1"/>
      <c r="E683" s="1"/>
      <c r="F683" s="1"/>
      <c r="G683" s="2"/>
    </row>
    <row r="684" ht="15.75" customHeight="1">
      <c r="A684" s="1"/>
      <c r="B684" s="1"/>
      <c r="C684" s="1"/>
      <c r="D684" s="1"/>
      <c r="E684" s="1"/>
      <c r="F684" s="1"/>
      <c r="G684" s="2"/>
    </row>
    <row r="685" ht="15.75" customHeight="1">
      <c r="A685" s="1"/>
      <c r="B685" s="1"/>
      <c r="C685" s="1"/>
      <c r="D685" s="1"/>
      <c r="E685" s="1"/>
      <c r="F685" s="1"/>
      <c r="G685" s="2"/>
    </row>
    <row r="686" ht="15.75" customHeight="1">
      <c r="A686" s="1"/>
      <c r="B686" s="1"/>
      <c r="C686" s="1"/>
      <c r="D686" s="1"/>
      <c r="E686" s="1"/>
      <c r="F686" s="1"/>
      <c r="G686" s="2"/>
    </row>
    <row r="687" ht="15.75" customHeight="1">
      <c r="A687" s="1"/>
      <c r="B687" s="1"/>
      <c r="C687" s="1"/>
      <c r="D687" s="1"/>
      <c r="E687" s="1"/>
      <c r="F687" s="1"/>
      <c r="G687" s="2"/>
    </row>
    <row r="688" ht="15.75" customHeight="1">
      <c r="A688" s="1"/>
      <c r="B688" s="1"/>
      <c r="C688" s="1"/>
      <c r="D688" s="1"/>
      <c r="E688" s="1"/>
      <c r="F688" s="1"/>
      <c r="G688" s="2"/>
    </row>
    <row r="689" ht="15.75" customHeight="1">
      <c r="A689" s="1"/>
      <c r="B689" s="1"/>
      <c r="C689" s="1"/>
      <c r="D689" s="1"/>
      <c r="E689" s="1"/>
      <c r="F689" s="1"/>
      <c r="G689" s="2"/>
    </row>
    <row r="690" ht="15.75" customHeight="1">
      <c r="A690" s="1"/>
      <c r="B690" s="1"/>
      <c r="C690" s="1"/>
      <c r="D690" s="1"/>
      <c r="E690" s="1"/>
      <c r="F690" s="1"/>
      <c r="G690" s="2"/>
    </row>
    <row r="691" ht="15.75" customHeight="1">
      <c r="A691" s="1"/>
      <c r="B691" s="1"/>
      <c r="C691" s="1"/>
      <c r="D691" s="1"/>
      <c r="E691" s="1"/>
      <c r="F691" s="1"/>
      <c r="G691" s="2"/>
    </row>
    <row r="692" ht="15.75" customHeight="1">
      <c r="A692" s="1"/>
      <c r="B692" s="1"/>
      <c r="C692" s="1"/>
      <c r="D692" s="1"/>
      <c r="E692" s="1"/>
      <c r="F692" s="1"/>
      <c r="G692" s="2"/>
    </row>
    <row r="693" ht="15.75" customHeight="1">
      <c r="A693" s="1"/>
      <c r="B693" s="1"/>
      <c r="C693" s="1"/>
      <c r="D693" s="1"/>
      <c r="E693" s="1"/>
      <c r="F693" s="1"/>
      <c r="G693" s="2"/>
    </row>
    <row r="694" ht="15.75" customHeight="1">
      <c r="A694" s="1"/>
      <c r="B694" s="1"/>
      <c r="C694" s="1"/>
      <c r="D694" s="1"/>
      <c r="E694" s="1"/>
      <c r="F694" s="1"/>
      <c r="G694" s="2"/>
    </row>
    <row r="695" ht="15.75" customHeight="1">
      <c r="A695" s="1"/>
      <c r="B695" s="1"/>
      <c r="C695" s="1"/>
      <c r="D695" s="1"/>
      <c r="E695" s="1"/>
      <c r="F695" s="1"/>
      <c r="G695" s="2"/>
    </row>
    <row r="696" ht="15.75" customHeight="1">
      <c r="A696" s="1"/>
      <c r="B696" s="1"/>
      <c r="C696" s="1"/>
      <c r="D696" s="1"/>
      <c r="E696" s="1"/>
      <c r="F696" s="1"/>
      <c r="G696" s="2"/>
    </row>
    <row r="697" ht="15.75" customHeight="1">
      <c r="A697" s="1"/>
      <c r="B697" s="1"/>
      <c r="C697" s="1"/>
      <c r="D697" s="1"/>
      <c r="E697" s="1"/>
      <c r="F697" s="1"/>
      <c r="G697" s="2"/>
    </row>
    <row r="698" ht="15.75" customHeight="1">
      <c r="A698" s="1"/>
      <c r="B698" s="1"/>
      <c r="C698" s="1"/>
      <c r="D698" s="1"/>
      <c r="E698" s="1"/>
      <c r="F698" s="1"/>
      <c r="G698" s="2"/>
    </row>
    <row r="699" ht="15.75" customHeight="1">
      <c r="A699" s="1"/>
      <c r="B699" s="1"/>
      <c r="C699" s="1"/>
      <c r="D699" s="1"/>
      <c r="E699" s="1"/>
      <c r="F699" s="1"/>
      <c r="G699" s="2"/>
    </row>
    <row r="700" ht="15.75" customHeight="1">
      <c r="A700" s="1"/>
      <c r="B700" s="1"/>
      <c r="C700" s="1"/>
      <c r="D700" s="1"/>
      <c r="E700" s="1"/>
      <c r="F700" s="1"/>
      <c r="G700" s="2"/>
    </row>
    <row r="701" ht="15.75" customHeight="1">
      <c r="A701" s="1"/>
      <c r="B701" s="1"/>
      <c r="C701" s="1"/>
      <c r="D701" s="1"/>
      <c r="E701" s="1"/>
      <c r="F701" s="1"/>
      <c r="G701" s="2"/>
    </row>
    <row r="702" ht="15.75" customHeight="1">
      <c r="A702" s="1"/>
      <c r="B702" s="1"/>
      <c r="C702" s="1"/>
      <c r="D702" s="1"/>
      <c r="E702" s="1"/>
      <c r="F702" s="1"/>
      <c r="G702" s="2"/>
    </row>
    <row r="703" ht="15.75" customHeight="1">
      <c r="A703" s="1"/>
      <c r="B703" s="1"/>
      <c r="C703" s="1"/>
      <c r="D703" s="1"/>
      <c r="E703" s="1"/>
      <c r="F703" s="1"/>
      <c r="G703" s="2"/>
    </row>
    <row r="704" ht="15.75" customHeight="1">
      <c r="A704" s="1"/>
      <c r="B704" s="1"/>
      <c r="C704" s="1"/>
      <c r="D704" s="1"/>
      <c r="E704" s="1"/>
      <c r="F704" s="1"/>
      <c r="G704" s="2"/>
    </row>
    <row r="705" ht="15.75" customHeight="1">
      <c r="A705" s="1"/>
      <c r="B705" s="1"/>
      <c r="C705" s="1"/>
      <c r="D705" s="1"/>
      <c r="E705" s="1"/>
      <c r="F705" s="1"/>
      <c r="G705" s="2"/>
    </row>
    <row r="706" ht="15.75" customHeight="1">
      <c r="A706" s="1"/>
      <c r="B706" s="1"/>
      <c r="C706" s="1"/>
      <c r="D706" s="1"/>
      <c r="E706" s="1"/>
      <c r="F706" s="1"/>
      <c r="G706" s="2"/>
    </row>
    <row r="707" ht="15.75" customHeight="1">
      <c r="A707" s="1"/>
      <c r="B707" s="1"/>
      <c r="C707" s="1"/>
      <c r="D707" s="1"/>
      <c r="E707" s="1"/>
      <c r="F707" s="1"/>
      <c r="G707" s="2"/>
    </row>
    <row r="708" ht="15.75" customHeight="1">
      <c r="A708" s="1"/>
      <c r="B708" s="1"/>
      <c r="C708" s="1"/>
      <c r="D708" s="1"/>
      <c r="E708" s="1"/>
      <c r="F708" s="1"/>
      <c r="G708" s="2"/>
    </row>
    <row r="709" ht="15.75" customHeight="1">
      <c r="A709" s="1"/>
      <c r="B709" s="1"/>
      <c r="C709" s="1"/>
      <c r="D709" s="1"/>
      <c r="E709" s="1"/>
      <c r="F709" s="1"/>
      <c r="G709" s="2"/>
    </row>
    <row r="710" ht="15.75" customHeight="1">
      <c r="A710" s="1"/>
      <c r="B710" s="1"/>
      <c r="C710" s="1"/>
      <c r="D710" s="1"/>
      <c r="E710" s="1"/>
      <c r="F710" s="1"/>
      <c r="G710" s="2"/>
    </row>
    <row r="711" ht="15.75" customHeight="1">
      <c r="A711" s="1"/>
      <c r="B711" s="1"/>
      <c r="C711" s="1"/>
      <c r="D711" s="1"/>
      <c r="E711" s="1"/>
      <c r="F711" s="1"/>
      <c r="G711" s="2"/>
    </row>
    <row r="712" ht="15.75" customHeight="1">
      <c r="A712" s="1"/>
      <c r="B712" s="1"/>
      <c r="C712" s="1"/>
      <c r="D712" s="1"/>
      <c r="E712" s="1"/>
      <c r="F712" s="1"/>
      <c r="G712" s="2"/>
    </row>
    <row r="713" ht="15.75" customHeight="1">
      <c r="A713" s="1"/>
      <c r="B713" s="1"/>
      <c r="C713" s="1"/>
      <c r="D713" s="1"/>
      <c r="E713" s="1"/>
      <c r="F713" s="1"/>
      <c r="G713" s="2"/>
    </row>
    <row r="714" ht="15.75" customHeight="1">
      <c r="A714" s="1"/>
      <c r="B714" s="1"/>
      <c r="C714" s="1"/>
      <c r="D714" s="1"/>
      <c r="E714" s="1"/>
      <c r="F714" s="1"/>
      <c r="G714" s="2"/>
    </row>
    <row r="715" ht="15.75" customHeight="1">
      <c r="A715" s="1"/>
      <c r="B715" s="1"/>
      <c r="C715" s="1"/>
      <c r="D715" s="1"/>
      <c r="E715" s="1"/>
      <c r="F715" s="1"/>
      <c r="G715" s="2"/>
    </row>
    <row r="716" ht="15.75" customHeight="1">
      <c r="A716" s="1"/>
      <c r="B716" s="1"/>
      <c r="C716" s="1"/>
      <c r="D716" s="1"/>
      <c r="E716" s="1"/>
      <c r="F716" s="1"/>
      <c r="G716" s="2"/>
    </row>
    <row r="717" ht="15.75" customHeight="1">
      <c r="A717" s="1"/>
      <c r="B717" s="1"/>
      <c r="C717" s="1"/>
      <c r="D717" s="1"/>
      <c r="E717" s="1"/>
      <c r="F717" s="1"/>
      <c r="G717" s="2"/>
    </row>
    <row r="718" ht="15.75" customHeight="1">
      <c r="A718" s="1"/>
      <c r="B718" s="1"/>
      <c r="C718" s="1"/>
      <c r="D718" s="1"/>
      <c r="E718" s="1"/>
      <c r="F718" s="1"/>
      <c r="G718" s="2"/>
    </row>
    <row r="719" ht="15.75" customHeight="1">
      <c r="A719" s="1"/>
      <c r="B719" s="1"/>
      <c r="C719" s="1"/>
      <c r="D719" s="1"/>
      <c r="E719" s="1"/>
      <c r="F719" s="1"/>
      <c r="G719" s="2"/>
    </row>
    <row r="720" ht="15.75" customHeight="1">
      <c r="A720" s="1"/>
      <c r="B720" s="1"/>
      <c r="C720" s="1"/>
      <c r="D720" s="1"/>
      <c r="E720" s="1"/>
      <c r="F720" s="1"/>
      <c r="G720" s="2"/>
    </row>
    <row r="721" ht="15.75" customHeight="1">
      <c r="A721" s="1"/>
      <c r="B721" s="1"/>
      <c r="C721" s="1"/>
      <c r="D721" s="1"/>
      <c r="E721" s="1"/>
      <c r="F721" s="1"/>
      <c r="G721" s="2"/>
    </row>
    <row r="722" ht="15.75" customHeight="1">
      <c r="A722" s="1"/>
      <c r="B722" s="1"/>
      <c r="C722" s="1"/>
      <c r="D722" s="1"/>
      <c r="E722" s="1"/>
      <c r="F722" s="1"/>
      <c r="G722" s="2"/>
    </row>
    <row r="723" ht="15.75" customHeight="1">
      <c r="A723" s="1"/>
      <c r="B723" s="1"/>
      <c r="C723" s="1"/>
      <c r="D723" s="1"/>
      <c r="E723" s="1"/>
      <c r="F723" s="1"/>
      <c r="G723" s="2"/>
    </row>
    <row r="724" ht="15.75" customHeight="1">
      <c r="A724" s="1"/>
      <c r="B724" s="1"/>
      <c r="C724" s="1"/>
      <c r="D724" s="1"/>
      <c r="E724" s="1"/>
      <c r="F724" s="1"/>
      <c r="G724" s="2"/>
    </row>
    <row r="725" ht="15.75" customHeight="1">
      <c r="A725" s="1"/>
      <c r="B725" s="1"/>
      <c r="C725" s="1"/>
      <c r="D725" s="1"/>
      <c r="E725" s="1"/>
      <c r="F725" s="1"/>
      <c r="G725" s="2"/>
    </row>
    <row r="726" ht="15.75" customHeight="1">
      <c r="A726" s="1"/>
      <c r="B726" s="1"/>
      <c r="C726" s="1"/>
      <c r="D726" s="1"/>
      <c r="E726" s="1"/>
      <c r="F726" s="1"/>
      <c r="G726" s="2"/>
    </row>
    <row r="727" ht="15.75" customHeight="1">
      <c r="A727" s="1"/>
      <c r="B727" s="1"/>
      <c r="C727" s="1"/>
      <c r="D727" s="1"/>
      <c r="E727" s="1"/>
      <c r="F727" s="1"/>
      <c r="G727" s="2"/>
    </row>
    <row r="728" ht="15.75" customHeight="1">
      <c r="A728" s="1"/>
      <c r="B728" s="1"/>
      <c r="C728" s="1"/>
      <c r="D728" s="1"/>
      <c r="E728" s="1"/>
      <c r="F728" s="1"/>
      <c r="G728" s="2"/>
    </row>
    <row r="729" ht="15.75" customHeight="1">
      <c r="A729" s="1"/>
      <c r="B729" s="1"/>
      <c r="C729" s="1"/>
      <c r="D729" s="1"/>
      <c r="E729" s="1"/>
      <c r="F729" s="1"/>
      <c r="G729" s="2"/>
    </row>
    <row r="730" ht="15.75" customHeight="1">
      <c r="A730" s="1"/>
      <c r="B730" s="1"/>
      <c r="C730" s="1"/>
      <c r="D730" s="1"/>
      <c r="E730" s="1"/>
      <c r="F730" s="1"/>
      <c r="G730" s="2"/>
    </row>
    <row r="731" ht="15.75" customHeight="1">
      <c r="A731" s="1"/>
      <c r="B731" s="1"/>
      <c r="C731" s="1"/>
      <c r="D731" s="1"/>
      <c r="E731" s="1"/>
      <c r="F731" s="1"/>
      <c r="G731" s="2"/>
    </row>
    <row r="732" ht="15.75" customHeight="1">
      <c r="A732" s="1"/>
      <c r="B732" s="1"/>
      <c r="C732" s="1"/>
      <c r="D732" s="1"/>
      <c r="E732" s="1"/>
      <c r="F732" s="1"/>
      <c r="G732" s="2"/>
    </row>
    <row r="733" ht="15.75" customHeight="1">
      <c r="A733" s="1"/>
      <c r="B733" s="1"/>
      <c r="C733" s="1"/>
      <c r="D733" s="1"/>
      <c r="E733" s="1"/>
      <c r="F733" s="1"/>
      <c r="G733" s="2"/>
    </row>
    <row r="734" ht="15.75" customHeight="1">
      <c r="A734" s="1"/>
      <c r="B734" s="1"/>
      <c r="C734" s="1"/>
      <c r="D734" s="1"/>
      <c r="E734" s="1"/>
      <c r="F734" s="1"/>
      <c r="G734" s="2"/>
    </row>
    <row r="735" ht="15.75" customHeight="1">
      <c r="A735" s="1"/>
      <c r="B735" s="1"/>
      <c r="C735" s="1"/>
      <c r="D735" s="1"/>
      <c r="E735" s="1"/>
      <c r="F735" s="1"/>
      <c r="G735" s="2"/>
    </row>
    <row r="736" ht="15.75" customHeight="1">
      <c r="A736" s="1"/>
      <c r="B736" s="1"/>
      <c r="C736" s="1"/>
      <c r="D736" s="1"/>
      <c r="E736" s="1"/>
      <c r="F736" s="1"/>
      <c r="G736" s="2"/>
    </row>
    <row r="737" ht="15.75" customHeight="1">
      <c r="A737" s="1"/>
      <c r="B737" s="1"/>
      <c r="C737" s="1"/>
      <c r="D737" s="1"/>
      <c r="E737" s="1"/>
      <c r="F737" s="1"/>
      <c r="G737" s="2"/>
    </row>
    <row r="738" ht="15.75" customHeight="1">
      <c r="A738" s="1"/>
      <c r="B738" s="1"/>
      <c r="C738" s="1"/>
      <c r="D738" s="1"/>
      <c r="E738" s="1"/>
      <c r="F738" s="1"/>
      <c r="G738" s="2"/>
    </row>
    <row r="739" ht="15.75" customHeight="1">
      <c r="A739" s="1"/>
      <c r="B739" s="1"/>
      <c r="C739" s="1"/>
      <c r="D739" s="1"/>
      <c r="E739" s="1"/>
      <c r="F739" s="1"/>
      <c r="G739" s="2"/>
    </row>
    <row r="740" ht="15.75" customHeight="1">
      <c r="A740" s="1"/>
      <c r="B740" s="1"/>
      <c r="C740" s="1"/>
      <c r="D740" s="1"/>
      <c r="E740" s="1"/>
      <c r="F740" s="1"/>
      <c r="G740" s="2"/>
    </row>
    <row r="741" ht="15.75" customHeight="1">
      <c r="A741" s="1"/>
      <c r="B741" s="1"/>
      <c r="C741" s="1"/>
      <c r="D741" s="1"/>
      <c r="E741" s="1"/>
      <c r="F741" s="1"/>
      <c r="G741" s="2"/>
    </row>
    <row r="742" ht="15.75" customHeight="1">
      <c r="A742" s="1"/>
      <c r="B742" s="1"/>
      <c r="C742" s="1"/>
      <c r="D742" s="1"/>
      <c r="E742" s="1"/>
      <c r="F742" s="1"/>
      <c r="G742" s="2"/>
    </row>
    <row r="743" ht="15.75" customHeight="1">
      <c r="A743" s="1"/>
      <c r="B743" s="1"/>
      <c r="C743" s="1"/>
      <c r="D743" s="1"/>
      <c r="E743" s="1"/>
      <c r="F743" s="1"/>
      <c r="G743" s="2"/>
    </row>
    <row r="744" ht="15.75" customHeight="1">
      <c r="A744" s="1"/>
      <c r="B744" s="1"/>
      <c r="C744" s="1"/>
      <c r="D744" s="1"/>
      <c r="E744" s="1"/>
      <c r="F744" s="1"/>
      <c r="G744" s="2"/>
    </row>
    <row r="745" ht="15.75" customHeight="1">
      <c r="A745" s="1"/>
      <c r="B745" s="1"/>
      <c r="C745" s="1"/>
      <c r="D745" s="1"/>
      <c r="E745" s="1"/>
      <c r="F745" s="1"/>
      <c r="G745" s="2"/>
    </row>
    <row r="746" ht="15.75" customHeight="1">
      <c r="A746" s="1"/>
      <c r="B746" s="1"/>
      <c r="C746" s="1"/>
      <c r="D746" s="1"/>
      <c r="E746" s="1"/>
      <c r="F746" s="1"/>
      <c r="G746" s="2"/>
    </row>
    <row r="747" ht="15.75" customHeight="1">
      <c r="A747" s="1"/>
      <c r="B747" s="1"/>
      <c r="C747" s="1"/>
      <c r="D747" s="1"/>
      <c r="E747" s="1"/>
      <c r="F747" s="1"/>
      <c r="G747" s="2"/>
    </row>
    <row r="748" ht="15.75" customHeight="1">
      <c r="A748" s="1"/>
      <c r="B748" s="1"/>
      <c r="C748" s="1"/>
      <c r="D748" s="1"/>
      <c r="E748" s="1"/>
      <c r="F748" s="1"/>
      <c r="G748" s="2"/>
    </row>
    <row r="749" ht="15.75" customHeight="1">
      <c r="A749" s="1"/>
      <c r="B749" s="1"/>
      <c r="C749" s="1"/>
      <c r="D749" s="1"/>
      <c r="E749" s="1"/>
      <c r="F749" s="1"/>
      <c r="G749" s="2"/>
    </row>
    <row r="750" ht="15.75" customHeight="1">
      <c r="A750" s="1"/>
      <c r="B750" s="1"/>
      <c r="C750" s="1"/>
      <c r="D750" s="1"/>
      <c r="E750" s="1"/>
      <c r="F750" s="1"/>
      <c r="G750" s="2"/>
    </row>
    <row r="751" ht="15.75" customHeight="1">
      <c r="A751" s="1"/>
      <c r="B751" s="1"/>
      <c r="C751" s="1"/>
      <c r="D751" s="1"/>
      <c r="E751" s="1"/>
      <c r="F751" s="1"/>
      <c r="G751" s="2"/>
    </row>
    <row r="752" ht="15.75" customHeight="1">
      <c r="A752" s="1"/>
      <c r="B752" s="1"/>
      <c r="C752" s="1"/>
      <c r="D752" s="1"/>
      <c r="E752" s="1"/>
      <c r="F752" s="1"/>
      <c r="G752" s="2"/>
    </row>
    <row r="753" ht="15.75" customHeight="1">
      <c r="A753" s="1"/>
      <c r="B753" s="1"/>
      <c r="C753" s="1"/>
      <c r="D753" s="1"/>
      <c r="E753" s="1"/>
      <c r="F753" s="1"/>
      <c r="G753" s="2"/>
    </row>
    <row r="754" ht="15.75" customHeight="1">
      <c r="A754" s="1"/>
      <c r="B754" s="1"/>
      <c r="C754" s="1"/>
      <c r="D754" s="1"/>
      <c r="E754" s="1"/>
      <c r="F754" s="1"/>
      <c r="G754" s="2"/>
    </row>
    <row r="755" ht="15.75" customHeight="1">
      <c r="A755" s="1"/>
      <c r="B755" s="1"/>
      <c r="C755" s="1"/>
      <c r="D755" s="1"/>
      <c r="E755" s="1"/>
      <c r="F755" s="1"/>
      <c r="G755" s="2"/>
    </row>
    <row r="756" ht="15.75" customHeight="1">
      <c r="A756" s="1"/>
      <c r="B756" s="1"/>
      <c r="C756" s="1"/>
      <c r="D756" s="1"/>
      <c r="E756" s="1"/>
      <c r="F756" s="1"/>
      <c r="G756" s="2"/>
    </row>
    <row r="757" ht="15.75" customHeight="1">
      <c r="A757" s="1"/>
      <c r="B757" s="1"/>
      <c r="C757" s="1"/>
      <c r="D757" s="1"/>
      <c r="E757" s="1"/>
      <c r="F757" s="1"/>
      <c r="G757" s="2"/>
    </row>
    <row r="758" ht="15.75" customHeight="1">
      <c r="A758" s="1"/>
      <c r="B758" s="1"/>
      <c r="C758" s="1"/>
      <c r="D758" s="1"/>
      <c r="E758" s="1"/>
      <c r="F758" s="1"/>
      <c r="G758" s="2"/>
    </row>
    <row r="759" ht="15.75" customHeight="1">
      <c r="A759" s="1"/>
      <c r="B759" s="1"/>
      <c r="C759" s="1"/>
      <c r="D759" s="1"/>
      <c r="E759" s="1"/>
      <c r="F759" s="1"/>
      <c r="G759" s="2"/>
    </row>
    <row r="760" ht="15.75" customHeight="1">
      <c r="A760" s="1"/>
      <c r="B760" s="1"/>
      <c r="C760" s="1"/>
      <c r="D760" s="1"/>
      <c r="E760" s="1"/>
      <c r="F760" s="1"/>
      <c r="G760" s="2"/>
    </row>
    <row r="761" ht="15.75" customHeight="1">
      <c r="A761" s="1"/>
      <c r="B761" s="1"/>
      <c r="C761" s="1"/>
      <c r="D761" s="1"/>
      <c r="E761" s="1"/>
      <c r="F761" s="1"/>
      <c r="G761" s="2"/>
    </row>
    <row r="762" ht="15.75" customHeight="1">
      <c r="A762" s="1"/>
      <c r="B762" s="1"/>
      <c r="C762" s="1"/>
      <c r="D762" s="1"/>
      <c r="E762" s="1"/>
      <c r="F762" s="1"/>
      <c r="G762" s="2"/>
    </row>
    <row r="763" ht="15.75" customHeight="1">
      <c r="A763" s="1"/>
      <c r="B763" s="1"/>
      <c r="C763" s="1"/>
      <c r="D763" s="1"/>
      <c r="E763" s="1"/>
      <c r="F763" s="1"/>
      <c r="G763" s="2"/>
    </row>
    <row r="764" ht="15.75" customHeight="1">
      <c r="A764" s="1"/>
      <c r="B764" s="1"/>
      <c r="C764" s="1"/>
      <c r="D764" s="1"/>
      <c r="E764" s="1"/>
      <c r="F764" s="1"/>
      <c r="G764" s="2"/>
    </row>
    <row r="765" ht="15.75" customHeight="1">
      <c r="A765" s="1"/>
      <c r="B765" s="1"/>
      <c r="C765" s="1"/>
      <c r="D765" s="1"/>
      <c r="E765" s="1"/>
      <c r="F765" s="1"/>
      <c r="G765" s="2"/>
    </row>
    <row r="766" ht="15.75" customHeight="1">
      <c r="A766" s="1"/>
      <c r="B766" s="1"/>
      <c r="C766" s="1"/>
      <c r="D766" s="1"/>
      <c r="E766" s="1"/>
      <c r="F766" s="1"/>
      <c r="G766" s="2"/>
    </row>
    <row r="767" ht="15.75" customHeight="1">
      <c r="A767" s="1"/>
      <c r="B767" s="1"/>
      <c r="C767" s="1"/>
      <c r="D767" s="1"/>
      <c r="E767" s="1"/>
      <c r="F767" s="1"/>
      <c r="G767" s="2"/>
    </row>
    <row r="768" ht="15.75" customHeight="1">
      <c r="A768" s="1"/>
      <c r="B768" s="1"/>
      <c r="C768" s="1"/>
      <c r="D768" s="1"/>
      <c r="E768" s="1"/>
      <c r="F768" s="1"/>
      <c r="G768" s="2"/>
    </row>
    <row r="769" ht="15.75" customHeight="1">
      <c r="A769" s="1"/>
      <c r="B769" s="1"/>
      <c r="C769" s="1"/>
      <c r="D769" s="1"/>
      <c r="E769" s="1"/>
      <c r="F769" s="1"/>
      <c r="G769" s="2"/>
    </row>
    <row r="770" ht="15.75" customHeight="1">
      <c r="A770" s="1"/>
      <c r="B770" s="1"/>
      <c r="C770" s="1"/>
      <c r="D770" s="1"/>
      <c r="E770" s="1"/>
      <c r="F770" s="1"/>
      <c r="G770" s="2"/>
    </row>
    <row r="771" ht="15.75" customHeight="1">
      <c r="A771" s="1"/>
      <c r="B771" s="1"/>
      <c r="C771" s="1"/>
      <c r="D771" s="1"/>
      <c r="E771" s="1"/>
      <c r="F771" s="1"/>
      <c r="G771" s="2"/>
    </row>
    <row r="772" ht="15.75" customHeight="1">
      <c r="A772" s="1"/>
      <c r="B772" s="1"/>
      <c r="C772" s="1"/>
      <c r="D772" s="1"/>
      <c r="E772" s="1"/>
      <c r="F772" s="1"/>
      <c r="G772" s="2"/>
    </row>
    <row r="773" ht="15.75" customHeight="1">
      <c r="A773" s="1"/>
      <c r="B773" s="1"/>
      <c r="C773" s="1"/>
      <c r="D773" s="1"/>
      <c r="E773" s="1"/>
      <c r="F773" s="1"/>
      <c r="G773" s="2"/>
    </row>
    <row r="774" ht="15.75" customHeight="1">
      <c r="A774" s="1"/>
      <c r="B774" s="1"/>
      <c r="C774" s="1"/>
      <c r="D774" s="1"/>
      <c r="E774" s="1"/>
      <c r="F774" s="1"/>
      <c r="G774" s="2"/>
    </row>
    <row r="775" ht="15.75" customHeight="1">
      <c r="A775" s="1"/>
      <c r="B775" s="1"/>
      <c r="C775" s="1"/>
      <c r="D775" s="1"/>
      <c r="E775" s="1"/>
      <c r="F775" s="1"/>
      <c r="G775" s="2"/>
    </row>
    <row r="776" ht="15.75" customHeight="1">
      <c r="A776" s="1"/>
      <c r="B776" s="1"/>
      <c r="C776" s="1"/>
      <c r="D776" s="1"/>
      <c r="E776" s="1"/>
      <c r="F776" s="1"/>
      <c r="G776" s="2"/>
    </row>
    <row r="777" ht="15.75" customHeight="1">
      <c r="A777" s="1"/>
      <c r="B777" s="1"/>
      <c r="C777" s="1"/>
      <c r="D777" s="1"/>
      <c r="E777" s="1"/>
      <c r="F777" s="1"/>
      <c r="G777" s="2"/>
    </row>
    <row r="778" ht="15.75" customHeight="1">
      <c r="A778" s="1"/>
      <c r="B778" s="1"/>
      <c r="C778" s="1"/>
      <c r="D778" s="1"/>
      <c r="E778" s="1"/>
      <c r="F778" s="1"/>
      <c r="G778" s="2"/>
    </row>
    <row r="779" ht="15.75" customHeight="1">
      <c r="A779" s="1"/>
      <c r="B779" s="1"/>
      <c r="C779" s="1"/>
      <c r="D779" s="1"/>
      <c r="E779" s="1"/>
      <c r="F779" s="1"/>
      <c r="G779" s="2"/>
    </row>
    <row r="780" ht="15.75" customHeight="1">
      <c r="A780" s="1"/>
      <c r="B780" s="1"/>
      <c r="C780" s="1"/>
      <c r="D780" s="1"/>
      <c r="E780" s="1"/>
      <c r="F780" s="1"/>
      <c r="G780" s="2"/>
    </row>
    <row r="781" ht="15.75" customHeight="1">
      <c r="A781" s="1"/>
      <c r="B781" s="1"/>
      <c r="C781" s="1"/>
      <c r="D781" s="1"/>
      <c r="E781" s="1"/>
      <c r="F781" s="1"/>
      <c r="G781" s="2"/>
    </row>
    <row r="782" ht="15.75" customHeight="1">
      <c r="A782" s="1"/>
      <c r="B782" s="1"/>
      <c r="C782" s="1"/>
      <c r="D782" s="1"/>
      <c r="E782" s="1"/>
      <c r="F782" s="1"/>
      <c r="G782" s="2"/>
    </row>
    <row r="783" ht="15.75" customHeight="1">
      <c r="A783" s="1"/>
      <c r="B783" s="1"/>
      <c r="C783" s="1"/>
      <c r="D783" s="1"/>
      <c r="E783" s="1"/>
      <c r="F783" s="1"/>
      <c r="G783" s="2"/>
    </row>
    <row r="784" ht="15.75" customHeight="1">
      <c r="A784" s="1"/>
      <c r="B784" s="1"/>
      <c r="C784" s="1"/>
      <c r="D784" s="1"/>
      <c r="E784" s="1"/>
      <c r="F784" s="1"/>
      <c r="G784" s="2"/>
    </row>
    <row r="785" ht="15.75" customHeight="1">
      <c r="A785" s="1"/>
      <c r="B785" s="1"/>
      <c r="C785" s="1"/>
      <c r="D785" s="1"/>
      <c r="E785" s="1"/>
      <c r="F785" s="1"/>
      <c r="G785" s="2"/>
    </row>
    <row r="786" ht="15.75" customHeight="1">
      <c r="A786" s="1"/>
      <c r="B786" s="1"/>
      <c r="C786" s="1"/>
      <c r="D786" s="1"/>
      <c r="E786" s="1"/>
      <c r="F786" s="1"/>
      <c r="G786" s="2"/>
    </row>
    <row r="787" ht="15.75" customHeight="1">
      <c r="A787" s="1"/>
      <c r="B787" s="1"/>
      <c r="C787" s="1"/>
      <c r="D787" s="1"/>
      <c r="E787" s="1"/>
      <c r="F787" s="1"/>
      <c r="G787" s="2"/>
    </row>
    <row r="788" ht="15.75" customHeight="1">
      <c r="A788" s="1"/>
      <c r="B788" s="1"/>
      <c r="C788" s="1"/>
      <c r="D788" s="1"/>
      <c r="E788" s="1"/>
      <c r="F788" s="1"/>
      <c r="G788" s="2"/>
    </row>
    <row r="789" ht="15.75" customHeight="1">
      <c r="A789" s="1"/>
      <c r="B789" s="1"/>
      <c r="C789" s="1"/>
      <c r="D789" s="1"/>
      <c r="E789" s="1"/>
      <c r="F789" s="1"/>
      <c r="G789" s="2"/>
    </row>
    <row r="790" ht="15.75" customHeight="1">
      <c r="A790" s="1"/>
      <c r="B790" s="1"/>
      <c r="C790" s="1"/>
      <c r="D790" s="1"/>
      <c r="E790" s="1"/>
      <c r="F790" s="1"/>
      <c r="G790" s="2"/>
    </row>
    <row r="791" ht="15.75" customHeight="1">
      <c r="A791" s="1"/>
      <c r="B791" s="1"/>
      <c r="C791" s="1"/>
      <c r="D791" s="1"/>
      <c r="E791" s="1"/>
      <c r="F791" s="1"/>
      <c r="G791" s="2"/>
    </row>
    <row r="792" ht="15.75" customHeight="1">
      <c r="A792" s="1"/>
      <c r="B792" s="1"/>
      <c r="C792" s="1"/>
      <c r="D792" s="1"/>
      <c r="E792" s="1"/>
      <c r="F792" s="1"/>
      <c r="G792" s="2"/>
    </row>
    <row r="793" ht="15.75" customHeight="1">
      <c r="A793" s="1"/>
      <c r="B793" s="1"/>
      <c r="C793" s="1"/>
      <c r="D793" s="1"/>
      <c r="E793" s="1"/>
      <c r="F793" s="1"/>
      <c r="G793" s="2"/>
    </row>
    <row r="794" ht="15.75" customHeight="1">
      <c r="A794" s="1"/>
      <c r="B794" s="1"/>
      <c r="C794" s="1"/>
      <c r="D794" s="1"/>
      <c r="E794" s="1"/>
      <c r="F794" s="1"/>
      <c r="G794" s="2"/>
    </row>
    <row r="795" ht="15.75" customHeight="1">
      <c r="A795" s="1"/>
      <c r="B795" s="1"/>
      <c r="C795" s="1"/>
      <c r="D795" s="1"/>
      <c r="E795" s="1"/>
      <c r="F795" s="1"/>
      <c r="G795" s="2"/>
    </row>
    <row r="796" ht="15.75" customHeight="1">
      <c r="A796" s="1"/>
      <c r="B796" s="1"/>
      <c r="C796" s="1"/>
      <c r="D796" s="1"/>
      <c r="E796" s="1"/>
      <c r="F796" s="1"/>
      <c r="G796" s="2"/>
    </row>
    <row r="797" ht="15.75" customHeight="1">
      <c r="A797" s="1"/>
      <c r="B797" s="1"/>
      <c r="C797" s="1"/>
      <c r="D797" s="1"/>
      <c r="E797" s="1"/>
      <c r="F797" s="1"/>
      <c r="G797" s="2"/>
    </row>
    <row r="798" ht="15.75" customHeight="1">
      <c r="A798" s="1"/>
      <c r="B798" s="1"/>
      <c r="C798" s="1"/>
      <c r="D798" s="1"/>
      <c r="E798" s="1"/>
      <c r="F798" s="1"/>
      <c r="G798" s="2"/>
    </row>
    <row r="799" ht="15.75" customHeight="1">
      <c r="A799" s="1"/>
      <c r="B799" s="1"/>
      <c r="C799" s="1"/>
      <c r="D799" s="1"/>
      <c r="E799" s="1"/>
      <c r="F799" s="1"/>
      <c r="G799" s="2"/>
    </row>
    <row r="800" ht="15.75" customHeight="1">
      <c r="A800" s="1"/>
      <c r="B800" s="1"/>
      <c r="C800" s="1"/>
      <c r="D800" s="1"/>
      <c r="E800" s="1"/>
      <c r="F800" s="1"/>
      <c r="G800" s="2"/>
    </row>
    <row r="801" ht="15.75" customHeight="1">
      <c r="A801" s="1"/>
      <c r="B801" s="1"/>
      <c r="C801" s="1"/>
      <c r="D801" s="1"/>
      <c r="E801" s="1"/>
      <c r="F801" s="1"/>
      <c r="G801" s="2"/>
    </row>
    <row r="802" ht="15.75" customHeight="1">
      <c r="A802" s="1"/>
      <c r="B802" s="1"/>
      <c r="C802" s="1"/>
      <c r="D802" s="1"/>
      <c r="E802" s="1"/>
      <c r="F802" s="1"/>
      <c r="G802" s="2"/>
    </row>
    <row r="803" ht="15.75" customHeight="1">
      <c r="A803" s="1"/>
      <c r="B803" s="1"/>
      <c r="C803" s="1"/>
      <c r="D803" s="1"/>
      <c r="E803" s="1"/>
      <c r="F803" s="1"/>
      <c r="G803" s="2"/>
    </row>
    <row r="804" ht="15.75" customHeight="1">
      <c r="A804" s="1"/>
      <c r="B804" s="1"/>
      <c r="C804" s="1"/>
      <c r="D804" s="1"/>
      <c r="E804" s="1"/>
      <c r="F804" s="1"/>
      <c r="G804" s="2"/>
    </row>
    <row r="805" ht="15.75" customHeight="1">
      <c r="A805" s="1"/>
      <c r="B805" s="1"/>
      <c r="C805" s="1"/>
      <c r="D805" s="1"/>
      <c r="E805" s="1"/>
      <c r="F805" s="1"/>
      <c r="G805" s="2"/>
    </row>
    <row r="806" ht="15.75" customHeight="1">
      <c r="A806" s="1"/>
      <c r="B806" s="1"/>
      <c r="C806" s="1"/>
      <c r="D806" s="1"/>
      <c r="E806" s="1"/>
      <c r="F806" s="1"/>
      <c r="G806" s="2"/>
    </row>
    <row r="807" ht="15.75" customHeight="1">
      <c r="A807" s="1"/>
      <c r="B807" s="1"/>
      <c r="C807" s="1"/>
      <c r="D807" s="1"/>
      <c r="E807" s="1"/>
      <c r="F807" s="1"/>
      <c r="G807" s="2"/>
    </row>
    <row r="808" ht="15.75" customHeight="1">
      <c r="A808" s="1"/>
      <c r="B808" s="1"/>
      <c r="C808" s="1"/>
      <c r="D808" s="1"/>
      <c r="E808" s="1"/>
      <c r="F808" s="1"/>
      <c r="G808" s="2"/>
    </row>
    <row r="809" ht="15.75" customHeight="1">
      <c r="A809" s="1"/>
      <c r="B809" s="1"/>
      <c r="C809" s="1"/>
      <c r="D809" s="1"/>
      <c r="E809" s="1"/>
      <c r="F809" s="1"/>
      <c r="G809" s="2"/>
    </row>
    <row r="810" ht="15.75" customHeight="1">
      <c r="A810" s="1"/>
      <c r="B810" s="1"/>
      <c r="C810" s="1"/>
      <c r="D810" s="1"/>
      <c r="E810" s="1"/>
      <c r="F810" s="1"/>
      <c r="G810" s="2"/>
    </row>
    <row r="811" ht="15.75" customHeight="1">
      <c r="A811" s="1"/>
      <c r="B811" s="1"/>
      <c r="C811" s="1"/>
      <c r="D811" s="1"/>
      <c r="E811" s="1"/>
      <c r="F811" s="1"/>
      <c r="G811" s="2"/>
    </row>
    <row r="812" ht="15.75" customHeight="1">
      <c r="A812" s="1"/>
      <c r="B812" s="1"/>
      <c r="C812" s="1"/>
      <c r="D812" s="1"/>
      <c r="E812" s="1"/>
      <c r="F812" s="1"/>
      <c r="G812" s="2"/>
    </row>
    <row r="813" ht="15.75" customHeight="1">
      <c r="A813" s="1"/>
      <c r="B813" s="1"/>
      <c r="C813" s="1"/>
      <c r="D813" s="1"/>
      <c r="E813" s="1"/>
      <c r="F813" s="1"/>
      <c r="G813" s="2"/>
    </row>
    <row r="814" ht="15.75" customHeight="1">
      <c r="A814" s="1"/>
      <c r="B814" s="1"/>
      <c r="C814" s="1"/>
      <c r="D814" s="1"/>
      <c r="E814" s="1"/>
      <c r="F814" s="1"/>
      <c r="G814" s="2"/>
    </row>
    <row r="815" ht="15.75" customHeight="1">
      <c r="A815" s="1"/>
      <c r="B815" s="1"/>
      <c r="C815" s="1"/>
      <c r="D815" s="1"/>
      <c r="E815" s="1"/>
      <c r="F815" s="1"/>
      <c r="G815" s="2"/>
    </row>
    <row r="816" ht="15.75" customHeight="1">
      <c r="A816" s="1"/>
      <c r="B816" s="1"/>
      <c r="C816" s="1"/>
      <c r="D816" s="1"/>
      <c r="E816" s="1"/>
      <c r="F816" s="1"/>
      <c r="G816" s="2"/>
    </row>
    <row r="817" ht="15.75" customHeight="1">
      <c r="A817" s="1"/>
      <c r="B817" s="1"/>
      <c r="C817" s="1"/>
      <c r="D817" s="1"/>
      <c r="E817" s="1"/>
      <c r="F817" s="1"/>
      <c r="G817" s="2"/>
    </row>
    <row r="818" ht="15.75" customHeight="1">
      <c r="A818" s="1"/>
      <c r="B818" s="1"/>
      <c r="C818" s="1"/>
      <c r="D818" s="1"/>
      <c r="E818" s="1"/>
      <c r="F818" s="1"/>
      <c r="G818" s="2"/>
    </row>
    <row r="819" ht="15.75" customHeight="1">
      <c r="A819" s="1"/>
      <c r="B819" s="1"/>
      <c r="C819" s="1"/>
      <c r="D819" s="1"/>
      <c r="E819" s="1"/>
      <c r="F819" s="1"/>
      <c r="G819" s="2"/>
    </row>
    <row r="820" ht="15.75" customHeight="1">
      <c r="A820" s="1"/>
      <c r="B820" s="1"/>
      <c r="C820" s="1"/>
      <c r="D820" s="1"/>
      <c r="E820" s="1"/>
      <c r="F820" s="1"/>
      <c r="G820" s="2"/>
    </row>
    <row r="821" ht="15.75" customHeight="1">
      <c r="A821" s="1"/>
      <c r="B821" s="1"/>
      <c r="C821" s="1"/>
      <c r="D821" s="1"/>
      <c r="E821" s="1"/>
      <c r="F821" s="1"/>
      <c r="G821" s="2"/>
    </row>
    <row r="822" ht="15.75" customHeight="1">
      <c r="A822" s="1"/>
      <c r="B822" s="1"/>
      <c r="C822" s="1"/>
      <c r="D822" s="1"/>
      <c r="E822" s="1"/>
      <c r="F822" s="1"/>
      <c r="G822" s="2"/>
    </row>
    <row r="823" ht="15.75" customHeight="1">
      <c r="A823" s="1"/>
      <c r="B823" s="1"/>
      <c r="C823" s="1"/>
      <c r="D823" s="1"/>
      <c r="E823" s="1"/>
      <c r="F823" s="1"/>
      <c r="G823" s="2"/>
    </row>
    <row r="824" ht="15.75" customHeight="1">
      <c r="A824" s="1"/>
      <c r="B824" s="1"/>
      <c r="C824" s="1"/>
      <c r="D824" s="1"/>
      <c r="E824" s="1"/>
      <c r="F824" s="1"/>
      <c r="G824" s="2"/>
    </row>
    <row r="825" ht="15.75" customHeight="1">
      <c r="A825" s="1"/>
      <c r="B825" s="1"/>
      <c r="C825" s="1"/>
      <c r="D825" s="1"/>
      <c r="E825" s="1"/>
      <c r="F825" s="1"/>
      <c r="G825" s="2"/>
    </row>
    <row r="826" ht="15.75" customHeight="1">
      <c r="A826" s="1"/>
      <c r="B826" s="1"/>
      <c r="C826" s="1"/>
      <c r="D826" s="1"/>
      <c r="E826" s="1"/>
      <c r="F826" s="1"/>
      <c r="G826" s="2"/>
    </row>
    <row r="827" ht="15.75" customHeight="1">
      <c r="A827" s="1"/>
      <c r="B827" s="1"/>
      <c r="C827" s="1"/>
      <c r="D827" s="1"/>
      <c r="E827" s="1"/>
      <c r="F827" s="1"/>
      <c r="G827" s="2"/>
    </row>
    <row r="828" ht="15.75" customHeight="1">
      <c r="A828" s="1"/>
      <c r="B828" s="1"/>
      <c r="C828" s="1"/>
      <c r="D828" s="1"/>
      <c r="E828" s="1"/>
      <c r="F828" s="1"/>
      <c r="G828" s="2"/>
    </row>
    <row r="829" ht="15.75" customHeight="1">
      <c r="A829" s="1"/>
      <c r="B829" s="1"/>
      <c r="C829" s="1"/>
      <c r="D829" s="1"/>
      <c r="E829" s="1"/>
      <c r="F829" s="1"/>
      <c r="G829" s="2"/>
    </row>
    <row r="830" ht="15.75" customHeight="1">
      <c r="A830" s="1"/>
      <c r="B830" s="1"/>
      <c r="C830" s="1"/>
      <c r="D830" s="1"/>
      <c r="E830" s="1"/>
      <c r="F830" s="1"/>
      <c r="G830" s="2"/>
    </row>
    <row r="831" ht="15.75" customHeight="1">
      <c r="A831" s="1"/>
      <c r="B831" s="1"/>
      <c r="C831" s="1"/>
      <c r="D831" s="1"/>
      <c r="E831" s="1"/>
      <c r="F831" s="1"/>
      <c r="G831" s="2"/>
    </row>
    <row r="832" ht="15.75" customHeight="1">
      <c r="A832" s="1"/>
      <c r="B832" s="1"/>
      <c r="C832" s="1"/>
      <c r="D832" s="1"/>
      <c r="E832" s="1"/>
      <c r="F832" s="1"/>
      <c r="G832" s="2"/>
    </row>
    <row r="833" ht="15.75" customHeight="1">
      <c r="A833" s="1"/>
      <c r="B833" s="1"/>
      <c r="C833" s="1"/>
      <c r="D833" s="1"/>
      <c r="E833" s="1"/>
      <c r="F833" s="1"/>
      <c r="G833" s="2"/>
    </row>
    <row r="834" ht="15.75" customHeight="1">
      <c r="A834" s="1"/>
      <c r="B834" s="1"/>
      <c r="C834" s="1"/>
      <c r="D834" s="1"/>
      <c r="E834" s="1"/>
      <c r="F834" s="1"/>
      <c r="G834" s="2"/>
    </row>
    <row r="835" ht="15.75" customHeight="1">
      <c r="A835" s="1"/>
      <c r="B835" s="1"/>
      <c r="C835" s="1"/>
      <c r="D835" s="1"/>
      <c r="E835" s="1"/>
      <c r="F835" s="1"/>
      <c r="G835" s="2"/>
    </row>
    <row r="836" ht="15.75" customHeight="1">
      <c r="A836" s="1"/>
      <c r="B836" s="1"/>
      <c r="C836" s="1"/>
      <c r="D836" s="1"/>
      <c r="E836" s="1"/>
      <c r="F836" s="1"/>
      <c r="G836" s="2"/>
    </row>
    <row r="837" ht="15.75" customHeight="1">
      <c r="A837" s="1"/>
      <c r="B837" s="1"/>
      <c r="C837" s="1"/>
      <c r="D837" s="1"/>
      <c r="E837" s="1"/>
      <c r="F837" s="1"/>
      <c r="G837" s="2"/>
    </row>
    <row r="838" ht="15.75" customHeight="1">
      <c r="A838" s="1"/>
      <c r="B838" s="1"/>
      <c r="C838" s="1"/>
      <c r="D838" s="1"/>
      <c r="E838" s="1"/>
      <c r="F838" s="1"/>
      <c r="G838" s="2"/>
    </row>
    <row r="839" ht="15.75" customHeight="1">
      <c r="A839" s="1"/>
      <c r="B839" s="1"/>
      <c r="C839" s="1"/>
      <c r="D839" s="1"/>
      <c r="E839" s="1"/>
      <c r="F839" s="1"/>
      <c r="G839" s="2"/>
    </row>
    <row r="840" ht="15.75" customHeight="1">
      <c r="A840" s="1"/>
      <c r="B840" s="1"/>
      <c r="C840" s="1"/>
      <c r="D840" s="1"/>
      <c r="E840" s="1"/>
      <c r="F840" s="1"/>
      <c r="G840" s="2"/>
    </row>
    <row r="841" ht="15.75" customHeight="1">
      <c r="A841" s="1"/>
      <c r="B841" s="1"/>
      <c r="C841" s="1"/>
      <c r="D841" s="1"/>
      <c r="E841" s="1"/>
      <c r="F841" s="1"/>
      <c r="G841" s="2"/>
    </row>
    <row r="842" ht="15.75" customHeight="1">
      <c r="A842" s="1"/>
      <c r="B842" s="1"/>
      <c r="C842" s="1"/>
      <c r="D842" s="1"/>
      <c r="E842" s="1"/>
      <c r="F842" s="1"/>
      <c r="G842" s="2"/>
    </row>
    <row r="843" ht="15.75" customHeight="1">
      <c r="A843" s="1"/>
      <c r="B843" s="1"/>
      <c r="C843" s="1"/>
      <c r="D843" s="1"/>
      <c r="E843" s="1"/>
      <c r="F843" s="1"/>
      <c r="G843" s="2"/>
    </row>
    <row r="844" ht="15.75" customHeight="1">
      <c r="A844" s="1"/>
      <c r="B844" s="1"/>
      <c r="C844" s="1"/>
      <c r="D844" s="1"/>
      <c r="E844" s="1"/>
      <c r="F844" s="1"/>
      <c r="G844" s="2"/>
    </row>
    <row r="845" ht="15.75" customHeight="1">
      <c r="A845" s="1"/>
      <c r="B845" s="1"/>
      <c r="C845" s="1"/>
      <c r="D845" s="1"/>
      <c r="E845" s="1"/>
      <c r="F845" s="1"/>
      <c r="G845" s="2"/>
    </row>
    <row r="846" ht="15.75" customHeight="1">
      <c r="A846" s="1"/>
      <c r="B846" s="1"/>
      <c r="C846" s="1"/>
      <c r="D846" s="1"/>
      <c r="E846" s="1"/>
      <c r="F846" s="1"/>
      <c r="G846" s="2"/>
    </row>
    <row r="847" ht="15.75" customHeight="1">
      <c r="A847" s="1"/>
      <c r="B847" s="1"/>
      <c r="C847" s="1"/>
      <c r="D847" s="1"/>
      <c r="E847" s="1"/>
      <c r="F847" s="1"/>
      <c r="G847" s="2"/>
    </row>
    <row r="848" ht="15.75" customHeight="1">
      <c r="A848" s="1"/>
      <c r="B848" s="1"/>
      <c r="C848" s="1"/>
      <c r="D848" s="1"/>
      <c r="E848" s="1"/>
      <c r="F848" s="1"/>
      <c r="G848" s="2"/>
    </row>
    <row r="849" ht="15.75" customHeight="1">
      <c r="A849" s="1"/>
      <c r="B849" s="1"/>
      <c r="C849" s="1"/>
      <c r="D849" s="1"/>
      <c r="E849" s="1"/>
      <c r="F849" s="1"/>
      <c r="G849" s="2"/>
    </row>
    <row r="850" ht="15.75" customHeight="1">
      <c r="A850" s="1"/>
      <c r="B850" s="1"/>
      <c r="C850" s="1"/>
      <c r="D850" s="1"/>
      <c r="E850" s="1"/>
      <c r="F850" s="1"/>
      <c r="G850" s="2"/>
    </row>
    <row r="851" ht="15.75" customHeight="1">
      <c r="A851" s="1"/>
      <c r="B851" s="1"/>
      <c r="C851" s="1"/>
      <c r="D851" s="1"/>
      <c r="E851" s="1"/>
      <c r="F851" s="1"/>
      <c r="G851" s="2"/>
    </row>
    <row r="852" ht="15.75" customHeight="1">
      <c r="A852" s="1"/>
      <c r="B852" s="1"/>
      <c r="C852" s="1"/>
      <c r="D852" s="1"/>
      <c r="E852" s="1"/>
      <c r="F852" s="1"/>
      <c r="G852" s="2"/>
    </row>
    <row r="853" ht="15.75" customHeight="1">
      <c r="A853" s="1"/>
      <c r="B853" s="1"/>
      <c r="C853" s="1"/>
      <c r="D853" s="1"/>
      <c r="E853" s="1"/>
      <c r="F853" s="1"/>
      <c r="G853" s="2"/>
    </row>
    <row r="854" ht="15.75" customHeight="1">
      <c r="A854" s="1"/>
      <c r="B854" s="1"/>
      <c r="C854" s="1"/>
      <c r="D854" s="1"/>
      <c r="E854" s="1"/>
      <c r="F854" s="1"/>
      <c r="G854" s="2"/>
    </row>
    <row r="855" ht="15.75" customHeight="1">
      <c r="A855" s="1"/>
      <c r="B855" s="1"/>
      <c r="C855" s="1"/>
      <c r="D855" s="1"/>
      <c r="E855" s="1"/>
      <c r="F855" s="1"/>
      <c r="G855" s="2"/>
    </row>
    <row r="856" ht="15.75" customHeight="1">
      <c r="A856" s="1"/>
      <c r="B856" s="1"/>
      <c r="C856" s="1"/>
      <c r="D856" s="1"/>
      <c r="E856" s="1"/>
      <c r="F856" s="1"/>
      <c r="G856" s="2"/>
    </row>
    <row r="857" ht="15.75" customHeight="1">
      <c r="A857" s="1"/>
      <c r="B857" s="1"/>
      <c r="C857" s="1"/>
      <c r="D857" s="1"/>
      <c r="E857" s="1"/>
      <c r="F857" s="1"/>
      <c r="G857" s="2"/>
    </row>
    <row r="858" ht="15.75" customHeight="1">
      <c r="A858" s="1"/>
      <c r="B858" s="1"/>
      <c r="C858" s="1"/>
      <c r="D858" s="1"/>
      <c r="E858" s="1"/>
      <c r="F858" s="1"/>
      <c r="G858" s="2"/>
    </row>
    <row r="859" ht="15.75" customHeight="1">
      <c r="A859" s="1"/>
      <c r="B859" s="1"/>
      <c r="C859" s="1"/>
      <c r="D859" s="1"/>
      <c r="E859" s="1"/>
      <c r="F859" s="1"/>
      <c r="G859" s="2"/>
    </row>
    <row r="860" ht="15.75" customHeight="1">
      <c r="A860" s="1"/>
      <c r="B860" s="1"/>
      <c r="C860" s="1"/>
      <c r="D860" s="1"/>
      <c r="E860" s="1"/>
      <c r="F860" s="1"/>
      <c r="G860" s="2"/>
    </row>
    <row r="861" ht="15.75" customHeight="1">
      <c r="A861" s="1"/>
      <c r="B861" s="1"/>
      <c r="C861" s="1"/>
      <c r="D861" s="1"/>
      <c r="E861" s="1"/>
      <c r="F861" s="1"/>
      <c r="G861" s="2"/>
    </row>
    <row r="862" ht="15.75" customHeight="1">
      <c r="A862" s="1"/>
      <c r="B862" s="1"/>
      <c r="C862" s="1"/>
      <c r="D862" s="1"/>
      <c r="E862" s="1"/>
      <c r="F862" s="1"/>
      <c r="G862" s="2"/>
    </row>
    <row r="863" ht="15.75" customHeight="1">
      <c r="A863" s="1"/>
      <c r="B863" s="1"/>
      <c r="C863" s="1"/>
      <c r="D863" s="1"/>
      <c r="E863" s="1"/>
      <c r="F863" s="1"/>
      <c r="G863" s="2"/>
    </row>
    <row r="864" ht="15.75" customHeight="1">
      <c r="A864" s="1"/>
      <c r="B864" s="1"/>
      <c r="C864" s="1"/>
      <c r="D864" s="1"/>
      <c r="E864" s="1"/>
      <c r="F864" s="1"/>
      <c r="G864" s="2"/>
    </row>
    <row r="865" ht="15.75" customHeight="1">
      <c r="A865" s="1"/>
      <c r="B865" s="1"/>
      <c r="C865" s="1"/>
      <c r="D865" s="1"/>
      <c r="E865" s="1"/>
      <c r="F865" s="1"/>
      <c r="G865" s="2"/>
    </row>
    <row r="866" ht="15.75" customHeight="1">
      <c r="A866" s="1"/>
      <c r="B866" s="1"/>
      <c r="C866" s="1"/>
      <c r="D866" s="1"/>
      <c r="E866" s="1"/>
      <c r="F866" s="1"/>
      <c r="G866" s="2"/>
    </row>
    <row r="867" ht="15.75" customHeight="1">
      <c r="A867" s="1"/>
      <c r="B867" s="1"/>
      <c r="C867" s="1"/>
      <c r="D867" s="1"/>
      <c r="E867" s="1"/>
      <c r="F867" s="1"/>
      <c r="G867" s="2"/>
    </row>
    <row r="868" ht="15.75" customHeight="1">
      <c r="A868" s="1"/>
      <c r="B868" s="1"/>
      <c r="C868" s="1"/>
      <c r="D868" s="1"/>
      <c r="E868" s="1"/>
      <c r="F868" s="1"/>
      <c r="G868" s="2"/>
    </row>
    <row r="869" ht="15.75" customHeight="1">
      <c r="A869" s="1"/>
      <c r="B869" s="1"/>
      <c r="C869" s="1"/>
      <c r="D869" s="1"/>
      <c r="E869" s="1"/>
      <c r="F869" s="1"/>
      <c r="G869" s="2"/>
    </row>
    <row r="870" ht="15.75" customHeight="1">
      <c r="A870" s="1"/>
      <c r="B870" s="1"/>
      <c r="C870" s="1"/>
      <c r="D870" s="1"/>
      <c r="E870" s="1"/>
      <c r="F870" s="1"/>
      <c r="G870" s="2"/>
    </row>
    <row r="871" ht="15.75" customHeight="1">
      <c r="A871" s="1"/>
      <c r="B871" s="1"/>
      <c r="C871" s="1"/>
      <c r="D871" s="1"/>
      <c r="E871" s="1"/>
      <c r="F871" s="1"/>
      <c r="G871" s="2"/>
    </row>
    <row r="872" ht="15.75" customHeight="1">
      <c r="A872" s="1"/>
      <c r="B872" s="1"/>
      <c r="C872" s="1"/>
      <c r="D872" s="1"/>
      <c r="E872" s="1"/>
      <c r="F872" s="1"/>
      <c r="G872" s="2"/>
    </row>
    <row r="873" ht="15.75" customHeight="1">
      <c r="A873" s="1"/>
      <c r="B873" s="1"/>
      <c r="C873" s="1"/>
      <c r="D873" s="1"/>
      <c r="E873" s="1"/>
      <c r="F873" s="1"/>
      <c r="G873" s="2"/>
    </row>
    <row r="874" ht="15.75" customHeight="1">
      <c r="A874" s="1"/>
      <c r="B874" s="1"/>
      <c r="C874" s="1"/>
      <c r="D874" s="1"/>
      <c r="E874" s="1"/>
      <c r="F874" s="1"/>
      <c r="G874" s="2"/>
    </row>
    <row r="875" ht="15.75" customHeight="1">
      <c r="A875" s="1"/>
      <c r="B875" s="1"/>
      <c r="C875" s="1"/>
      <c r="D875" s="1"/>
      <c r="E875" s="1"/>
      <c r="F875" s="1"/>
      <c r="G875" s="2"/>
    </row>
    <row r="876" ht="15.75" customHeight="1">
      <c r="A876" s="1"/>
      <c r="B876" s="1"/>
      <c r="C876" s="1"/>
      <c r="D876" s="1"/>
      <c r="E876" s="1"/>
      <c r="F876" s="1"/>
      <c r="G876" s="2"/>
    </row>
    <row r="877" ht="15.75" customHeight="1">
      <c r="A877" s="1"/>
      <c r="B877" s="1"/>
      <c r="C877" s="1"/>
      <c r="D877" s="1"/>
      <c r="E877" s="1"/>
      <c r="F877" s="1"/>
      <c r="G877" s="2"/>
    </row>
    <row r="878" ht="15.75" customHeight="1">
      <c r="A878" s="1"/>
      <c r="B878" s="1"/>
      <c r="C878" s="1"/>
      <c r="D878" s="1"/>
      <c r="E878" s="1"/>
      <c r="F878" s="1"/>
      <c r="G878" s="2"/>
    </row>
    <row r="879" ht="15.75" customHeight="1">
      <c r="A879" s="1"/>
      <c r="B879" s="1"/>
      <c r="C879" s="1"/>
      <c r="D879" s="1"/>
      <c r="E879" s="1"/>
      <c r="F879" s="1"/>
      <c r="G879" s="2"/>
    </row>
    <row r="880" ht="15.75" customHeight="1">
      <c r="A880" s="1"/>
      <c r="B880" s="1"/>
      <c r="C880" s="1"/>
      <c r="D880" s="1"/>
      <c r="E880" s="1"/>
      <c r="F880" s="1"/>
      <c r="G880" s="2"/>
    </row>
    <row r="881" ht="15.75" customHeight="1">
      <c r="A881" s="1"/>
      <c r="B881" s="1"/>
      <c r="C881" s="1"/>
      <c r="D881" s="1"/>
      <c r="E881" s="1"/>
      <c r="F881" s="1"/>
      <c r="G881" s="2"/>
    </row>
    <row r="882" ht="15.75" customHeight="1">
      <c r="A882" s="1"/>
      <c r="B882" s="1"/>
      <c r="C882" s="1"/>
      <c r="D882" s="1"/>
      <c r="E882" s="1"/>
      <c r="F882" s="1"/>
      <c r="G882" s="2"/>
    </row>
    <row r="883" ht="15.75" customHeight="1">
      <c r="A883" s="1"/>
      <c r="B883" s="1"/>
      <c r="C883" s="1"/>
      <c r="D883" s="1"/>
      <c r="E883" s="1"/>
      <c r="F883" s="1"/>
      <c r="G883" s="2"/>
    </row>
    <row r="884" ht="15.75" customHeight="1">
      <c r="A884" s="1"/>
      <c r="B884" s="1"/>
      <c r="C884" s="1"/>
      <c r="D884" s="1"/>
      <c r="E884" s="1"/>
      <c r="F884" s="1"/>
      <c r="G884" s="2"/>
    </row>
    <row r="885" ht="15.75" customHeight="1">
      <c r="A885" s="1"/>
      <c r="B885" s="1"/>
      <c r="C885" s="1"/>
      <c r="D885" s="1"/>
      <c r="E885" s="1"/>
      <c r="F885" s="1"/>
      <c r="G885" s="2"/>
    </row>
    <row r="886" ht="15.75" customHeight="1">
      <c r="A886" s="1"/>
      <c r="B886" s="1"/>
      <c r="C886" s="1"/>
      <c r="D886" s="1"/>
      <c r="E886" s="1"/>
      <c r="F886" s="1"/>
      <c r="G886" s="2"/>
    </row>
    <row r="887" ht="15.75" customHeight="1">
      <c r="A887" s="1"/>
      <c r="B887" s="1"/>
      <c r="C887" s="1"/>
      <c r="D887" s="1"/>
      <c r="E887" s="1"/>
      <c r="F887" s="1"/>
      <c r="G887" s="2"/>
    </row>
    <row r="888" ht="15.75" customHeight="1">
      <c r="A888" s="1"/>
      <c r="B888" s="1"/>
      <c r="C888" s="1"/>
      <c r="D888" s="1"/>
      <c r="E888" s="1"/>
      <c r="F888" s="1"/>
      <c r="G888" s="2"/>
    </row>
    <row r="889" ht="15.75" customHeight="1">
      <c r="A889" s="1"/>
      <c r="B889" s="1"/>
      <c r="C889" s="1"/>
      <c r="D889" s="1"/>
      <c r="E889" s="1"/>
      <c r="F889" s="1"/>
      <c r="G889" s="2"/>
    </row>
    <row r="890" ht="15.75" customHeight="1">
      <c r="A890" s="1"/>
      <c r="B890" s="1"/>
      <c r="C890" s="1"/>
      <c r="D890" s="1"/>
      <c r="E890" s="1"/>
      <c r="F890" s="1"/>
      <c r="G890" s="2"/>
    </row>
    <row r="891" ht="15.75" customHeight="1">
      <c r="A891" s="1"/>
      <c r="B891" s="1"/>
      <c r="C891" s="1"/>
      <c r="D891" s="1"/>
      <c r="E891" s="1"/>
      <c r="F891" s="1"/>
      <c r="G891" s="2"/>
    </row>
    <row r="892" ht="15.75" customHeight="1">
      <c r="A892" s="1"/>
      <c r="B892" s="1"/>
      <c r="C892" s="1"/>
      <c r="D892" s="1"/>
      <c r="E892" s="1"/>
      <c r="F892" s="1"/>
      <c r="G892" s="2"/>
    </row>
    <row r="893" ht="15.75" customHeight="1">
      <c r="A893" s="1"/>
      <c r="B893" s="1"/>
      <c r="C893" s="1"/>
      <c r="D893" s="1"/>
      <c r="E893" s="1"/>
      <c r="F893" s="1"/>
      <c r="G893" s="2"/>
    </row>
    <row r="894" ht="15.75" customHeight="1">
      <c r="A894" s="1"/>
      <c r="B894" s="1"/>
      <c r="C894" s="1"/>
      <c r="D894" s="1"/>
      <c r="E894" s="1"/>
      <c r="F894" s="1"/>
      <c r="G894" s="2"/>
    </row>
    <row r="895" ht="15.75" customHeight="1">
      <c r="A895" s="1"/>
      <c r="B895" s="1"/>
      <c r="C895" s="1"/>
      <c r="D895" s="1"/>
      <c r="E895" s="1"/>
      <c r="F895" s="1"/>
      <c r="G895" s="2"/>
    </row>
    <row r="896" ht="15.75" customHeight="1">
      <c r="A896" s="1"/>
      <c r="B896" s="1"/>
      <c r="C896" s="1"/>
      <c r="D896" s="1"/>
      <c r="E896" s="1"/>
      <c r="F896" s="1"/>
      <c r="G896" s="2"/>
    </row>
    <row r="897" ht="15.75" customHeight="1">
      <c r="A897" s="1"/>
      <c r="B897" s="1"/>
      <c r="C897" s="1"/>
      <c r="D897" s="1"/>
      <c r="E897" s="1"/>
      <c r="F897" s="1"/>
      <c r="G897" s="2"/>
    </row>
    <row r="898" ht="15.75" customHeight="1">
      <c r="A898" s="1"/>
      <c r="B898" s="1"/>
      <c r="C898" s="1"/>
      <c r="D898" s="1"/>
      <c r="E898" s="1"/>
      <c r="F898" s="1"/>
      <c r="G898" s="2"/>
    </row>
    <row r="899" ht="15.75" customHeight="1">
      <c r="A899" s="1"/>
      <c r="B899" s="1"/>
      <c r="C899" s="1"/>
      <c r="D899" s="1"/>
      <c r="E899" s="1"/>
      <c r="F899" s="1"/>
      <c r="G899" s="2"/>
    </row>
    <row r="900" ht="15.75" customHeight="1">
      <c r="A900" s="1"/>
      <c r="B900" s="1"/>
      <c r="C900" s="1"/>
      <c r="D900" s="1"/>
      <c r="E900" s="1"/>
      <c r="F900" s="1"/>
      <c r="G900" s="2"/>
    </row>
    <row r="901" ht="15.75" customHeight="1">
      <c r="A901" s="1"/>
      <c r="B901" s="1"/>
      <c r="C901" s="1"/>
      <c r="D901" s="1"/>
      <c r="E901" s="1"/>
      <c r="F901" s="1"/>
      <c r="G901" s="2"/>
    </row>
    <row r="902" ht="15.75" customHeight="1">
      <c r="A902" s="1"/>
      <c r="B902" s="1"/>
      <c r="C902" s="1"/>
      <c r="D902" s="1"/>
      <c r="E902" s="1"/>
      <c r="F902" s="1"/>
      <c r="G902" s="2"/>
    </row>
    <row r="903" ht="15.75" customHeight="1">
      <c r="A903" s="1"/>
      <c r="B903" s="1"/>
      <c r="C903" s="1"/>
      <c r="D903" s="1"/>
      <c r="E903" s="1"/>
      <c r="F903" s="1"/>
      <c r="G903" s="2"/>
    </row>
    <row r="904" ht="15.75" customHeight="1">
      <c r="A904" s="1"/>
      <c r="B904" s="1"/>
      <c r="C904" s="1"/>
      <c r="D904" s="1"/>
      <c r="E904" s="1"/>
      <c r="F904" s="1"/>
      <c r="G904" s="2"/>
    </row>
    <row r="905" ht="15.75" customHeight="1">
      <c r="A905" s="1"/>
      <c r="B905" s="1"/>
      <c r="C905" s="1"/>
      <c r="D905" s="1"/>
      <c r="E905" s="1"/>
      <c r="F905" s="1"/>
      <c r="G905" s="2"/>
    </row>
    <row r="906" ht="15.75" customHeight="1">
      <c r="A906" s="1"/>
      <c r="B906" s="1"/>
      <c r="C906" s="1"/>
      <c r="D906" s="1"/>
      <c r="E906" s="1"/>
      <c r="F906" s="1"/>
      <c r="G906" s="2"/>
    </row>
    <row r="907" ht="15.75" customHeight="1">
      <c r="A907" s="1"/>
      <c r="B907" s="1"/>
      <c r="C907" s="1"/>
      <c r="D907" s="1"/>
      <c r="E907" s="1"/>
      <c r="F907" s="1"/>
      <c r="G907" s="2"/>
    </row>
    <row r="908" ht="15.75" customHeight="1">
      <c r="A908" s="1"/>
      <c r="B908" s="1"/>
      <c r="C908" s="1"/>
      <c r="D908" s="1"/>
      <c r="E908" s="1"/>
      <c r="F908" s="1"/>
      <c r="G908" s="2"/>
    </row>
    <row r="909" ht="15.75" customHeight="1">
      <c r="A909" s="1"/>
      <c r="B909" s="1"/>
      <c r="C909" s="1"/>
      <c r="D909" s="1"/>
      <c r="E909" s="1"/>
      <c r="F909" s="1"/>
      <c r="G909" s="2"/>
    </row>
    <row r="910" ht="15.75" customHeight="1">
      <c r="A910" s="1"/>
      <c r="B910" s="1"/>
      <c r="C910" s="1"/>
      <c r="D910" s="1"/>
      <c r="E910" s="1"/>
      <c r="F910" s="1"/>
      <c r="G910" s="2"/>
    </row>
    <row r="911" ht="15.75" customHeight="1">
      <c r="A911" s="1"/>
      <c r="B911" s="1"/>
      <c r="C911" s="1"/>
      <c r="D911" s="1"/>
      <c r="E911" s="1"/>
      <c r="F911" s="1"/>
      <c r="G911" s="2"/>
    </row>
    <row r="912" ht="15.75" customHeight="1">
      <c r="A912" s="1"/>
      <c r="B912" s="1"/>
      <c r="C912" s="1"/>
      <c r="D912" s="1"/>
      <c r="E912" s="1"/>
      <c r="F912" s="1"/>
      <c r="G912" s="2"/>
    </row>
    <row r="913" ht="15.75" customHeight="1">
      <c r="A913" s="1"/>
      <c r="B913" s="1"/>
      <c r="C913" s="1"/>
      <c r="D913" s="1"/>
      <c r="E913" s="1"/>
      <c r="F913" s="1"/>
      <c r="G913" s="2"/>
    </row>
    <row r="914" ht="15.75" customHeight="1">
      <c r="A914" s="1"/>
      <c r="B914" s="1"/>
      <c r="C914" s="1"/>
      <c r="D914" s="1"/>
      <c r="E914" s="1"/>
      <c r="F914" s="1"/>
      <c r="G914" s="2"/>
    </row>
    <row r="915" ht="15.75" customHeight="1">
      <c r="A915" s="1"/>
      <c r="B915" s="1"/>
      <c r="C915" s="1"/>
      <c r="D915" s="1"/>
      <c r="E915" s="1"/>
      <c r="F915" s="1"/>
      <c r="G915" s="2"/>
    </row>
    <row r="916" ht="15.75" customHeight="1">
      <c r="A916" s="1"/>
      <c r="B916" s="1"/>
      <c r="C916" s="1"/>
      <c r="D916" s="1"/>
      <c r="E916" s="1"/>
      <c r="F916" s="1"/>
      <c r="G916" s="2"/>
    </row>
    <row r="917" ht="15.75" customHeight="1">
      <c r="A917" s="1"/>
      <c r="B917" s="1"/>
      <c r="C917" s="1"/>
      <c r="D917" s="1"/>
      <c r="E917" s="1"/>
      <c r="F917" s="1"/>
      <c r="G917" s="2"/>
    </row>
    <row r="918" ht="15.75" customHeight="1">
      <c r="A918" s="1"/>
      <c r="B918" s="1"/>
      <c r="C918" s="1"/>
      <c r="D918" s="1"/>
      <c r="E918" s="1"/>
      <c r="F918" s="1"/>
      <c r="G918" s="2"/>
    </row>
    <row r="919" ht="15.75" customHeight="1">
      <c r="A919" s="1"/>
      <c r="B919" s="1"/>
      <c r="C919" s="1"/>
      <c r="D919" s="1"/>
      <c r="E919" s="1"/>
      <c r="F919" s="1"/>
      <c r="G919" s="2"/>
    </row>
    <row r="920" ht="15.75" customHeight="1">
      <c r="A920" s="1"/>
      <c r="B920" s="1"/>
      <c r="C920" s="1"/>
      <c r="D920" s="1"/>
      <c r="E920" s="1"/>
      <c r="F920" s="1"/>
      <c r="G920" s="2"/>
    </row>
    <row r="921" ht="15.75" customHeight="1">
      <c r="A921" s="1"/>
      <c r="B921" s="1"/>
      <c r="C921" s="1"/>
      <c r="D921" s="1"/>
      <c r="E921" s="1"/>
      <c r="F921" s="1"/>
      <c r="G921" s="2"/>
    </row>
    <row r="922" ht="15.75" customHeight="1">
      <c r="A922" s="1"/>
      <c r="B922" s="1"/>
      <c r="C922" s="1"/>
      <c r="D922" s="1"/>
      <c r="E922" s="1"/>
      <c r="F922" s="1"/>
      <c r="G922" s="2"/>
    </row>
    <row r="923" ht="15.75" customHeight="1">
      <c r="A923" s="1"/>
      <c r="B923" s="1"/>
      <c r="C923" s="1"/>
      <c r="D923" s="1"/>
      <c r="E923" s="1"/>
      <c r="F923" s="1"/>
      <c r="G923" s="2"/>
    </row>
    <row r="924" ht="15.75" customHeight="1">
      <c r="A924" s="1"/>
      <c r="B924" s="1"/>
      <c r="C924" s="1"/>
      <c r="D924" s="1"/>
      <c r="E924" s="1"/>
      <c r="F924" s="1"/>
      <c r="G924" s="2"/>
    </row>
    <row r="925" ht="15.75" customHeight="1">
      <c r="A925" s="1"/>
      <c r="B925" s="1"/>
      <c r="C925" s="1"/>
      <c r="D925" s="1"/>
      <c r="E925" s="1"/>
      <c r="F925" s="1"/>
      <c r="G925" s="2"/>
    </row>
    <row r="926" ht="15.75" customHeight="1">
      <c r="A926" s="1"/>
      <c r="B926" s="1"/>
      <c r="C926" s="1"/>
      <c r="D926" s="1"/>
      <c r="E926" s="1"/>
      <c r="F926" s="1"/>
      <c r="G926" s="2"/>
    </row>
    <row r="927" ht="15.75" customHeight="1">
      <c r="A927" s="1"/>
      <c r="B927" s="1"/>
      <c r="C927" s="1"/>
      <c r="D927" s="1"/>
      <c r="E927" s="1"/>
      <c r="F927" s="1"/>
      <c r="G927" s="2"/>
    </row>
    <row r="928" ht="15.75" customHeight="1">
      <c r="A928" s="1"/>
      <c r="B928" s="1"/>
      <c r="C928" s="1"/>
      <c r="D928" s="1"/>
      <c r="E928" s="1"/>
      <c r="F928" s="1"/>
      <c r="G928" s="2"/>
    </row>
    <row r="929" ht="15.75" customHeight="1">
      <c r="A929" s="1"/>
      <c r="B929" s="1"/>
      <c r="C929" s="1"/>
      <c r="D929" s="1"/>
      <c r="E929" s="1"/>
      <c r="F929" s="1"/>
      <c r="G929" s="2"/>
    </row>
    <row r="930" ht="15.75" customHeight="1">
      <c r="A930" s="1"/>
      <c r="B930" s="1"/>
      <c r="C930" s="1"/>
      <c r="D930" s="1"/>
      <c r="E930" s="1"/>
      <c r="F930" s="1"/>
      <c r="G930" s="2"/>
    </row>
    <row r="931" ht="15.75" customHeight="1">
      <c r="A931" s="1"/>
      <c r="B931" s="1"/>
      <c r="C931" s="1"/>
      <c r="D931" s="1"/>
      <c r="E931" s="1"/>
      <c r="F931" s="1"/>
      <c r="G931" s="2"/>
    </row>
    <row r="932" ht="15.75" customHeight="1">
      <c r="A932" s="1"/>
      <c r="B932" s="1"/>
      <c r="C932" s="1"/>
      <c r="D932" s="1"/>
      <c r="E932" s="1"/>
      <c r="F932" s="1"/>
      <c r="G932" s="2"/>
    </row>
    <row r="933" ht="15.75" customHeight="1">
      <c r="A933" s="1"/>
      <c r="B933" s="1"/>
      <c r="C933" s="1"/>
      <c r="D933" s="1"/>
      <c r="E933" s="1"/>
      <c r="F933" s="1"/>
      <c r="G933" s="2"/>
    </row>
    <row r="934" ht="15.75" customHeight="1">
      <c r="A934" s="1"/>
      <c r="B934" s="1"/>
      <c r="C934" s="1"/>
      <c r="D934" s="1"/>
      <c r="E934" s="1"/>
      <c r="F934" s="1"/>
      <c r="G934" s="2"/>
    </row>
    <row r="935" ht="15.75" customHeight="1">
      <c r="A935" s="1"/>
      <c r="B935" s="1"/>
      <c r="C935" s="1"/>
      <c r="D935" s="1"/>
      <c r="E935" s="1"/>
      <c r="F935" s="1"/>
      <c r="G935" s="2"/>
    </row>
    <row r="936" ht="15.75" customHeight="1">
      <c r="A936" s="1"/>
      <c r="B936" s="1"/>
      <c r="C936" s="1"/>
      <c r="D936" s="1"/>
      <c r="E936" s="1"/>
      <c r="F936" s="1"/>
      <c r="G936" s="2"/>
    </row>
    <row r="937" ht="15.75" customHeight="1">
      <c r="A937" s="1"/>
      <c r="B937" s="1"/>
      <c r="C937" s="1"/>
      <c r="D937" s="1"/>
      <c r="E937" s="1"/>
      <c r="F937" s="1"/>
      <c r="G937" s="2"/>
    </row>
    <row r="938" ht="15.75" customHeight="1">
      <c r="A938" s="1"/>
      <c r="B938" s="1"/>
      <c r="C938" s="1"/>
      <c r="D938" s="1"/>
      <c r="E938" s="1"/>
      <c r="F938" s="1"/>
      <c r="G938" s="2"/>
    </row>
    <row r="939" ht="15.75" customHeight="1">
      <c r="A939" s="1"/>
      <c r="B939" s="1"/>
      <c r="C939" s="1"/>
      <c r="D939" s="1"/>
      <c r="E939" s="1"/>
      <c r="F939" s="1"/>
      <c r="G939" s="2"/>
    </row>
    <row r="940" ht="15.75" customHeight="1">
      <c r="A940" s="1"/>
      <c r="B940" s="1"/>
      <c r="C940" s="1"/>
      <c r="D940" s="1"/>
      <c r="E940" s="1"/>
      <c r="F940" s="1"/>
      <c r="G940" s="2"/>
    </row>
    <row r="941" ht="15.75" customHeight="1">
      <c r="A941" s="1"/>
      <c r="B941" s="1"/>
      <c r="C941" s="1"/>
      <c r="D941" s="1"/>
      <c r="E941" s="1"/>
      <c r="F941" s="1"/>
      <c r="G941" s="2"/>
    </row>
    <row r="942" ht="15.75" customHeight="1">
      <c r="A942" s="1"/>
      <c r="B942" s="1"/>
      <c r="C942" s="1"/>
      <c r="D942" s="1"/>
      <c r="E942" s="1"/>
      <c r="F942" s="1"/>
      <c r="G942" s="2"/>
    </row>
    <row r="943" ht="15.75" customHeight="1">
      <c r="A943" s="1"/>
      <c r="B943" s="1"/>
      <c r="C943" s="1"/>
      <c r="D943" s="1"/>
      <c r="E943" s="1"/>
      <c r="F943" s="1"/>
      <c r="G943" s="2"/>
    </row>
    <row r="944" ht="15.75" customHeight="1">
      <c r="A944" s="1"/>
      <c r="B944" s="1"/>
      <c r="C944" s="1"/>
      <c r="D944" s="1"/>
      <c r="E944" s="1"/>
      <c r="F944" s="1"/>
      <c r="G944" s="2"/>
    </row>
    <row r="945" ht="15.75" customHeight="1">
      <c r="A945" s="1"/>
      <c r="B945" s="1"/>
      <c r="C945" s="1"/>
      <c r="D945" s="1"/>
      <c r="E945" s="1"/>
      <c r="F945" s="1"/>
      <c r="G945" s="2"/>
    </row>
    <row r="946" ht="15.75" customHeight="1">
      <c r="A946" s="1"/>
      <c r="B946" s="1"/>
      <c r="C946" s="1"/>
      <c r="D946" s="1"/>
      <c r="E946" s="1"/>
      <c r="F946" s="1"/>
      <c r="G946" s="2"/>
    </row>
    <row r="947" ht="15.75" customHeight="1">
      <c r="A947" s="1"/>
      <c r="B947" s="1"/>
      <c r="C947" s="1"/>
      <c r="D947" s="1"/>
      <c r="E947" s="1"/>
      <c r="F947" s="1"/>
      <c r="G947" s="2"/>
    </row>
    <row r="948" ht="15.75" customHeight="1">
      <c r="A948" s="1"/>
      <c r="B948" s="1"/>
      <c r="C948" s="1"/>
      <c r="D948" s="1"/>
      <c r="E948" s="1"/>
      <c r="F948" s="1"/>
      <c r="G948" s="2"/>
    </row>
    <row r="949" ht="15.75" customHeight="1">
      <c r="A949" s="1"/>
      <c r="B949" s="1"/>
      <c r="C949" s="1"/>
      <c r="D949" s="1"/>
      <c r="E949" s="1"/>
      <c r="F949" s="1"/>
      <c r="G949" s="2"/>
    </row>
    <row r="950" ht="15.75" customHeight="1">
      <c r="A950" s="1"/>
      <c r="B950" s="1"/>
      <c r="C950" s="1"/>
      <c r="D950" s="1"/>
      <c r="E950" s="1"/>
      <c r="F950" s="1"/>
      <c r="G950" s="2"/>
    </row>
    <row r="951" ht="15.75" customHeight="1">
      <c r="A951" s="1"/>
      <c r="B951" s="1"/>
      <c r="C951" s="1"/>
      <c r="D951" s="1"/>
      <c r="E951" s="1"/>
      <c r="F951" s="1"/>
      <c r="G951" s="2"/>
    </row>
    <row r="952" ht="15.75" customHeight="1">
      <c r="A952" s="1"/>
      <c r="B952" s="1"/>
      <c r="C952" s="1"/>
      <c r="D952" s="1"/>
      <c r="E952" s="1"/>
      <c r="F952" s="1"/>
      <c r="G952" s="2"/>
    </row>
    <row r="953" ht="15.75" customHeight="1">
      <c r="A953" s="1"/>
      <c r="B953" s="1"/>
      <c r="C953" s="1"/>
      <c r="D953" s="1"/>
      <c r="E953" s="1"/>
      <c r="F953" s="1"/>
      <c r="G953" s="2"/>
    </row>
    <row r="954" ht="15.75" customHeight="1">
      <c r="A954" s="1"/>
      <c r="B954" s="1"/>
      <c r="C954" s="1"/>
      <c r="D954" s="1"/>
      <c r="E954" s="1"/>
      <c r="F954" s="1"/>
      <c r="G954" s="2"/>
    </row>
    <row r="955" ht="15.75" customHeight="1">
      <c r="A955" s="1"/>
      <c r="B955" s="1"/>
      <c r="C955" s="1"/>
      <c r="D955" s="1"/>
      <c r="E955" s="1"/>
      <c r="F955" s="1"/>
      <c r="G955" s="2"/>
    </row>
    <row r="956" ht="15.75" customHeight="1">
      <c r="A956" s="1"/>
      <c r="B956" s="1"/>
      <c r="C956" s="1"/>
      <c r="D956" s="1"/>
      <c r="E956" s="1"/>
      <c r="F956" s="1"/>
      <c r="G956" s="2"/>
    </row>
    <row r="957" ht="15.75" customHeight="1">
      <c r="A957" s="1"/>
      <c r="B957" s="1"/>
      <c r="C957" s="1"/>
      <c r="D957" s="1"/>
      <c r="E957" s="1"/>
      <c r="F957" s="1"/>
      <c r="G957" s="2"/>
    </row>
    <row r="958" ht="15.75" customHeight="1">
      <c r="A958" s="1"/>
      <c r="B958" s="1"/>
      <c r="C958" s="1"/>
      <c r="D958" s="1"/>
      <c r="E958" s="1"/>
      <c r="F958" s="1"/>
      <c r="G958" s="2"/>
    </row>
    <row r="959" ht="15.75" customHeight="1">
      <c r="A959" s="1"/>
      <c r="B959" s="1"/>
      <c r="C959" s="1"/>
      <c r="D959" s="1"/>
      <c r="E959" s="1"/>
      <c r="F959" s="1"/>
      <c r="G959" s="2"/>
    </row>
    <row r="960" ht="15.75" customHeight="1">
      <c r="A960" s="1"/>
      <c r="B960" s="1"/>
      <c r="C960" s="1"/>
      <c r="D960" s="1"/>
      <c r="E960" s="1"/>
      <c r="F960" s="1"/>
      <c r="G960" s="2"/>
    </row>
    <row r="961" ht="15.75" customHeight="1">
      <c r="A961" s="1"/>
      <c r="B961" s="1"/>
      <c r="C961" s="1"/>
      <c r="D961" s="1"/>
      <c r="E961" s="1"/>
      <c r="F961" s="1"/>
      <c r="G961" s="2"/>
    </row>
    <row r="962" ht="15.75" customHeight="1">
      <c r="A962" s="1"/>
      <c r="B962" s="1"/>
      <c r="C962" s="1"/>
      <c r="D962" s="1"/>
      <c r="E962" s="1"/>
      <c r="F962" s="1"/>
      <c r="G962" s="2"/>
    </row>
    <row r="963" ht="15.75" customHeight="1">
      <c r="A963" s="1"/>
      <c r="B963" s="1"/>
      <c r="C963" s="1"/>
      <c r="D963" s="1"/>
      <c r="E963" s="1"/>
      <c r="F963" s="1"/>
      <c r="G963" s="2"/>
    </row>
    <row r="964" ht="15.75" customHeight="1">
      <c r="A964" s="1"/>
      <c r="B964" s="1"/>
      <c r="C964" s="1"/>
      <c r="D964" s="1"/>
      <c r="E964" s="1"/>
      <c r="F964" s="1"/>
      <c r="G964" s="2"/>
    </row>
    <row r="965" ht="15.75" customHeight="1">
      <c r="A965" s="1"/>
      <c r="B965" s="1"/>
      <c r="C965" s="1"/>
      <c r="D965" s="1"/>
      <c r="E965" s="1"/>
      <c r="F965" s="1"/>
      <c r="G965" s="2"/>
    </row>
    <row r="966" ht="15.75" customHeight="1">
      <c r="A966" s="1"/>
      <c r="B966" s="1"/>
      <c r="C966" s="1"/>
      <c r="D966" s="1"/>
      <c r="E966" s="1"/>
      <c r="F966" s="1"/>
      <c r="G966" s="2"/>
    </row>
    <row r="967" ht="15.75" customHeight="1">
      <c r="A967" s="1"/>
      <c r="B967" s="1"/>
      <c r="C967" s="1"/>
      <c r="D967" s="1"/>
      <c r="E967" s="1"/>
      <c r="F967" s="1"/>
      <c r="G967" s="2"/>
    </row>
    <row r="968" ht="15.75" customHeight="1">
      <c r="A968" s="1"/>
      <c r="B968" s="1"/>
      <c r="C968" s="1"/>
      <c r="D968" s="1"/>
      <c r="E968" s="1"/>
      <c r="F968" s="1"/>
      <c r="G968" s="2"/>
    </row>
    <row r="969" ht="15.75" customHeight="1">
      <c r="A969" s="1"/>
      <c r="B969" s="1"/>
      <c r="C969" s="1"/>
      <c r="D969" s="1"/>
      <c r="E969" s="1"/>
      <c r="F969" s="1"/>
      <c r="G969" s="2"/>
    </row>
    <row r="970" ht="15.75" customHeight="1">
      <c r="A970" s="1"/>
      <c r="B970" s="1"/>
      <c r="C970" s="1"/>
      <c r="D970" s="1"/>
      <c r="E970" s="1"/>
      <c r="F970" s="1"/>
      <c r="G970" s="2"/>
    </row>
    <row r="971" ht="15.75" customHeight="1">
      <c r="A971" s="1"/>
      <c r="B971" s="1"/>
      <c r="C971" s="1"/>
      <c r="D971" s="1"/>
      <c r="E971" s="1"/>
      <c r="F971" s="1"/>
      <c r="G971" s="2"/>
    </row>
    <row r="972" ht="15.75" customHeight="1">
      <c r="A972" s="1"/>
      <c r="B972" s="1"/>
      <c r="C972" s="1"/>
      <c r="D972" s="1"/>
      <c r="E972" s="1"/>
      <c r="F972" s="1"/>
      <c r="G972" s="2"/>
    </row>
    <row r="973" ht="15.75" customHeight="1">
      <c r="A973" s="1"/>
      <c r="B973" s="1"/>
      <c r="C973" s="1"/>
      <c r="D973" s="1"/>
      <c r="E973" s="1"/>
      <c r="F973" s="1"/>
      <c r="G973" s="2"/>
    </row>
    <row r="974" ht="15.75" customHeight="1">
      <c r="A974" s="1"/>
      <c r="B974" s="1"/>
      <c r="C974" s="1"/>
      <c r="D974" s="1"/>
      <c r="E974" s="1"/>
      <c r="F974" s="1"/>
      <c r="G974" s="2"/>
    </row>
    <row r="975" ht="15.75" customHeight="1">
      <c r="A975" s="1"/>
      <c r="B975" s="1"/>
      <c r="C975" s="1"/>
      <c r="D975" s="1"/>
      <c r="E975" s="1"/>
      <c r="F975" s="1"/>
      <c r="G975" s="2"/>
    </row>
    <row r="976" ht="15.75" customHeight="1">
      <c r="A976" s="1"/>
      <c r="B976" s="1"/>
      <c r="C976" s="1"/>
      <c r="D976" s="1"/>
      <c r="E976" s="1"/>
      <c r="F976" s="1"/>
      <c r="G976" s="2"/>
    </row>
    <row r="977" ht="15.75" customHeight="1">
      <c r="A977" s="1"/>
      <c r="B977" s="1"/>
      <c r="C977" s="1"/>
      <c r="D977" s="1"/>
      <c r="E977" s="1"/>
      <c r="F977" s="1"/>
      <c r="G977" s="2"/>
    </row>
    <row r="978" ht="15.75" customHeight="1">
      <c r="A978" s="1"/>
      <c r="B978" s="1"/>
      <c r="C978" s="1"/>
      <c r="D978" s="1"/>
      <c r="E978" s="1"/>
      <c r="F978" s="1"/>
      <c r="G978" s="2"/>
    </row>
    <row r="979" ht="15.75" customHeight="1">
      <c r="A979" s="1"/>
      <c r="B979" s="1"/>
      <c r="C979" s="1"/>
      <c r="D979" s="1"/>
      <c r="E979" s="1"/>
      <c r="F979" s="1"/>
      <c r="G979" s="2"/>
    </row>
    <row r="980" ht="15.75" customHeight="1">
      <c r="A980" s="1"/>
      <c r="B980" s="1"/>
      <c r="C980" s="1"/>
      <c r="D980" s="1"/>
      <c r="E980" s="1"/>
      <c r="F980" s="1"/>
      <c r="G980" s="2"/>
    </row>
    <row r="981" ht="15.75" customHeight="1">
      <c r="A981" s="1"/>
      <c r="B981" s="1"/>
      <c r="C981" s="1"/>
      <c r="D981" s="1"/>
      <c r="E981" s="1"/>
      <c r="F981" s="1"/>
      <c r="G981" s="2"/>
    </row>
    <row r="982" ht="15.75" customHeight="1">
      <c r="A982" s="1"/>
      <c r="B982" s="1"/>
      <c r="C982" s="1"/>
      <c r="D982" s="1"/>
      <c r="E982" s="1"/>
      <c r="F982" s="1"/>
      <c r="G982" s="2"/>
    </row>
    <row r="983" ht="15.75" customHeight="1">
      <c r="A983" s="1"/>
      <c r="B983" s="1"/>
      <c r="C983" s="1"/>
      <c r="D983" s="1"/>
      <c r="E983" s="1"/>
      <c r="F983" s="1"/>
      <c r="G983" s="2"/>
    </row>
    <row r="984" ht="15.75" customHeight="1">
      <c r="A984" s="1"/>
      <c r="B984" s="1"/>
      <c r="C984" s="1"/>
      <c r="D984" s="1"/>
      <c r="E984" s="1"/>
      <c r="F984" s="1"/>
      <c r="G984" s="2"/>
    </row>
    <row r="985" ht="15.75" customHeight="1">
      <c r="A985" s="1"/>
      <c r="B985" s="1"/>
      <c r="C985" s="1"/>
      <c r="D985" s="1"/>
      <c r="E985" s="1"/>
      <c r="F985" s="1"/>
      <c r="G985" s="2"/>
    </row>
    <row r="986" ht="15.75" customHeight="1">
      <c r="A986" s="1"/>
      <c r="B986" s="1"/>
      <c r="C986" s="1"/>
      <c r="D986" s="1"/>
      <c r="E986" s="1"/>
      <c r="F986" s="1"/>
      <c r="G986" s="2"/>
    </row>
    <row r="987" ht="15.75" customHeight="1">
      <c r="A987" s="1"/>
      <c r="B987" s="1"/>
      <c r="C987" s="1"/>
      <c r="D987" s="1"/>
      <c r="E987" s="1"/>
      <c r="F987" s="1"/>
      <c r="G987" s="2"/>
    </row>
    <row r="988" ht="15.75" customHeight="1">
      <c r="A988" s="1"/>
      <c r="B988" s="1"/>
      <c r="C988" s="1"/>
      <c r="D988" s="1"/>
      <c r="E988" s="1"/>
      <c r="F988" s="1"/>
      <c r="G988" s="2"/>
    </row>
    <row r="989" ht="15.75" customHeight="1">
      <c r="A989" s="1"/>
      <c r="B989" s="1"/>
      <c r="C989" s="1"/>
      <c r="D989" s="1"/>
      <c r="E989" s="1"/>
      <c r="F989" s="1"/>
      <c r="G989" s="2"/>
    </row>
    <row r="990" ht="15.75" customHeight="1">
      <c r="A990" s="1"/>
      <c r="B990" s="1"/>
      <c r="C990" s="1"/>
      <c r="D990" s="1"/>
      <c r="E990" s="1"/>
      <c r="F990" s="1"/>
      <c r="G990" s="2"/>
    </row>
    <row r="991" ht="15.75" customHeight="1">
      <c r="A991" s="1"/>
      <c r="B991" s="1"/>
      <c r="C991" s="1"/>
      <c r="D991" s="1"/>
      <c r="E991" s="1"/>
      <c r="F991" s="1"/>
      <c r="G991" s="2"/>
    </row>
    <row r="992" ht="15.75" customHeight="1">
      <c r="A992" s="1"/>
      <c r="B992" s="1"/>
      <c r="C992" s="1"/>
      <c r="D992" s="1"/>
      <c r="E992" s="1"/>
      <c r="F992" s="1"/>
      <c r="G992" s="2"/>
    </row>
    <row r="993" ht="15.75" customHeight="1">
      <c r="A993" s="1"/>
      <c r="B993" s="1"/>
      <c r="C993" s="1"/>
      <c r="D993" s="1"/>
      <c r="E993" s="1"/>
      <c r="F993" s="1"/>
      <c r="G993" s="2"/>
    </row>
    <row r="994" ht="15.75" customHeight="1">
      <c r="A994" s="1"/>
      <c r="B994" s="1"/>
      <c r="C994" s="1"/>
      <c r="D994" s="1"/>
      <c r="E994" s="1"/>
      <c r="F994" s="1"/>
      <c r="G994" s="2"/>
    </row>
    <row r="995" ht="15.75" customHeight="1">
      <c r="A995" s="1"/>
      <c r="B995" s="1"/>
      <c r="C995" s="1"/>
      <c r="D995" s="1"/>
      <c r="E995" s="1"/>
      <c r="F995" s="1"/>
      <c r="G995" s="2"/>
    </row>
    <row r="996" ht="15.75" customHeight="1">
      <c r="A996" s="1"/>
      <c r="B996" s="1"/>
      <c r="C996" s="1"/>
      <c r="D996" s="1"/>
      <c r="E996" s="1"/>
      <c r="F996" s="1"/>
      <c r="G996" s="2"/>
    </row>
    <row r="997" ht="15.75" customHeight="1">
      <c r="A997" s="1"/>
      <c r="B997" s="1"/>
      <c r="C997" s="1"/>
      <c r="D997" s="1"/>
      <c r="E997" s="1"/>
      <c r="F997" s="1"/>
      <c r="G997" s="2"/>
    </row>
    <row r="998" ht="15.75" customHeight="1">
      <c r="A998" s="1"/>
      <c r="B998" s="1"/>
      <c r="C998" s="1"/>
      <c r="D998" s="1"/>
      <c r="E998" s="1"/>
      <c r="F998" s="1"/>
      <c r="G998" s="2"/>
    </row>
    <row r="999" ht="15.75" customHeight="1">
      <c r="A999" s="1"/>
      <c r="B999" s="1"/>
      <c r="C999" s="1"/>
      <c r="D999" s="1"/>
      <c r="E999" s="1"/>
      <c r="F999" s="1"/>
      <c r="G999" s="2"/>
    </row>
    <row r="1000" ht="15.75" customHeight="1">
      <c r="A1000" s="1"/>
      <c r="B1000" s="1"/>
      <c r="C1000" s="1"/>
      <c r="D1000" s="1"/>
      <c r="E1000" s="1"/>
      <c r="F1000" s="1"/>
      <c r="G1000" s="2"/>
    </row>
  </sheetData>
  <mergeCells count="1">
    <mergeCell ref="B78:G78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10.0"/>
    <col customWidth="1" min="7" max="7" width="18.57"/>
    <col customWidth="1" min="8" max="26" width="10.71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s">
        <v>172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173</v>
      </c>
      <c r="C4" s="1"/>
      <c r="D4" s="1"/>
      <c r="E4" s="1"/>
      <c r="F4" s="1"/>
      <c r="G4" s="2">
        <v>8300376.0</v>
      </c>
    </row>
    <row r="5">
      <c r="A5" s="1"/>
      <c r="B5" s="4"/>
      <c r="C5" s="1"/>
      <c r="D5" s="1"/>
      <c r="E5" s="1"/>
      <c r="F5" s="1"/>
      <c r="G5" s="2"/>
    </row>
    <row r="6">
      <c r="A6" s="6" t="s">
        <v>174</v>
      </c>
      <c r="B6" s="1"/>
      <c r="C6" s="1"/>
      <c r="D6" s="1"/>
      <c r="E6" s="1"/>
      <c r="F6" s="1"/>
      <c r="G6" s="2"/>
    </row>
    <row r="7">
      <c r="A7" s="1"/>
      <c r="B7" s="4" t="s">
        <v>63</v>
      </c>
      <c r="C7" s="1"/>
      <c r="D7" s="1"/>
      <c r="E7" s="1"/>
      <c r="F7" s="1"/>
      <c r="G7" s="7">
        <v>1325130.0</v>
      </c>
    </row>
    <row r="8">
      <c r="A8" s="1"/>
      <c r="B8" s="4" t="s">
        <v>64</v>
      </c>
      <c r="C8" s="1"/>
      <c r="D8" s="1"/>
      <c r="E8" s="1"/>
      <c r="F8" s="1"/>
      <c r="G8" s="7">
        <v>1157900.0</v>
      </c>
    </row>
    <row r="9">
      <c r="A9" s="1"/>
      <c r="B9" s="4" t="s">
        <v>65</v>
      </c>
      <c r="C9" s="1"/>
      <c r="D9" s="1"/>
      <c r="E9" s="1"/>
      <c r="F9" s="1"/>
      <c r="G9" s="7">
        <v>1112750.0</v>
      </c>
    </row>
    <row r="10">
      <c r="A10" s="1"/>
      <c r="B10" s="4" t="s">
        <v>66</v>
      </c>
      <c r="C10" s="1"/>
      <c r="D10" s="1"/>
      <c r="E10" s="1"/>
      <c r="F10" s="1"/>
      <c r="G10" s="8">
        <v>1211500.0</v>
      </c>
    </row>
    <row r="11">
      <c r="A11" s="1"/>
      <c r="B11" s="4" t="s">
        <v>67</v>
      </c>
      <c r="C11" s="1"/>
      <c r="D11" s="1"/>
      <c r="E11" s="4" t="s">
        <v>8</v>
      </c>
      <c r="F11" s="1"/>
      <c r="G11" s="7"/>
    </row>
    <row r="12">
      <c r="A12" s="1"/>
      <c r="B12" s="9" t="s">
        <v>9</v>
      </c>
      <c r="C12" s="10"/>
      <c r="D12" s="10"/>
      <c r="E12" s="10"/>
      <c r="F12" s="10"/>
      <c r="G12" s="11">
        <f>SUM(G7:G11)</f>
        <v>4807280</v>
      </c>
    </row>
    <row r="13">
      <c r="A13" s="1"/>
      <c r="B13" s="1"/>
      <c r="C13" s="1"/>
      <c r="D13" s="1"/>
      <c r="E13" s="1"/>
      <c r="F13" s="1"/>
      <c r="G13" s="2"/>
    </row>
    <row r="14">
      <c r="A14" s="6" t="s">
        <v>175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12</v>
      </c>
      <c r="C16" s="1"/>
      <c r="D16" s="1"/>
      <c r="E16" s="1" t="s">
        <v>176</v>
      </c>
      <c r="F16" s="1"/>
      <c r="G16" s="2">
        <v>96000.0</v>
      </c>
    </row>
    <row r="17">
      <c r="A17" s="1"/>
      <c r="B17" s="4" t="s">
        <v>13</v>
      </c>
      <c r="C17" s="1"/>
      <c r="D17" s="1"/>
      <c r="E17" s="1"/>
      <c r="F17" s="1"/>
      <c r="G17" s="13">
        <v>100000.0</v>
      </c>
    </row>
    <row r="18">
      <c r="A18" s="1"/>
      <c r="B18" s="4" t="s">
        <v>14</v>
      </c>
      <c r="C18" s="1"/>
      <c r="D18" s="1"/>
      <c r="E18" s="1"/>
      <c r="F18" s="1"/>
      <c r="G18" s="13">
        <v>100000.0</v>
      </c>
    </row>
    <row r="19">
      <c r="A19" s="1"/>
      <c r="B19" s="4" t="s">
        <v>15</v>
      </c>
      <c r="C19" s="1"/>
      <c r="D19" s="1"/>
      <c r="E19" s="1"/>
      <c r="F19" s="1"/>
      <c r="G19" s="2">
        <v>60000.0</v>
      </c>
    </row>
    <row r="20">
      <c r="A20" s="1"/>
      <c r="B20" s="4" t="s">
        <v>16</v>
      </c>
      <c r="C20" s="1"/>
      <c r="D20" s="1"/>
      <c r="E20" s="1"/>
      <c r="F20" s="1"/>
      <c r="G20" s="2">
        <v>60000.0</v>
      </c>
    </row>
    <row r="21" ht="15.75" customHeight="1">
      <c r="A21" s="1"/>
      <c r="B21" s="4" t="s">
        <v>17</v>
      </c>
      <c r="C21" s="1"/>
      <c r="D21" s="1"/>
      <c r="E21" s="1"/>
      <c r="F21" s="1"/>
      <c r="G21" s="2">
        <v>50000.0</v>
      </c>
    </row>
    <row r="22" ht="15.75" customHeight="1">
      <c r="A22" s="1"/>
      <c r="B22" s="4" t="s">
        <v>70</v>
      </c>
      <c r="C22" s="1"/>
      <c r="D22" s="1"/>
      <c r="E22" s="1"/>
      <c r="F22" s="1"/>
      <c r="G22" s="2">
        <v>50000.0</v>
      </c>
    </row>
    <row r="23" ht="15.75" customHeight="1">
      <c r="A23" s="1"/>
      <c r="B23" s="9" t="s">
        <v>18</v>
      </c>
      <c r="C23" s="10"/>
      <c r="D23" s="10"/>
      <c r="E23" s="10"/>
      <c r="F23" s="10"/>
      <c r="G23" s="14">
        <f>SUM(G16:G22)</f>
        <v>516000</v>
      </c>
    </row>
    <row r="24" ht="15.75" customHeight="1">
      <c r="A24" s="1"/>
      <c r="B24" s="12" t="s">
        <v>19</v>
      </c>
      <c r="C24" s="15"/>
      <c r="D24" s="1"/>
      <c r="E24" s="1"/>
      <c r="F24" s="1"/>
      <c r="G24" s="2"/>
    </row>
    <row r="25" ht="15.75" customHeight="1">
      <c r="A25" s="1"/>
      <c r="B25" s="4" t="s">
        <v>177</v>
      </c>
      <c r="C25" s="15"/>
      <c r="D25" s="1"/>
      <c r="E25" s="1"/>
      <c r="F25" s="1"/>
      <c r="G25" s="2">
        <v>2000.0</v>
      </c>
    </row>
    <row r="26" ht="15.75" customHeight="1">
      <c r="A26" s="1"/>
      <c r="B26" s="4" t="s">
        <v>23</v>
      </c>
      <c r="C26" s="15"/>
      <c r="D26" s="1"/>
      <c r="E26" s="1"/>
      <c r="F26" s="1"/>
      <c r="G26" s="2">
        <v>1000.0</v>
      </c>
    </row>
    <row r="27" ht="15.75" customHeight="1">
      <c r="A27" s="1"/>
      <c r="B27" s="4" t="s">
        <v>178</v>
      </c>
      <c r="C27" s="15"/>
      <c r="D27" s="1"/>
      <c r="E27" s="1"/>
      <c r="F27" s="1"/>
      <c r="G27" s="2">
        <v>2000.0</v>
      </c>
    </row>
    <row r="28" ht="15.75" customHeight="1">
      <c r="A28" s="1"/>
      <c r="B28" s="4" t="s">
        <v>85</v>
      </c>
      <c r="C28" s="15"/>
      <c r="D28" s="1"/>
      <c r="E28" s="1"/>
      <c r="F28" s="1"/>
      <c r="G28" s="2">
        <v>2000.0</v>
      </c>
    </row>
    <row r="29" ht="15.75" customHeight="1">
      <c r="A29" s="1"/>
      <c r="B29" s="4" t="s">
        <v>179</v>
      </c>
      <c r="C29" s="15"/>
      <c r="D29" s="1"/>
      <c r="E29" s="1"/>
      <c r="F29" s="1"/>
      <c r="G29" s="2">
        <v>2930.0</v>
      </c>
    </row>
    <row r="30" ht="15.75" customHeight="1">
      <c r="A30" s="1"/>
      <c r="B30" s="4" t="s">
        <v>180</v>
      </c>
      <c r="C30" s="15"/>
      <c r="D30" s="1"/>
      <c r="E30" s="1"/>
      <c r="F30" s="1"/>
      <c r="G30" s="2">
        <v>3000.0</v>
      </c>
    </row>
    <row r="31" ht="15.75" customHeight="1">
      <c r="A31" s="1"/>
      <c r="B31" s="4" t="s">
        <v>181</v>
      </c>
      <c r="C31" s="15"/>
      <c r="D31" s="1"/>
      <c r="E31" s="1"/>
      <c r="F31" s="1"/>
      <c r="G31" s="2">
        <v>15000.0</v>
      </c>
    </row>
    <row r="32" ht="15.75" customHeight="1">
      <c r="A32" s="1"/>
      <c r="B32" s="4" t="s">
        <v>182</v>
      </c>
      <c r="C32" s="15"/>
      <c r="D32" s="1"/>
      <c r="E32" s="1"/>
      <c r="F32" s="1"/>
      <c r="G32" s="2">
        <v>675000.0</v>
      </c>
    </row>
    <row r="33" ht="15.75" customHeight="1">
      <c r="A33" s="1"/>
      <c r="B33" s="4" t="s">
        <v>183</v>
      </c>
      <c r="C33" s="15"/>
      <c r="D33" s="1"/>
      <c r="E33" s="1"/>
      <c r="F33" s="1"/>
      <c r="G33" s="2">
        <v>170000.0</v>
      </c>
    </row>
    <row r="34" ht="15.75" customHeight="1">
      <c r="A34" s="1"/>
      <c r="B34" s="4" t="s">
        <v>184</v>
      </c>
      <c r="C34" s="15"/>
      <c r="D34" s="1"/>
      <c r="E34" s="1"/>
      <c r="F34" s="1"/>
      <c r="G34" s="2">
        <v>2000.0</v>
      </c>
    </row>
    <row r="35" ht="15.75" customHeight="1">
      <c r="A35" s="1"/>
      <c r="B35" s="4" t="s">
        <v>185</v>
      </c>
      <c r="C35" s="15"/>
      <c r="D35" s="1"/>
      <c r="E35" s="1"/>
      <c r="F35" s="1"/>
      <c r="G35" s="2">
        <v>2000.0</v>
      </c>
    </row>
    <row r="36" ht="15.75" customHeight="1">
      <c r="A36" s="1"/>
      <c r="B36" s="4" t="s">
        <v>186</v>
      </c>
      <c r="C36" s="15"/>
      <c r="D36" s="1"/>
      <c r="E36" s="1"/>
      <c r="F36" s="1"/>
      <c r="G36" s="2">
        <v>5000.0</v>
      </c>
    </row>
    <row r="37" ht="15.75" customHeight="1">
      <c r="A37" s="1"/>
      <c r="B37" s="4" t="s">
        <v>187</v>
      </c>
      <c r="C37" s="15"/>
      <c r="D37" s="1"/>
      <c r="E37" s="1"/>
      <c r="F37" s="1"/>
      <c r="G37" s="2">
        <v>25000.0</v>
      </c>
    </row>
    <row r="38" ht="15.75" customHeight="1">
      <c r="A38" s="1"/>
      <c r="B38" s="4" t="s">
        <v>75</v>
      </c>
      <c r="C38" s="15"/>
      <c r="D38" s="1"/>
      <c r="E38" s="1"/>
      <c r="F38" s="1"/>
      <c r="G38" s="2">
        <v>100000.0</v>
      </c>
    </row>
    <row r="39" ht="15.75" customHeight="1">
      <c r="A39" s="1"/>
      <c r="B39" s="4" t="s">
        <v>188</v>
      </c>
      <c r="C39" s="15"/>
      <c r="D39" s="1"/>
      <c r="E39" s="1"/>
      <c r="F39" s="1"/>
      <c r="G39" s="2">
        <v>2000.0</v>
      </c>
    </row>
    <row r="40" ht="15.75" customHeight="1">
      <c r="A40" s="1"/>
      <c r="B40" s="4" t="s">
        <v>189</v>
      </c>
      <c r="C40" s="15"/>
      <c r="D40" s="1"/>
      <c r="E40" s="1"/>
      <c r="F40" s="1"/>
      <c r="G40" s="2">
        <v>87550.0</v>
      </c>
    </row>
    <row r="41" ht="15.75" customHeight="1">
      <c r="A41" s="1"/>
      <c r="B41" s="4" t="s">
        <v>190</v>
      </c>
      <c r="C41" s="15"/>
      <c r="D41" s="1"/>
      <c r="E41" s="1"/>
      <c r="F41" s="1"/>
      <c r="G41" s="2">
        <v>3500.0</v>
      </c>
    </row>
    <row r="42" ht="15.75" customHeight="1">
      <c r="A42" s="1"/>
      <c r="B42" s="4" t="s">
        <v>191</v>
      </c>
      <c r="C42" s="15"/>
      <c r="D42" s="1"/>
      <c r="E42" s="1"/>
      <c r="F42" s="1"/>
      <c r="G42" s="2">
        <v>65250.0</v>
      </c>
    </row>
    <row r="43" ht="15.75" customHeight="1">
      <c r="A43" s="1"/>
      <c r="B43" s="4" t="s">
        <v>192</v>
      </c>
      <c r="C43" s="15"/>
      <c r="D43" s="1"/>
      <c r="E43" s="1"/>
      <c r="F43" s="1"/>
      <c r="G43" s="2">
        <v>5000.0</v>
      </c>
    </row>
    <row r="44" ht="15.75" customHeight="1">
      <c r="A44" s="1"/>
      <c r="B44" s="4" t="s">
        <v>193</v>
      </c>
      <c r="C44" s="15"/>
      <c r="D44" s="1"/>
      <c r="E44" s="1"/>
      <c r="F44" s="1"/>
      <c r="G44" s="2">
        <v>7000.0</v>
      </c>
    </row>
    <row r="45" ht="15.75" customHeight="1">
      <c r="A45" s="1"/>
      <c r="B45" s="4" t="s">
        <v>194</v>
      </c>
      <c r="C45" s="15"/>
      <c r="D45" s="1"/>
      <c r="E45" s="1"/>
      <c r="F45" s="1"/>
      <c r="G45" s="2">
        <v>307500.0</v>
      </c>
    </row>
    <row r="46" ht="15.75" customHeight="1">
      <c r="A46" s="1"/>
      <c r="B46" s="4" t="s">
        <v>195</v>
      </c>
      <c r="C46" s="15"/>
      <c r="D46" s="1"/>
      <c r="E46" s="1"/>
      <c r="F46" s="1"/>
      <c r="G46" s="2">
        <v>208000.0</v>
      </c>
    </row>
    <row r="47" ht="15.75" customHeight="1">
      <c r="A47" s="1"/>
      <c r="B47" s="4" t="s">
        <v>196</v>
      </c>
      <c r="C47" s="15"/>
      <c r="D47" s="1"/>
      <c r="E47" s="1"/>
      <c r="F47" s="1"/>
      <c r="G47" s="2">
        <v>1950.0</v>
      </c>
    </row>
    <row r="48" ht="15.75" customHeight="1">
      <c r="A48" s="1"/>
      <c r="B48" s="4" t="s">
        <v>197</v>
      </c>
      <c r="C48" s="15"/>
      <c r="D48" s="1"/>
      <c r="E48" s="1"/>
      <c r="F48" s="1"/>
      <c r="G48" s="2">
        <v>2000.0</v>
      </c>
    </row>
    <row r="49" ht="15.75" customHeight="1">
      <c r="A49" s="1"/>
      <c r="B49" s="4" t="s">
        <v>198</v>
      </c>
      <c r="C49" s="15"/>
      <c r="D49" s="1"/>
      <c r="E49" s="1"/>
      <c r="F49" s="1"/>
      <c r="G49" s="2">
        <v>2000.0</v>
      </c>
    </row>
    <row r="50" ht="15.75" customHeight="1">
      <c r="A50" s="1"/>
      <c r="B50" s="4" t="s">
        <v>199</v>
      </c>
      <c r="C50" s="15"/>
      <c r="D50" s="1"/>
      <c r="E50" s="1"/>
      <c r="F50" s="1"/>
      <c r="G50" s="2">
        <v>30000.0</v>
      </c>
    </row>
    <row r="51" ht="15.75" customHeight="1">
      <c r="A51" s="1"/>
      <c r="B51" s="4" t="s">
        <v>200</v>
      </c>
      <c r="C51" s="15"/>
      <c r="D51" s="1"/>
      <c r="E51" s="1"/>
      <c r="F51" s="1"/>
      <c r="G51" s="2">
        <v>10000.0</v>
      </c>
    </row>
    <row r="52" ht="15.75" customHeight="1">
      <c r="A52" s="1"/>
      <c r="B52" s="4" t="s">
        <v>201</v>
      </c>
      <c r="C52" s="15"/>
      <c r="D52" s="1"/>
      <c r="E52" s="1"/>
      <c r="F52" s="1"/>
      <c r="G52" s="2">
        <v>587500.0</v>
      </c>
    </row>
    <row r="53" ht="15.75" customHeight="1">
      <c r="A53" s="1"/>
      <c r="B53" s="4" t="s">
        <v>202</v>
      </c>
      <c r="C53" s="15"/>
      <c r="D53" s="1"/>
      <c r="E53" s="1"/>
      <c r="F53" s="1"/>
      <c r="G53" s="2">
        <v>10000.0</v>
      </c>
    </row>
    <row r="54" ht="15.75" customHeight="1">
      <c r="A54" s="1"/>
      <c r="B54" s="4" t="s">
        <v>203</v>
      </c>
      <c r="C54" s="15"/>
      <c r="D54" s="1"/>
      <c r="E54" s="1"/>
      <c r="F54" s="1"/>
      <c r="G54" s="2">
        <v>5000.0</v>
      </c>
    </row>
    <row r="55" ht="15.75" customHeight="1">
      <c r="A55" s="1"/>
      <c r="B55" s="4" t="s">
        <v>204</v>
      </c>
      <c r="C55" s="15"/>
      <c r="D55" s="1"/>
      <c r="E55" s="1"/>
      <c r="F55" s="1"/>
      <c r="G55" s="2">
        <v>306425.0</v>
      </c>
    </row>
    <row r="56" ht="15.75" customHeight="1">
      <c r="A56" s="1"/>
      <c r="B56" s="4" t="s">
        <v>205</v>
      </c>
      <c r="C56" s="15"/>
      <c r="D56" s="1"/>
      <c r="E56" s="1"/>
      <c r="F56" s="1"/>
      <c r="G56" s="2">
        <v>5000.0</v>
      </c>
    </row>
    <row r="57" ht="15.75" customHeight="1">
      <c r="A57" s="1"/>
      <c r="B57" s="4" t="s">
        <v>206</v>
      </c>
      <c r="C57" s="15"/>
      <c r="D57" s="1"/>
      <c r="E57" s="1"/>
      <c r="F57" s="1"/>
      <c r="G57" s="2">
        <v>15500.0</v>
      </c>
    </row>
    <row r="58" ht="15.75" customHeight="1">
      <c r="A58" s="1"/>
      <c r="B58" s="4" t="s">
        <v>207</v>
      </c>
      <c r="C58" s="15"/>
      <c r="D58" s="1"/>
      <c r="E58" s="1"/>
      <c r="F58" s="1"/>
      <c r="G58" s="2">
        <v>127400.0</v>
      </c>
    </row>
    <row r="59" ht="15.75" customHeight="1">
      <c r="A59" s="1"/>
      <c r="B59" s="4" t="s">
        <v>208</v>
      </c>
      <c r="C59" s="15"/>
      <c r="D59" s="1"/>
      <c r="E59" s="1"/>
      <c r="F59" s="1"/>
      <c r="G59" s="2">
        <v>2000.0</v>
      </c>
    </row>
    <row r="60" ht="15.75" customHeight="1">
      <c r="A60" s="1"/>
      <c r="B60" s="4" t="s">
        <v>209</v>
      </c>
      <c r="C60" s="15"/>
      <c r="D60" s="1"/>
      <c r="E60" s="1"/>
      <c r="F60" s="1"/>
      <c r="G60" s="2">
        <v>1000.0</v>
      </c>
    </row>
    <row r="61" ht="15.75" customHeight="1">
      <c r="A61" s="1"/>
      <c r="B61" s="4" t="s">
        <v>210</v>
      </c>
      <c r="C61" s="15"/>
      <c r="D61" s="1"/>
      <c r="E61" s="1"/>
      <c r="F61" s="1"/>
      <c r="G61" s="2">
        <v>162500.0</v>
      </c>
    </row>
    <row r="62" ht="15.75" customHeight="1">
      <c r="A62" s="1"/>
      <c r="B62" s="4"/>
      <c r="C62" s="15"/>
      <c r="D62" s="1"/>
      <c r="E62" s="1"/>
      <c r="F62" s="1"/>
      <c r="G62" s="2"/>
    </row>
    <row r="63" ht="15.75" customHeight="1">
      <c r="A63" s="1"/>
      <c r="B63" s="4"/>
      <c r="C63" s="15"/>
      <c r="D63" s="1"/>
      <c r="E63" s="1"/>
      <c r="F63" s="1"/>
      <c r="G63" s="2"/>
    </row>
    <row r="64" ht="15.75" customHeight="1">
      <c r="A64" s="1"/>
      <c r="B64" s="4"/>
      <c r="C64" s="15"/>
      <c r="D64" s="1"/>
      <c r="E64" s="1"/>
      <c r="F64" s="1"/>
      <c r="G64" s="2"/>
    </row>
    <row r="65" ht="15.75" customHeight="1">
      <c r="A65" s="1"/>
      <c r="B65" s="4"/>
      <c r="C65" s="15"/>
      <c r="D65" s="1"/>
      <c r="E65" s="1"/>
      <c r="F65" s="1"/>
      <c r="G65" s="2"/>
    </row>
    <row r="66" ht="15.75" customHeight="1">
      <c r="A66" s="1"/>
      <c r="B66" s="16" t="s">
        <v>43</v>
      </c>
      <c r="C66" s="10"/>
      <c r="D66" s="10"/>
      <c r="E66" s="10"/>
      <c r="F66" s="10"/>
      <c r="G66" s="17">
        <f>SUM(G25:G65)</f>
        <v>2961005</v>
      </c>
    </row>
    <row r="67" ht="15.75" customHeight="1">
      <c r="A67" s="1"/>
      <c r="B67" s="1"/>
      <c r="C67" s="1"/>
      <c r="D67" s="1"/>
      <c r="E67" s="1"/>
      <c r="F67" s="1"/>
      <c r="G67" s="18" t="s">
        <v>44</v>
      </c>
    </row>
    <row r="68" ht="15.75" customHeight="1">
      <c r="A68" s="1"/>
      <c r="B68" s="19" t="s">
        <v>45</v>
      </c>
      <c r="C68" s="20"/>
      <c r="D68" s="20"/>
      <c r="E68" s="20"/>
      <c r="F68" s="20"/>
      <c r="G68" s="21">
        <f>SUM(G23,G66)</f>
        <v>3477005</v>
      </c>
    </row>
    <row r="69" ht="15.75" customHeight="1">
      <c r="A69" s="1"/>
      <c r="B69" s="4" t="s">
        <v>46</v>
      </c>
      <c r="C69" s="1"/>
      <c r="D69" s="1"/>
      <c r="E69" s="1"/>
      <c r="F69" s="1"/>
      <c r="G69" s="2"/>
    </row>
    <row r="70" ht="15.75" customHeight="1">
      <c r="A70" s="35" t="s">
        <v>211</v>
      </c>
      <c r="B70" s="36"/>
      <c r="C70" s="37"/>
      <c r="D70" s="37"/>
      <c r="E70" s="37"/>
      <c r="F70" s="37"/>
      <c r="G70" s="38">
        <f>(G12-G68)</f>
        <v>1330275</v>
      </c>
    </row>
    <row r="71" ht="15.75" customHeight="1">
      <c r="A71" s="1"/>
      <c r="B71" s="4"/>
      <c r="C71" s="1"/>
      <c r="D71" s="1"/>
      <c r="E71" s="1"/>
      <c r="F71" s="1"/>
      <c r="G71" s="2"/>
    </row>
    <row r="72" ht="15.75" customHeight="1">
      <c r="A72" s="22"/>
      <c r="B72" s="1"/>
      <c r="C72" s="1"/>
      <c r="D72" s="1"/>
      <c r="E72" s="1"/>
      <c r="F72" s="1"/>
      <c r="G72" s="2"/>
    </row>
    <row r="73" ht="15.75" customHeight="1">
      <c r="A73" s="22"/>
      <c r="B73" s="1"/>
      <c r="C73" s="1"/>
      <c r="D73" s="1"/>
      <c r="E73" s="1"/>
      <c r="F73" s="1"/>
      <c r="G73" s="2"/>
    </row>
    <row r="74" ht="15.75" customHeight="1">
      <c r="A74" s="1"/>
      <c r="B74" s="1" t="s">
        <v>212</v>
      </c>
      <c r="C74" s="27"/>
      <c r="D74" s="27"/>
      <c r="E74" s="27"/>
      <c r="F74" s="27"/>
      <c r="G74" s="28">
        <v>0.0</v>
      </c>
    </row>
    <row r="75" ht="15.75" customHeight="1">
      <c r="A75" s="1"/>
      <c r="B75" s="1"/>
      <c r="C75" s="1"/>
      <c r="D75" s="1"/>
      <c r="E75" s="1"/>
      <c r="F75" s="1"/>
      <c r="G75" s="2"/>
    </row>
    <row r="76" ht="15.75" customHeight="1">
      <c r="A76" s="39"/>
      <c r="B76" s="40" t="s">
        <v>213</v>
      </c>
      <c r="C76" s="41"/>
      <c r="D76" s="41"/>
      <c r="E76" s="41"/>
      <c r="F76" s="41"/>
      <c r="G76" s="42">
        <f>SUM(G4,G70,-G74)</f>
        <v>9630651</v>
      </c>
    </row>
    <row r="77" ht="15.75" customHeight="1">
      <c r="A77" s="1"/>
      <c r="B77" s="1"/>
      <c r="C77" s="1"/>
      <c r="D77" s="1"/>
      <c r="E77" s="1"/>
      <c r="F77" s="1"/>
      <c r="G77" s="2"/>
    </row>
    <row r="78" ht="15.75" customHeight="1">
      <c r="A78" s="1"/>
      <c r="B78" s="32" t="s">
        <v>112</v>
      </c>
    </row>
    <row r="79" ht="15.75" customHeight="1">
      <c r="A79" s="1"/>
      <c r="B79" s="1"/>
      <c r="C79" s="1" t="s">
        <v>113</v>
      </c>
      <c r="D79" s="1"/>
      <c r="E79" s="1"/>
      <c r="F79" s="1"/>
      <c r="G79" s="1"/>
    </row>
    <row r="80" ht="15.75" customHeight="1">
      <c r="A80" s="1"/>
      <c r="B80" s="1"/>
      <c r="C80" s="1" t="s">
        <v>114</v>
      </c>
      <c r="D80" s="1"/>
      <c r="E80" s="1"/>
      <c r="F80" s="1"/>
      <c r="G80" s="1">
        <v>45000.0</v>
      </c>
    </row>
    <row r="81" ht="15.75" customHeight="1">
      <c r="A81" s="1"/>
      <c r="B81" s="1"/>
      <c r="C81" s="43" t="s">
        <v>115</v>
      </c>
      <c r="D81" s="1"/>
      <c r="E81" s="1"/>
      <c r="F81" s="1"/>
      <c r="G81" s="1">
        <f>SUM(G79,G80)</f>
        <v>45000</v>
      </c>
    </row>
    <row r="82" ht="15.75" customHeight="1">
      <c r="A82" s="1"/>
      <c r="B82" s="1"/>
      <c r="C82" s="43"/>
      <c r="D82" s="1"/>
      <c r="E82" s="1"/>
      <c r="F82" s="1"/>
      <c r="G82" s="1"/>
    </row>
    <row r="83" ht="15.75" customHeight="1">
      <c r="A83" s="1"/>
      <c r="B83" s="33" t="s">
        <v>214</v>
      </c>
      <c r="C83" s="1"/>
      <c r="D83" s="1"/>
      <c r="E83" s="1"/>
      <c r="F83" s="1"/>
      <c r="G83" s="2"/>
    </row>
    <row r="84" ht="15.75" customHeight="1">
      <c r="A84" s="1"/>
      <c r="B84" s="4"/>
      <c r="C84" s="1"/>
      <c r="D84" s="1"/>
      <c r="E84" s="1"/>
      <c r="F84" s="1"/>
      <c r="G84" s="2"/>
    </row>
    <row r="85" ht="15.75" customHeight="1">
      <c r="A85" s="1"/>
      <c r="B85" s="26" t="s">
        <v>215</v>
      </c>
      <c r="C85" s="1"/>
      <c r="D85" s="1"/>
      <c r="E85" s="1"/>
      <c r="F85" s="1"/>
      <c r="G85" s="2"/>
    </row>
    <row r="86" ht="15.75" customHeight="1">
      <c r="A86" s="1"/>
      <c r="B86" s="26"/>
      <c r="C86" s="1"/>
      <c r="D86" s="1"/>
      <c r="E86" s="1"/>
      <c r="F86" s="1"/>
      <c r="G86" s="2"/>
    </row>
    <row r="87" ht="15.75" customHeight="1">
      <c r="A87" s="1"/>
      <c r="B87" s="26" t="s">
        <v>216</v>
      </c>
      <c r="C87" s="1"/>
      <c r="D87" s="1"/>
      <c r="E87" s="1"/>
      <c r="F87" s="1"/>
      <c r="G87" s="2"/>
    </row>
    <row r="88" ht="15.75" customHeight="1">
      <c r="A88" s="1"/>
      <c r="B88" s="4"/>
      <c r="C88" s="1"/>
      <c r="D88" s="1"/>
      <c r="E88" s="1"/>
      <c r="F88" s="1"/>
      <c r="G88" s="2"/>
    </row>
    <row r="89" ht="15.75" customHeight="1">
      <c r="A89" s="1"/>
      <c r="B89" s="26" t="s">
        <v>217</v>
      </c>
      <c r="C89" s="1"/>
      <c r="D89" s="1"/>
      <c r="E89" s="1"/>
      <c r="F89" s="1"/>
      <c r="G89" s="2"/>
    </row>
    <row r="90" ht="15.75" customHeight="1">
      <c r="A90" s="1"/>
      <c r="B90" s="4"/>
      <c r="C90" s="1"/>
      <c r="D90" s="1"/>
      <c r="E90" s="1"/>
      <c r="F90" s="1"/>
      <c r="G90" s="2"/>
    </row>
    <row r="91" ht="15.75" customHeight="1">
      <c r="A91" s="1"/>
      <c r="B91" s="26" t="s">
        <v>218</v>
      </c>
      <c r="C91" s="1"/>
      <c r="D91" s="1"/>
      <c r="E91" s="1"/>
      <c r="F91" s="1"/>
      <c r="G91" s="2"/>
    </row>
    <row r="92" ht="15.75" customHeight="1">
      <c r="A92" s="1"/>
      <c r="B92" s="26"/>
      <c r="C92" s="1"/>
      <c r="D92" s="1"/>
      <c r="E92" s="1"/>
      <c r="F92" s="1"/>
      <c r="G92" s="2"/>
    </row>
    <row r="93" ht="15.75" customHeight="1">
      <c r="A93" s="1"/>
      <c r="B93" s="34" t="s">
        <v>219</v>
      </c>
      <c r="C93" s="1"/>
      <c r="D93" s="1"/>
      <c r="E93" s="1"/>
      <c r="F93" s="1"/>
      <c r="G93" s="2"/>
    </row>
    <row r="94" ht="15.75" customHeight="1">
      <c r="A94" s="1"/>
      <c r="B94" s="1"/>
      <c r="C94" s="1"/>
      <c r="D94" s="1"/>
      <c r="E94" s="1"/>
      <c r="F94" s="1"/>
      <c r="G94" s="2"/>
    </row>
    <row r="95" ht="15.75" customHeight="1">
      <c r="A95" s="1"/>
      <c r="B95" s="1"/>
      <c r="C95" s="1"/>
      <c r="D95" s="1"/>
      <c r="E95" s="1"/>
      <c r="F95" s="1"/>
      <c r="G95" s="2"/>
    </row>
    <row r="96" ht="15.75" customHeight="1">
      <c r="A96" s="1"/>
      <c r="B96" s="1"/>
      <c r="C96" s="1"/>
      <c r="D96" s="1"/>
      <c r="E96" s="1"/>
      <c r="F96" s="1"/>
      <c r="G96" s="2"/>
    </row>
    <row r="97" ht="15.75" customHeight="1">
      <c r="A97" s="1"/>
      <c r="B97" s="1"/>
      <c r="C97" s="1"/>
      <c r="D97" s="1"/>
      <c r="E97" s="1"/>
      <c r="F97" s="1"/>
      <c r="G97" s="2"/>
    </row>
    <row r="98" ht="15.75" customHeight="1">
      <c r="A98" s="1"/>
      <c r="B98" s="1"/>
      <c r="C98" s="1"/>
      <c r="D98" s="1"/>
      <c r="E98" s="1"/>
      <c r="F98" s="1"/>
      <c r="G98" s="2"/>
    </row>
    <row r="99" ht="15.75" customHeight="1">
      <c r="A99" s="1"/>
      <c r="B99" s="1"/>
      <c r="C99" s="1"/>
      <c r="D99" s="1"/>
      <c r="E99" s="1"/>
      <c r="F99" s="1"/>
      <c r="G99" s="2"/>
    </row>
    <row r="100" ht="15.75" customHeight="1">
      <c r="A100" s="1"/>
      <c r="B100" s="1"/>
      <c r="C100" s="1"/>
      <c r="D100" s="1"/>
      <c r="E100" s="1"/>
      <c r="F100" s="1"/>
      <c r="G100" s="2"/>
    </row>
    <row r="101" ht="15.75" customHeight="1">
      <c r="A101" s="1"/>
      <c r="B101" s="1"/>
      <c r="C101" s="1"/>
      <c r="D101" s="1"/>
      <c r="E101" s="1"/>
      <c r="F101" s="1"/>
      <c r="G101" s="2"/>
    </row>
    <row r="102" ht="15.75" customHeight="1">
      <c r="A102" s="1"/>
      <c r="B102" s="1"/>
      <c r="C102" s="1"/>
      <c r="D102" s="1"/>
      <c r="E102" s="1"/>
      <c r="F102" s="1"/>
      <c r="G102" s="2"/>
    </row>
    <row r="103" ht="15.75" customHeight="1">
      <c r="A103" s="1"/>
      <c r="B103" s="1"/>
      <c r="C103" s="1"/>
      <c r="D103" s="1"/>
      <c r="E103" s="1"/>
      <c r="F103" s="1"/>
      <c r="G103" s="2"/>
    </row>
    <row r="104" ht="15.75" customHeight="1">
      <c r="A104" s="1"/>
      <c r="B104" s="1"/>
      <c r="C104" s="1"/>
      <c r="D104" s="1"/>
      <c r="E104" s="1"/>
      <c r="F104" s="1"/>
      <c r="G104" s="2"/>
    </row>
    <row r="105" ht="15.75" customHeight="1">
      <c r="A105" s="1"/>
      <c r="B105" s="1"/>
      <c r="C105" s="1"/>
      <c r="D105" s="1"/>
      <c r="E105" s="1"/>
      <c r="F105" s="1"/>
      <c r="G105" s="2"/>
    </row>
    <row r="106" ht="15.75" customHeight="1">
      <c r="A106" s="1"/>
      <c r="B106" s="1"/>
      <c r="C106" s="1"/>
      <c r="D106" s="1"/>
      <c r="E106" s="1"/>
      <c r="F106" s="1"/>
      <c r="G106" s="2"/>
    </row>
    <row r="107" ht="15.75" customHeight="1">
      <c r="A107" s="1"/>
      <c r="B107" s="1"/>
      <c r="C107" s="1"/>
      <c r="D107" s="1"/>
      <c r="E107" s="1"/>
      <c r="F107" s="1"/>
      <c r="G107" s="2"/>
    </row>
    <row r="108" ht="15.75" customHeight="1">
      <c r="A108" s="1"/>
      <c r="B108" s="1"/>
      <c r="C108" s="1"/>
      <c r="D108" s="1"/>
      <c r="E108" s="1"/>
      <c r="F108" s="1"/>
      <c r="G108" s="2"/>
    </row>
    <row r="109" ht="15.75" customHeight="1">
      <c r="A109" s="1"/>
      <c r="B109" s="1"/>
      <c r="C109" s="1"/>
      <c r="D109" s="1"/>
      <c r="E109" s="1"/>
      <c r="F109" s="1"/>
      <c r="G109" s="2"/>
    </row>
    <row r="110" ht="15.75" customHeight="1">
      <c r="A110" s="1"/>
      <c r="B110" s="1"/>
      <c r="C110" s="1"/>
      <c r="D110" s="1"/>
      <c r="E110" s="1"/>
      <c r="F110" s="1"/>
      <c r="G110" s="2"/>
    </row>
    <row r="111" ht="15.75" customHeight="1">
      <c r="A111" s="1"/>
      <c r="B111" s="1"/>
      <c r="C111" s="1"/>
      <c r="D111" s="1"/>
      <c r="E111" s="1"/>
      <c r="F111" s="1"/>
      <c r="G111" s="2"/>
    </row>
    <row r="112" ht="15.75" customHeight="1">
      <c r="A112" s="1"/>
      <c r="B112" s="1"/>
      <c r="C112" s="1"/>
      <c r="D112" s="1"/>
      <c r="E112" s="1"/>
      <c r="F112" s="1"/>
      <c r="G112" s="2"/>
    </row>
    <row r="113" ht="15.75" customHeight="1">
      <c r="A113" s="1"/>
      <c r="B113" s="1"/>
      <c r="C113" s="1"/>
      <c r="D113" s="1"/>
      <c r="E113" s="1"/>
      <c r="F113" s="1"/>
      <c r="G113" s="2"/>
    </row>
    <row r="114" ht="15.75" customHeight="1">
      <c r="A114" s="1"/>
      <c r="B114" s="1"/>
      <c r="C114" s="1"/>
      <c r="D114" s="1"/>
      <c r="E114" s="1"/>
      <c r="F114" s="1"/>
      <c r="G114" s="2"/>
    </row>
    <row r="115" ht="15.75" customHeight="1">
      <c r="A115" s="1"/>
      <c r="B115" s="1"/>
      <c r="C115" s="1"/>
      <c r="D115" s="1"/>
      <c r="E115" s="1"/>
      <c r="F115" s="1"/>
      <c r="G115" s="2"/>
    </row>
    <row r="116" ht="15.75" customHeight="1">
      <c r="A116" s="1"/>
      <c r="B116" s="1"/>
      <c r="C116" s="1"/>
      <c r="D116" s="1"/>
      <c r="E116" s="1"/>
      <c r="F116" s="1"/>
      <c r="G116" s="2"/>
    </row>
    <row r="117" ht="15.75" customHeight="1">
      <c r="A117" s="1"/>
      <c r="B117" s="1"/>
      <c r="C117" s="1"/>
      <c r="D117" s="1"/>
      <c r="E117" s="1"/>
      <c r="F117" s="1"/>
      <c r="G117" s="2"/>
    </row>
    <row r="118" ht="15.75" customHeight="1">
      <c r="A118" s="1"/>
      <c r="B118" s="1"/>
      <c r="C118" s="1"/>
      <c r="D118" s="1"/>
      <c r="E118" s="1"/>
      <c r="F118" s="1"/>
      <c r="G118" s="2"/>
    </row>
    <row r="119" ht="15.75" customHeight="1">
      <c r="A119" s="1"/>
      <c r="B119" s="1"/>
      <c r="C119" s="1"/>
      <c r="D119" s="1"/>
      <c r="E119" s="1"/>
      <c r="F119" s="1"/>
      <c r="G119" s="2"/>
    </row>
    <row r="120" ht="15.75" customHeight="1">
      <c r="A120" s="1"/>
      <c r="B120" s="1"/>
      <c r="C120" s="1"/>
      <c r="D120" s="1"/>
      <c r="E120" s="1"/>
      <c r="F120" s="1"/>
      <c r="G120" s="2"/>
    </row>
    <row r="121" ht="15.75" customHeight="1">
      <c r="A121" s="1"/>
      <c r="B121" s="1"/>
      <c r="C121" s="1"/>
      <c r="D121" s="1"/>
      <c r="E121" s="1"/>
      <c r="F121" s="1"/>
      <c r="G121" s="2"/>
    </row>
    <row r="122" ht="15.75" customHeight="1">
      <c r="A122" s="1"/>
      <c r="B122" s="1"/>
      <c r="C122" s="1"/>
      <c r="D122" s="1"/>
      <c r="E122" s="1"/>
      <c r="F122" s="1"/>
      <c r="G122" s="2"/>
    </row>
    <row r="123" ht="15.75" customHeight="1">
      <c r="A123" s="1"/>
      <c r="B123" s="1"/>
      <c r="C123" s="1"/>
      <c r="D123" s="1"/>
      <c r="E123" s="1"/>
      <c r="F123" s="1"/>
      <c r="G123" s="2"/>
    </row>
    <row r="124" ht="15.75" customHeight="1">
      <c r="A124" s="1"/>
      <c r="B124" s="1"/>
      <c r="C124" s="1"/>
      <c r="D124" s="1"/>
      <c r="E124" s="1"/>
      <c r="F124" s="1"/>
      <c r="G124" s="2"/>
    </row>
    <row r="125" ht="15.75" customHeight="1">
      <c r="A125" s="1"/>
      <c r="B125" s="1"/>
      <c r="C125" s="1"/>
      <c r="D125" s="1"/>
      <c r="E125" s="1"/>
      <c r="F125" s="1"/>
      <c r="G125" s="2"/>
    </row>
    <row r="126" ht="15.75" customHeight="1">
      <c r="A126" s="1"/>
      <c r="B126" s="1"/>
      <c r="C126" s="1"/>
      <c r="D126" s="1"/>
      <c r="E126" s="1"/>
      <c r="F126" s="1"/>
      <c r="G126" s="2"/>
    </row>
    <row r="127" ht="15.75" customHeight="1">
      <c r="A127" s="1"/>
      <c r="B127" s="1"/>
      <c r="C127" s="1"/>
      <c r="D127" s="1"/>
      <c r="E127" s="1"/>
      <c r="F127" s="1"/>
      <c r="G127" s="2"/>
    </row>
    <row r="128" ht="15.75" customHeight="1">
      <c r="A128" s="1"/>
      <c r="B128" s="1"/>
      <c r="C128" s="1"/>
      <c r="D128" s="1"/>
      <c r="E128" s="1"/>
      <c r="F128" s="1"/>
      <c r="G128" s="2"/>
    </row>
    <row r="129" ht="15.75" customHeight="1">
      <c r="A129" s="1"/>
      <c r="B129" s="1"/>
      <c r="C129" s="1"/>
      <c r="D129" s="1"/>
      <c r="E129" s="1"/>
      <c r="F129" s="1"/>
      <c r="G129" s="2"/>
    </row>
    <row r="130" ht="15.75" customHeight="1">
      <c r="A130" s="1"/>
      <c r="B130" s="1"/>
      <c r="C130" s="1"/>
      <c r="D130" s="1"/>
      <c r="E130" s="1"/>
      <c r="F130" s="1"/>
      <c r="G130" s="2"/>
    </row>
    <row r="131" ht="15.75" customHeight="1">
      <c r="A131" s="1"/>
      <c r="B131" s="1"/>
      <c r="C131" s="1"/>
      <c r="D131" s="1"/>
      <c r="E131" s="1"/>
      <c r="F131" s="1"/>
      <c r="G131" s="2"/>
    </row>
    <row r="132" ht="15.75" customHeight="1">
      <c r="A132" s="1"/>
      <c r="B132" s="1"/>
      <c r="C132" s="1"/>
      <c r="D132" s="1"/>
      <c r="E132" s="1"/>
      <c r="F132" s="1"/>
      <c r="G132" s="2"/>
    </row>
    <row r="133" ht="15.75" customHeight="1">
      <c r="A133" s="1"/>
      <c r="B133" s="1"/>
      <c r="C133" s="1"/>
      <c r="D133" s="1"/>
      <c r="E133" s="1"/>
      <c r="F133" s="1"/>
      <c r="G133" s="2"/>
    </row>
    <row r="134" ht="15.75" customHeight="1">
      <c r="A134" s="1"/>
      <c r="B134" s="1"/>
      <c r="C134" s="1"/>
      <c r="D134" s="1"/>
      <c r="E134" s="1"/>
      <c r="F134" s="1"/>
      <c r="G134" s="2"/>
    </row>
    <row r="135" ht="15.75" customHeight="1">
      <c r="A135" s="1"/>
      <c r="B135" s="1"/>
      <c r="C135" s="1"/>
      <c r="D135" s="1"/>
      <c r="E135" s="1"/>
      <c r="F135" s="1"/>
      <c r="G135" s="2"/>
    </row>
    <row r="136" ht="15.75" customHeight="1">
      <c r="A136" s="1"/>
      <c r="B136" s="1"/>
      <c r="C136" s="1"/>
      <c r="D136" s="1"/>
      <c r="E136" s="1"/>
      <c r="F136" s="1"/>
      <c r="G136" s="2"/>
    </row>
    <row r="137" ht="15.75" customHeight="1">
      <c r="A137" s="1"/>
      <c r="B137" s="1"/>
      <c r="C137" s="1"/>
      <c r="D137" s="1"/>
      <c r="E137" s="1"/>
      <c r="F137" s="1"/>
      <c r="G137" s="2"/>
    </row>
    <row r="138" ht="15.75" customHeight="1">
      <c r="A138" s="1"/>
      <c r="B138" s="1"/>
      <c r="C138" s="1"/>
      <c r="D138" s="1"/>
      <c r="E138" s="1"/>
      <c r="F138" s="1"/>
      <c r="G138" s="2"/>
    </row>
    <row r="139" ht="15.75" customHeight="1">
      <c r="A139" s="1"/>
      <c r="B139" s="1"/>
      <c r="C139" s="1"/>
      <c r="D139" s="1"/>
      <c r="E139" s="1"/>
      <c r="F139" s="1"/>
      <c r="G139" s="2"/>
    </row>
    <row r="140" ht="15.75" customHeight="1">
      <c r="A140" s="1"/>
      <c r="B140" s="1"/>
      <c r="C140" s="1"/>
      <c r="D140" s="1"/>
      <c r="E140" s="1"/>
      <c r="F140" s="1"/>
      <c r="G140" s="2"/>
    </row>
    <row r="141" ht="15.75" customHeight="1">
      <c r="A141" s="1"/>
      <c r="B141" s="1"/>
      <c r="C141" s="1"/>
      <c r="D141" s="1"/>
      <c r="E141" s="1"/>
      <c r="F141" s="1"/>
      <c r="G141" s="2"/>
    </row>
    <row r="142" ht="15.75" customHeight="1">
      <c r="A142" s="1"/>
      <c r="B142" s="1"/>
      <c r="C142" s="1"/>
      <c r="D142" s="1"/>
      <c r="E142" s="1"/>
      <c r="F142" s="1"/>
      <c r="G142" s="2"/>
    </row>
    <row r="143" ht="15.75" customHeight="1">
      <c r="A143" s="1"/>
      <c r="B143" s="1"/>
      <c r="C143" s="1"/>
      <c r="D143" s="1"/>
      <c r="E143" s="1"/>
      <c r="F143" s="1"/>
      <c r="G143" s="2"/>
    </row>
    <row r="144" ht="15.75" customHeight="1">
      <c r="A144" s="1"/>
      <c r="B144" s="1"/>
      <c r="C144" s="1"/>
      <c r="D144" s="1"/>
      <c r="E144" s="1"/>
      <c r="F144" s="1"/>
      <c r="G144" s="2"/>
    </row>
    <row r="145" ht="15.75" customHeight="1">
      <c r="A145" s="1"/>
      <c r="B145" s="1"/>
      <c r="C145" s="1"/>
      <c r="D145" s="1"/>
      <c r="E145" s="1"/>
      <c r="F145" s="1"/>
      <c r="G145" s="2"/>
    </row>
    <row r="146" ht="15.75" customHeight="1">
      <c r="A146" s="1"/>
      <c r="B146" s="1"/>
      <c r="C146" s="1"/>
      <c r="D146" s="1"/>
      <c r="E146" s="1"/>
      <c r="F146" s="1"/>
      <c r="G146" s="2"/>
    </row>
    <row r="147" ht="15.75" customHeight="1">
      <c r="A147" s="1"/>
      <c r="B147" s="1"/>
      <c r="C147" s="1"/>
      <c r="D147" s="1"/>
      <c r="E147" s="1"/>
      <c r="F147" s="1"/>
      <c r="G147" s="2"/>
    </row>
    <row r="148" ht="15.75" customHeight="1">
      <c r="A148" s="1"/>
      <c r="B148" s="1"/>
      <c r="C148" s="1"/>
      <c r="D148" s="1"/>
      <c r="E148" s="1"/>
      <c r="F148" s="1"/>
      <c r="G148" s="2"/>
    </row>
    <row r="149" ht="15.75" customHeight="1">
      <c r="A149" s="1"/>
      <c r="B149" s="1"/>
      <c r="C149" s="1"/>
      <c r="D149" s="1"/>
      <c r="E149" s="1"/>
      <c r="F149" s="1"/>
      <c r="G149" s="2"/>
    </row>
    <row r="150" ht="15.75" customHeight="1">
      <c r="A150" s="1"/>
      <c r="B150" s="1"/>
      <c r="C150" s="1"/>
      <c r="D150" s="1"/>
      <c r="E150" s="1"/>
      <c r="F150" s="1"/>
      <c r="G150" s="2"/>
    </row>
    <row r="151" ht="15.75" customHeight="1">
      <c r="A151" s="1"/>
      <c r="B151" s="1"/>
      <c r="C151" s="1"/>
      <c r="D151" s="1"/>
      <c r="E151" s="1"/>
      <c r="F151" s="1"/>
      <c r="G151" s="2"/>
    </row>
    <row r="152" ht="15.75" customHeight="1">
      <c r="A152" s="1"/>
      <c r="B152" s="1"/>
      <c r="C152" s="1"/>
      <c r="D152" s="1"/>
      <c r="E152" s="1"/>
      <c r="F152" s="1"/>
      <c r="G152" s="2"/>
    </row>
    <row r="153" ht="15.75" customHeight="1">
      <c r="A153" s="1"/>
      <c r="B153" s="1"/>
      <c r="C153" s="1"/>
      <c r="D153" s="1"/>
      <c r="E153" s="1"/>
      <c r="F153" s="1"/>
      <c r="G153" s="2"/>
    </row>
    <row r="154" ht="15.75" customHeight="1">
      <c r="A154" s="1"/>
      <c r="B154" s="1"/>
      <c r="C154" s="1"/>
      <c r="D154" s="1"/>
      <c r="E154" s="1"/>
      <c r="F154" s="1"/>
      <c r="G154" s="2"/>
    </row>
    <row r="155" ht="15.75" customHeight="1">
      <c r="A155" s="1"/>
      <c r="B155" s="1"/>
      <c r="C155" s="1"/>
      <c r="D155" s="1"/>
      <c r="E155" s="1"/>
      <c r="F155" s="1"/>
      <c r="G155" s="2"/>
    </row>
    <row r="156" ht="15.75" customHeight="1">
      <c r="A156" s="1"/>
      <c r="B156" s="1"/>
      <c r="C156" s="1"/>
      <c r="D156" s="1"/>
      <c r="E156" s="1"/>
      <c r="F156" s="1"/>
      <c r="G156" s="2"/>
    </row>
    <row r="157" ht="15.75" customHeight="1">
      <c r="A157" s="1"/>
      <c r="B157" s="1"/>
      <c r="C157" s="1"/>
      <c r="D157" s="1"/>
      <c r="E157" s="1"/>
      <c r="F157" s="1"/>
      <c r="G157" s="2"/>
    </row>
    <row r="158" ht="15.75" customHeight="1">
      <c r="A158" s="1"/>
      <c r="B158" s="1"/>
      <c r="C158" s="1"/>
      <c r="D158" s="1"/>
      <c r="E158" s="1"/>
      <c r="F158" s="1"/>
      <c r="G158" s="2"/>
    </row>
    <row r="159" ht="15.75" customHeight="1">
      <c r="A159" s="1"/>
      <c r="B159" s="1"/>
      <c r="C159" s="1"/>
      <c r="D159" s="1"/>
      <c r="E159" s="1"/>
      <c r="F159" s="1"/>
      <c r="G159" s="2"/>
    </row>
    <row r="160" ht="15.75" customHeight="1">
      <c r="A160" s="1"/>
      <c r="B160" s="1"/>
      <c r="C160" s="1"/>
      <c r="D160" s="1"/>
      <c r="E160" s="1"/>
      <c r="F160" s="1"/>
      <c r="G160" s="2"/>
    </row>
    <row r="161" ht="15.75" customHeight="1">
      <c r="A161" s="1"/>
      <c r="B161" s="1"/>
      <c r="C161" s="1"/>
      <c r="D161" s="1"/>
      <c r="E161" s="1"/>
      <c r="F161" s="1"/>
      <c r="G161" s="2"/>
    </row>
    <row r="162" ht="15.75" customHeight="1">
      <c r="A162" s="1"/>
      <c r="B162" s="1"/>
      <c r="C162" s="1"/>
      <c r="D162" s="1"/>
      <c r="E162" s="1"/>
      <c r="F162" s="1"/>
      <c r="G162" s="2"/>
    </row>
    <row r="163" ht="15.75" customHeight="1">
      <c r="A163" s="1"/>
      <c r="B163" s="1"/>
      <c r="C163" s="1"/>
      <c r="D163" s="1"/>
      <c r="E163" s="1"/>
      <c r="F163" s="1"/>
      <c r="G163" s="2"/>
    </row>
    <row r="164" ht="15.75" customHeight="1">
      <c r="A164" s="1"/>
      <c r="B164" s="1"/>
      <c r="C164" s="1"/>
      <c r="D164" s="1"/>
      <c r="E164" s="1"/>
      <c r="F164" s="1"/>
      <c r="G164" s="2"/>
    </row>
    <row r="165" ht="15.75" customHeight="1">
      <c r="A165" s="1"/>
      <c r="B165" s="1"/>
      <c r="C165" s="1"/>
      <c r="D165" s="1"/>
      <c r="E165" s="1"/>
      <c r="F165" s="1"/>
      <c r="G165" s="2"/>
    </row>
    <row r="166" ht="15.75" customHeight="1">
      <c r="A166" s="1"/>
      <c r="B166" s="1"/>
      <c r="C166" s="1"/>
      <c r="D166" s="1"/>
      <c r="E166" s="1"/>
      <c r="F166" s="1"/>
      <c r="G166" s="2"/>
    </row>
    <row r="167" ht="15.75" customHeight="1">
      <c r="A167" s="1"/>
      <c r="B167" s="1"/>
      <c r="C167" s="1"/>
      <c r="D167" s="1"/>
      <c r="E167" s="1"/>
      <c r="F167" s="1"/>
      <c r="G167" s="2"/>
    </row>
    <row r="168" ht="15.75" customHeight="1">
      <c r="A168" s="1"/>
      <c r="B168" s="1"/>
      <c r="C168" s="1"/>
      <c r="D168" s="1"/>
      <c r="E168" s="1"/>
      <c r="F168" s="1"/>
      <c r="G168" s="2"/>
    </row>
    <row r="169" ht="15.75" customHeight="1">
      <c r="A169" s="1"/>
      <c r="B169" s="1"/>
      <c r="C169" s="1"/>
      <c r="D169" s="1"/>
      <c r="E169" s="1"/>
      <c r="F169" s="1"/>
      <c r="G169" s="2"/>
    </row>
    <row r="170" ht="15.75" customHeight="1">
      <c r="A170" s="1"/>
      <c r="B170" s="1"/>
      <c r="C170" s="1"/>
      <c r="D170" s="1"/>
      <c r="E170" s="1"/>
      <c r="F170" s="1"/>
      <c r="G170" s="2"/>
    </row>
    <row r="171" ht="15.75" customHeight="1">
      <c r="A171" s="1"/>
      <c r="B171" s="1"/>
      <c r="C171" s="1"/>
      <c r="D171" s="1"/>
      <c r="E171" s="1"/>
      <c r="F171" s="1"/>
      <c r="G171" s="2"/>
    </row>
    <row r="172" ht="15.75" customHeight="1">
      <c r="A172" s="1"/>
      <c r="B172" s="1"/>
      <c r="C172" s="1"/>
      <c r="D172" s="1"/>
      <c r="E172" s="1"/>
      <c r="F172" s="1"/>
      <c r="G172" s="2"/>
    </row>
    <row r="173" ht="15.75" customHeight="1">
      <c r="A173" s="1"/>
      <c r="B173" s="1"/>
      <c r="C173" s="1"/>
      <c r="D173" s="1"/>
      <c r="E173" s="1"/>
      <c r="F173" s="1"/>
      <c r="G173" s="2"/>
    </row>
    <row r="174" ht="15.75" customHeight="1">
      <c r="A174" s="1"/>
      <c r="B174" s="1"/>
      <c r="C174" s="1"/>
      <c r="D174" s="1"/>
      <c r="E174" s="1"/>
      <c r="F174" s="1"/>
      <c r="G174" s="2"/>
    </row>
    <row r="175" ht="15.75" customHeight="1">
      <c r="A175" s="1"/>
      <c r="B175" s="1"/>
      <c r="C175" s="1"/>
      <c r="D175" s="1"/>
      <c r="E175" s="1"/>
      <c r="F175" s="1"/>
      <c r="G175" s="2"/>
    </row>
    <row r="176" ht="15.75" customHeight="1">
      <c r="A176" s="1"/>
      <c r="B176" s="1"/>
      <c r="C176" s="1"/>
      <c r="D176" s="1"/>
      <c r="E176" s="1"/>
      <c r="F176" s="1"/>
      <c r="G176" s="2"/>
    </row>
    <row r="177" ht="15.75" customHeight="1">
      <c r="A177" s="1"/>
      <c r="B177" s="1"/>
      <c r="C177" s="1"/>
      <c r="D177" s="1"/>
      <c r="E177" s="1"/>
      <c r="F177" s="1"/>
      <c r="G177" s="2"/>
    </row>
    <row r="178" ht="15.75" customHeight="1">
      <c r="A178" s="1"/>
      <c r="B178" s="1"/>
      <c r="C178" s="1"/>
      <c r="D178" s="1"/>
      <c r="E178" s="1"/>
      <c r="F178" s="1"/>
      <c r="G178" s="2"/>
    </row>
    <row r="179" ht="15.75" customHeight="1">
      <c r="A179" s="1"/>
      <c r="B179" s="1"/>
      <c r="C179" s="1"/>
      <c r="D179" s="1"/>
      <c r="E179" s="1"/>
      <c r="F179" s="1"/>
      <c r="G179" s="2"/>
    </row>
    <row r="180" ht="15.75" customHeight="1">
      <c r="A180" s="1"/>
      <c r="B180" s="1"/>
      <c r="C180" s="1"/>
      <c r="D180" s="1"/>
      <c r="E180" s="1"/>
      <c r="F180" s="1"/>
      <c r="G180" s="2"/>
    </row>
    <row r="181" ht="15.75" customHeight="1">
      <c r="A181" s="1"/>
      <c r="B181" s="1"/>
      <c r="C181" s="1"/>
      <c r="D181" s="1"/>
      <c r="E181" s="1"/>
      <c r="F181" s="1"/>
      <c r="G181" s="2"/>
    </row>
    <row r="182" ht="15.75" customHeight="1">
      <c r="A182" s="1"/>
      <c r="B182" s="1"/>
      <c r="C182" s="1"/>
      <c r="D182" s="1"/>
      <c r="E182" s="1"/>
      <c r="F182" s="1"/>
      <c r="G182" s="2"/>
    </row>
    <row r="183" ht="15.75" customHeight="1">
      <c r="A183" s="1"/>
      <c r="B183" s="1"/>
      <c r="C183" s="1"/>
      <c r="D183" s="1"/>
      <c r="E183" s="1"/>
      <c r="F183" s="1"/>
      <c r="G183" s="2"/>
    </row>
    <row r="184" ht="15.75" customHeight="1">
      <c r="A184" s="1"/>
      <c r="B184" s="1"/>
      <c r="C184" s="1"/>
      <c r="D184" s="1"/>
      <c r="E184" s="1"/>
      <c r="F184" s="1"/>
      <c r="G184" s="2"/>
    </row>
    <row r="185" ht="15.75" customHeight="1">
      <c r="A185" s="1"/>
      <c r="B185" s="1"/>
      <c r="C185" s="1"/>
      <c r="D185" s="1"/>
      <c r="E185" s="1"/>
      <c r="F185" s="1"/>
      <c r="G185" s="2"/>
    </row>
    <row r="186" ht="15.75" customHeight="1">
      <c r="A186" s="1"/>
      <c r="B186" s="1"/>
      <c r="C186" s="1"/>
      <c r="D186" s="1"/>
      <c r="E186" s="1"/>
      <c r="F186" s="1"/>
      <c r="G186" s="2"/>
    </row>
    <row r="187" ht="15.75" customHeight="1">
      <c r="A187" s="1"/>
      <c r="B187" s="1"/>
      <c r="C187" s="1"/>
      <c r="D187" s="1"/>
      <c r="E187" s="1"/>
      <c r="F187" s="1"/>
      <c r="G187" s="2"/>
    </row>
    <row r="188" ht="15.75" customHeight="1">
      <c r="A188" s="1"/>
      <c r="B188" s="1"/>
      <c r="C188" s="1"/>
      <c r="D188" s="1"/>
      <c r="E188" s="1"/>
      <c r="F188" s="1"/>
      <c r="G188" s="2"/>
    </row>
    <row r="189" ht="15.75" customHeight="1">
      <c r="A189" s="1"/>
      <c r="B189" s="1"/>
      <c r="C189" s="1"/>
      <c r="D189" s="1"/>
      <c r="E189" s="1"/>
      <c r="F189" s="1"/>
      <c r="G189" s="2"/>
    </row>
    <row r="190" ht="15.75" customHeight="1">
      <c r="A190" s="1"/>
      <c r="B190" s="1"/>
      <c r="C190" s="1"/>
      <c r="D190" s="1"/>
      <c r="E190" s="1"/>
      <c r="F190" s="1"/>
      <c r="G190" s="2"/>
    </row>
    <row r="191" ht="15.75" customHeight="1">
      <c r="A191" s="1"/>
      <c r="B191" s="1"/>
      <c r="C191" s="1"/>
      <c r="D191" s="1"/>
      <c r="E191" s="1"/>
      <c r="F191" s="1"/>
      <c r="G191" s="2"/>
    </row>
    <row r="192" ht="15.75" customHeight="1">
      <c r="A192" s="1"/>
      <c r="B192" s="1"/>
      <c r="C192" s="1"/>
      <c r="D192" s="1"/>
      <c r="E192" s="1"/>
      <c r="F192" s="1"/>
      <c r="G192" s="2"/>
    </row>
    <row r="193" ht="15.75" customHeight="1">
      <c r="A193" s="1"/>
      <c r="B193" s="1"/>
      <c r="C193" s="1"/>
      <c r="D193" s="1"/>
      <c r="E193" s="1"/>
      <c r="F193" s="1"/>
      <c r="G193" s="2"/>
    </row>
    <row r="194" ht="15.75" customHeight="1">
      <c r="A194" s="1"/>
      <c r="B194" s="1"/>
      <c r="C194" s="1"/>
      <c r="D194" s="1"/>
      <c r="E194" s="1"/>
      <c r="F194" s="1"/>
      <c r="G194" s="2"/>
    </row>
    <row r="195" ht="15.75" customHeight="1">
      <c r="A195" s="1"/>
      <c r="B195" s="1"/>
      <c r="C195" s="1"/>
      <c r="D195" s="1"/>
      <c r="E195" s="1"/>
      <c r="F195" s="1"/>
      <c r="G195" s="2"/>
    </row>
    <row r="196" ht="15.75" customHeight="1">
      <c r="A196" s="1"/>
      <c r="B196" s="1"/>
      <c r="C196" s="1"/>
      <c r="D196" s="1"/>
      <c r="E196" s="1"/>
      <c r="F196" s="1"/>
      <c r="G196" s="2"/>
    </row>
    <row r="197" ht="15.75" customHeight="1">
      <c r="A197" s="1"/>
      <c r="B197" s="1"/>
      <c r="C197" s="1"/>
      <c r="D197" s="1"/>
      <c r="E197" s="1"/>
      <c r="F197" s="1"/>
      <c r="G197" s="2"/>
    </row>
    <row r="198" ht="15.75" customHeight="1">
      <c r="A198" s="1"/>
      <c r="B198" s="1"/>
      <c r="C198" s="1"/>
      <c r="D198" s="1"/>
      <c r="E198" s="1"/>
      <c r="F198" s="1"/>
      <c r="G198" s="2"/>
    </row>
    <row r="199" ht="15.75" customHeight="1">
      <c r="A199" s="1"/>
      <c r="B199" s="1"/>
      <c r="C199" s="1"/>
      <c r="D199" s="1"/>
      <c r="E199" s="1"/>
      <c r="F199" s="1"/>
      <c r="G199" s="2"/>
    </row>
    <row r="200" ht="15.75" customHeight="1">
      <c r="A200" s="1"/>
      <c r="B200" s="1"/>
      <c r="C200" s="1"/>
      <c r="D200" s="1"/>
      <c r="E200" s="1"/>
      <c r="F200" s="1"/>
      <c r="G200" s="2"/>
    </row>
    <row r="201" ht="15.75" customHeight="1">
      <c r="A201" s="1"/>
      <c r="B201" s="1"/>
      <c r="C201" s="1"/>
      <c r="D201" s="1"/>
      <c r="E201" s="1"/>
      <c r="F201" s="1"/>
      <c r="G201" s="2"/>
    </row>
    <row r="202" ht="15.75" customHeight="1">
      <c r="A202" s="1"/>
      <c r="B202" s="1"/>
      <c r="C202" s="1"/>
      <c r="D202" s="1"/>
      <c r="E202" s="1"/>
      <c r="F202" s="1"/>
      <c r="G202" s="2"/>
    </row>
    <row r="203" ht="15.75" customHeight="1">
      <c r="A203" s="1"/>
      <c r="B203" s="1"/>
      <c r="C203" s="1"/>
      <c r="D203" s="1"/>
      <c r="E203" s="1"/>
      <c r="F203" s="1"/>
      <c r="G203" s="2"/>
    </row>
    <row r="204" ht="15.75" customHeight="1">
      <c r="A204" s="1"/>
      <c r="B204" s="1"/>
      <c r="C204" s="1"/>
      <c r="D204" s="1"/>
      <c r="E204" s="1"/>
      <c r="F204" s="1"/>
      <c r="G204" s="2"/>
    </row>
    <row r="205" ht="15.75" customHeight="1">
      <c r="A205" s="1"/>
      <c r="B205" s="1"/>
      <c r="C205" s="1"/>
      <c r="D205" s="1"/>
      <c r="E205" s="1"/>
      <c r="F205" s="1"/>
      <c r="G205" s="2"/>
    </row>
    <row r="206" ht="15.75" customHeight="1">
      <c r="A206" s="1"/>
      <c r="B206" s="1"/>
      <c r="C206" s="1"/>
      <c r="D206" s="1"/>
      <c r="E206" s="1"/>
      <c r="F206" s="1"/>
      <c r="G206" s="2"/>
    </row>
    <row r="207" ht="15.75" customHeight="1">
      <c r="A207" s="1"/>
      <c r="B207" s="1"/>
      <c r="C207" s="1"/>
      <c r="D207" s="1"/>
      <c r="E207" s="1"/>
      <c r="F207" s="1"/>
      <c r="G207" s="2"/>
    </row>
    <row r="208" ht="15.75" customHeight="1">
      <c r="A208" s="1"/>
      <c r="B208" s="1"/>
      <c r="C208" s="1"/>
      <c r="D208" s="1"/>
      <c r="E208" s="1"/>
      <c r="F208" s="1"/>
      <c r="G208" s="2"/>
    </row>
    <row r="209" ht="15.75" customHeight="1">
      <c r="A209" s="1"/>
      <c r="B209" s="1"/>
      <c r="C209" s="1"/>
      <c r="D209" s="1"/>
      <c r="E209" s="1"/>
      <c r="F209" s="1"/>
      <c r="G209" s="2"/>
    </row>
    <row r="210" ht="15.75" customHeight="1">
      <c r="A210" s="1"/>
      <c r="B210" s="1"/>
      <c r="C210" s="1"/>
      <c r="D210" s="1"/>
      <c r="E210" s="1"/>
      <c r="F210" s="1"/>
      <c r="G210" s="2"/>
    </row>
    <row r="211" ht="15.75" customHeight="1">
      <c r="A211" s="1"/>
      <c r="B211" s="1"/>
      <c r="C211" s="1"/>
      <c r="D211" s="1"/>
      <c r="E211" s="1"/>
      <c r="F211" s="1"/>
      <c r="G211" s="2"/>
    </row>
    <row r="212" ht="15.75" customHeight="1">
      <c r="A212" s="1"/>
      <c r="B212" s="1"/>
      <c r="C212" s="1"/>
      <c r="D212" s="1"/>
      <c r="E212" s="1"/>
      <c r="F212" s="1"/>
      <c r="G212" s="2"/>
    </row>
    <row r="213" ht="15.75" customHeight="1">
      <c r="A213" s="1"/>
      <c r="B213" s="1"/>
      <c r="C213" s="1"/>
      <c r="D213" s="1"/>
      <c r="E213" s="1"/>
      <c r="F213" s="1"/>
      <c r="G213" s="2"/>
    </row>
    <row r="214" ht="15.75" customHeight="1">
      <c r="A214" s="1"/>
      <c r="B214" s="1"/>
      <c r="C214" s="1"/>
      <c r="D214" s="1"/>
      <c r="E214" s="1"/>
      <c r="F214" s="1"/>
      <c r="G214" s="2"/>
    </row>
    <row r="215" ht="15.75" customHeight="1">
      <c r="A215" s="1"/>
      <c r="B215" s="1"/>
      <c r="C215" s="1"/>
      <c r="D215" s="1"/>
      <c r="E215" s="1"/>
      <c r="F215" s="1"/>
      <c r="G215" s="2"/>
    </row>
    <row r="216" ht="15.75" customHeight="1">
      <c r="A216" s="1"/>
      <c r="B216" s="1"/>
      <c r="C216" s="1"/>
      <c r="D216" s="1"/>
      <c r="E216" s="1"/>
      <c r="F216" s="1"/>
      <c r="G216" s="2"/>
    </row>
    <row r="217" ht="15.75" customHeight="1">
      <c r="A217" s="1"/>
      <c r="B217" s="1"/>
      <c r="C217" s="1"/>
      <c r="D217" s="1"/>
      <c r="E217" s="1"/>
      <c r="F217" s="1"/>
      <c r="G217" s="2"/>
    </row>
    <row r="218" ht="15.75" customHeight="1">
      <c r="A218" s="1"/>
      <c r="B218" s="1"/>
      <c r="C218" s="1"/>
      <c r="D218" s="1"/>
      <c r="E218" s="1"/>
      <c r="F218" s="1"/>
      <c r="G218" s="2"/>
    </row>
    <row r="219" ht="15.75" customHeight="1">
      <c r="A219" s="1"/>
      <c r="B219" s="1"/>
      <c r="C219" s="1"/>
      <c r="D219" s="1"/>
      <c r="E219" s="1"/>
      <c r="F219" s="1"/>
      <c r="G219" s="2"/>
    </row>
    <row r="220" ht="15.75" customHeight="1">
      <c r="A220" s="1"/>
      <c r="B220" s="1"/>
      <c r="C220" s="1"/>
      <c r="D220" s="1"/>
      <c r="E220" s="1"/>
      <c r="F220" s="1"/>
      <c r="G220" s="2"/>
    </row>
    <row r="221" ht="15.75" customHeight="1">
      <c r="A221" s="1"/>
      <c r="B221" s="1"/>
      <c r="C221" s="1"/>
      <c r="D221" s="1"/>
      <c r="E221" s="1"/>
      <c r="F221" s="1"/>
      <c r="G221" s="2"/>
    </row>
    <row r="222" ht="15.75" customHeight="1">
      <c r="A222" s="1"/>
      <c r="B222" s="1"/>
      <c r="C222" s="1"/>
      <c r="D222" s="1"/>
      <c r="E222" s="1"/>
      <c r="F222" s="1"/>
      <c r="G222" s="2"/>
    </row>
    <row r="223" ht="15.75" customHeight="1">
      <c r="A223" s="1"/>
      <c r="B223" s="1"/>
      <c r="C223" s="1"/>
      <c r="D223" s="1"/>
      <c r="E223" s="1"/>
      <c r="F223" s="1"/>
      <c r="G223" s="2"/>
    </row>
    <row r="224" ht="15.75" customHeight="1">
      <c r="A224" s="1"/>
      <c r="B224" s="1"/>
      <c r="C224" s="1"/>
      <c r="D224" s="1"/>
      <c r="E224" s="1"/>
      <c r="F224" s="1"/>
      <c r="G224" s="2"/>
    </row>
    <row r="225" ht="15.75" customHeight="1">
      <c r="A225" s="1"/>
      <c r="B225" s="1"/>
      <c r="C225" s="1"/>
      <c r="D225" s="1"/>
      <c r="E225" s="1"/>
      <c r="F225" s="1"/>
      <c r="G225" s="2"/>
    </row>
    <row r="226" ht="15.75" customHeight="1">
      <c r="A226" s="1"/>
      <c r="B226" s="1"/>
      <c r="C226" s="1"/>
      <c r="D226" s="1"/>
      <c r="E226" s="1"/>
      <c r="F226" s="1"/>
      <c r="G226" s="2"/>
    </row>
    <row r="227" ht="15.75" customHeight="1">
      <c r="A227" s="1"/>
      <c r="B227" s="1"/>
      <c r="C227" s="1"/>
      <c r="D227" s="1"/>
      <c r="E227" s="1"/>
      <c r="F227" s="1"/>
      <c r="G227" s="2"/>
    </row>
    <row r="228" ht="15.75" customHeight="1">
      <c r="A228" s="1"/>
      <c r="B228" s="1"/>
      <c r="C228" s="1"/>
      <c r="D228" s="1"/>
      <c r="E228" s="1"/>
      <c r="F228" s="1"/>
      <c r="G228" s="2"/>
    </row>
    <row r="229" ht="15.75" customHeight="1">
      <c r="A229" s="1"/>
      <c r="B229" s="1"/>
      <c r="C229" s="1"/>
      <c r="D229" s="1"/>
      <c r="E229" s="1"/>
      <c r="F229" s="1"/>
      <c r="G229" s="2"/>
    </row>
    <row r="230" ht="15.75" customHeight="1">
      <c r="A230" s="1"/>
      <c r="B230" s="1"/>
      <c r="C230" s="1"/>
      <c r="D230" s="1"/>
      <c r="E230" s="1"/>
      <c r="F230" s="1"/>
      <c r="G230" s="2"/>
    </row>
    <row r="231" ht="15.75" customHeight="1">
      <c r="A231" s="1"/>
      <c r="B231" s="1"/>
      <c r="C231" s="1"/>
      <c r="D231" s="1"/>
      <c r="E231" s="1"/>
      <c r="F231" s="1"/>
      <c r="G231" s="2"/>
    </row>
    <row r="232" ht="15.75" customHeight="1">
      <c r="A232" s="1"/>
      <c r="B232" s="1"/>
      <c r="C232" s="1"/>
      <c r="D232" s="1"/>
      <c r="E232" s="1"/>
      <c r="F232" s="1"/>
      <c r="G232" s="2"/>
    </row>
    <row r="233" ht="15.75" customHeight="1">
      <c r="A233" s="1"/>
      <c r="B233" s="1"/>
      <c r="C233" s="1"/>
      <c r="D233" s="1"/>
      <c r="E233" s="1"/>
      <c r="F233" s="1"/>
      <c r="G233" s="2"/>
    </row>
    <row r="234" ht="15.75" customHeight="1">
      <c r="A234" s="1"/>
      <c r="B234" s="1"/>
      <c r="C234" s="1"/>
      <c r="D234" s="1"/>
      <c r="E234" s="1"/>
      <c r="F234" s="1"/>
      <c r="G234" s="2"/>
    </row>
    <row r="235" ht="15.75" customHeight="1">
      <c r="A235" s="1"/>
      <c r="B235" s="1"/>
      <c r="C235" s="1"/>
      <c r="D235" s="1"/>
      <c r="E235" s="1"/>
      <c r="F235" s="1"/>
      <c r="G235" s="2"/>
    </row>
    <row r="236" ht="15.75" customHeight="1">
      <c r="A236" s="1"/>
      <c r="B236" s="1"/>
      <c r="C236" s="1"/>
      <c r="D236" s="1"/>
      <c r="E236" s="1"/>
      <c r="F236" s="1"/>
      <c r="G236" s="2"/>
    </row>
    <row r="237" ht="15.75" customHeight="1">
      <c r="A237" s="1"/>
      <c r="B237" s="1"/>
      <c r="C237" s="1"/>
      <c r="D237" s="1"/>
      <c r="E237" s="1"/>
      <c r="F237" s="1"/>
      <c r="G237" s="2"/>
    </row>
    <row r="238" ht="15.75" customHeight="1">
      <c r="A238" s="1"/>
      <c r="B238" s="1"/>
      <c r="C238" s="1"/>
      <c r="D238" s="1"/>
      <c r="E238" s="1"/>
      <c r="F238" s="1"/>
      <c r="G238" s="2"/>
    </row>
    <row r="239" ht="15.75" customHeight="1">
      <c r="A239" s="1"/>
      <c r="B239" s="1"/>
      <c r="C239" s="1"/>
      <c r="D239" s="1"/>
      <c r="E239" s="1"/>
      <c r="F239" s="1"/>
      <c r="G239" s="2"/>
    </row>
    <row r="240" ht="15.75" customHeight="1">
      <c r="A240" s="1"/>
      <c r="B240" s="1"/>
      <c r="C240" s="1"/>
      <c r="D240" s="1"/>
      <c r="E240" s="1"/>
      <c r="F240" s="1"/>
      <c r="G240" s="2"/>
    </row>
    <row r="241" ht="15.75" customHeight="1">
      <c r="A241" s="1"/>
      <c r="B241" s="1"/>
      <c r="C241" s="1"/>
      <c r="D241" s="1"/>
      <c r="E241" s="1"/>
      <c r="F241" s="1"/>
      <c r="G241" s="2"/>
    </row>
    <row r="242" ht="15.75" customHeight="1">
      <c r="A242" s="1"/>
      <c r="B242" s="1"/>
      <c r="C242" s="1"/>
      <c r="D242" s="1"/>
      <c r="E242" s="1"/>
      <c r="F242" s="1"/>
      <c r="G242" s="2"/>
    </row>
    <row r="243" ht="15.75" customHeight="1">
      <c r="A243" s="1"/>
      <c r="B243" s="1"/>
      <c r="C243" s="1"/>
      <c r="D243" s="1"/>
      <c r="E243" s="1"/>
      <c r="F243" s="1"/>
      <c r="G243" s="2"/>
    </row>
    <row r="244" ht="15.75" customHeight="1">
      <c r="A244" s="1"/>
      <c r="B244" s="1"/>
      <c r="C244" s="1"/>
      <c r="D244" s="1"/>
      <c r="E244" s="1"/>
      <c r="F244" s="1"/>
      <c r="G244" s="2"/>
    </row>
    <row r="245" ht="15.75" customHeight="1">
      <c r="A245" s="1"/>
      <c r="B245" s="1"/>
      <c r="C245" s="1"/>
      <c r="D245" s="1"/>
      <c r="E245" s="1"/>
      <c r="F245" s="1"/>
      <c r="G245" s="2"/>
    </row>
    <row r="246" ht="15.75" customHeight="1">
      <c r="A246" s="1"/>
      <c r="B246" s="1"/>
      <c r="C246" s="1"/>
      <c r="D246" s="1"/>
      <c r="E246" s="1"/>
      <c r="F246" s="1"/>
      <c r="G246" s="2"/>
    </row>
    <row r="247" ht="15.75" customHeight="1">
      <c r="A247" s="1"/>
      <c r="B247" s="1"/>
      <c r="C247" s="1"/>
      <c r="D247" s="1"/>
      <c r="E247" s="1"/>
      <c r="F247" s="1"/>
      <c r="G247" s="2"/>
    </row>
    <row r="248" ht="15.75" customHeight="1">
      <c r="A248" s="1"/>
      <c r="B248" s="1"/>
      <c r="C248" s="1"/>
      <c r="D248" s="1"/>
      <c r="E248" s="1"/>
      <c r="F248" s="1"/>
      <c r="G248" s="2"/>
    </row>
    <row r="249" ht="15.75" customHeight="1">
      <c r="A249" s="1"/>
      <c r="B249" s="1"/>
      <c r="C249" s="1"/>
      <c r="D249" s="1"/>
      <c r="E249" s="1"/>
      <c r="F249" s="1"/>
      <c r="G249" s="2"/>
    </row>
    <row r="250" ht="15.75" customHeight="1">
      <c r="A250" s="1"/>
      <c r="B250" s="1"/>
      <c r="C250" s="1"/>
      <c r="D250" s="1"/>
      <c r="E250" s="1"/>
      <c r="F250" s="1"/>
      <c r="G250" s="2"/>
    </row>
    <row r="251" ht="15.75" customHeight="1">
      <c r="A251" s="1"/>
      <c r="B251" s="1"/>
      <c r="C251" s="1"/>
      <c r="D251" s="1"/>
      <c r="E251" s="1"/>
      <c r="F251" s="1"/>
      <c r="G251" s="2"/>
    </row>
    <row r="252" ht="15.75" customHeight="1">
      <c r="A252" s="1"/>
      <c r="B252" s="1"/>
      <c r="C252" s="1"/>
      <c r="D252" s="1"/>
      <c r="E252" s="1"/>
      <c r="F252" s="1"/>
      <c r="G252" s="2"/>
    </row>
    <row r="253" ht="15.75" customHeight="1">
      <c r="A253" s="1"/>
      <c r="B253" s="1"/>
      <c r="C253" s="1"/>
      <c r="D253" s="1"/>
      <c r="E253" s="1"/>
      <c r="F253" s="1"/>
      <c r="G253" s="2"/>
    </row>
    <row r="254" ht="15.75" customHeight="1">
      <c r="A254" s="1"/>
      <c r="B254" s="1"/>
      <c r="C254" s="1"/>
      <c r="D254" s="1"/>
      <c r="E254" s="1"/>
      <c r="F254" s="1"/>
      <c r="G254" s="2"/>
    </row>
    <row r="255" ht="15.75" customHeight="1">
      <c r="A255" s="1"/>
      <c r="B255" s="1"/>
      <c r="C255" s="1"/>
      <c r="D255" s="1"/>
      <c r="E255" s="1"/>
      <c r="F255" s="1"/>
      <c r="G255" s="2"/>
    </row>
    <row r="256" ht="15.75" customHeight="1">
      <c r="A256" s="1"/>
      <c r="B256" s="1"/>
      <c r="C256" s="1"/>
      <c r="D256" s="1"/>
      <c r="E256" s="1"/>
      <c r="F256" s="1"/>
      <c r="G256" s="2"/>
    </row>
    <row r="257" ht="15.75" customHeight="1">
      <c r="A257" s="1"/>
      <c r="B257" s="1"/>
      <c r="C257" s="1"/>
      <c r="D257" s="1"/>
      <c r="E257" s="1"/>
      <c r="F257" s="1"/>
      <c r="G257" s="2"/>
    </row>
    <row r="258" ht="15.75" customHeight="1">
      <c r="A258" s="1"/>
      <c r="B258" s="1"/>
      <c r="C258" s="1"/>
      <c r="D258" s="1"/>
      <c r="E258" s="1"/>
      <c r="F258" s="1"/>
      <c r="G258" s="2"/>
    </row>
    <row r="259" ht="15.75" customHeight="1">
      <c r="A259" s="1"/>
      <c r="B259" s="1"/>
      <c r="C259" s="1"/>
      <c r="D259" s="1"/>
      <c r="E259" s="1"/>
      <c r="F259" s="1"/>
      <c r="G259" s="2"/>
    </row>
    <row r="260" ht="15.75" customHeight="1">
      <c r="A260" s="1"/>
      <c r="B260" s="1"/>
      <c r="C260" s="1"/>
      <c r="D260" s="1"/>
      <c r="E260" s="1"/>
      <c r="F260" s="1"/>
      <c r="G260" s="2"/>
    </row>
    <row r="261" ht="15.75" customHeight="1">
      <c r="A261" s="1"/>
      <c r="B261" s="1"/>
      <c r="C261" s="1"/>
      <c r="D261" s="1"/>
      <c r="E261" s="1"/>
      <c r="F261" s="1"/>
      <c r="G261" s="2"/>
    </row>
    <row r="262" ht="15.75" customHeight="1">
      <c r="A262" s="1"/>
      <c r="B262" s="1"/>
      <c r="C262" s="1"/>
      <c r="D262" s="1"/>
      <c r="E262" s="1"/>
      <c r="F262" s="1"/>
      <c r="G262" s="2"/>
    </row>
    <row r="263" ht="15.75" customHeight="1">
      <c r="A263" s="1"/>
      <c r="B263" s="1"/>
      <c r="C263" s="1"/>
      <c r="D263" s="1"/>
      <c r="E263" s="1"/>
      <c r="F263" s="1"/>
      <c r="G263" s="2"/>
    </row>
    <row r="264" ht="15.75" customHeight="1">
      <c r="A264" s="1"/>
      <c r="B264" s="1"/>
      <c r="C264" s="1"/>
      <c r="D264" s="1"/>
      <c r="E264" s="1"/>
      <c r="F264" s="1"/>
      <c r="G264" s="2"/>
    </row>
    <row r="265" ht="15.75" customHeight="1">
      <c r="A265" s="1"/>
      <c r="B265" s="1"/>
      <c r="C265" s="1"/>
      <c r="D265" s="1"/>
      <c r="E265" s="1"/>
      <c r="F265" s="1"/>
      <c r="G265" s="2"/>
    </row>
    <row r="266" ht="15.75" customHeight="1">
      <c r="A266" s="1"/>
      <c r="B266" s="1"/>
      <c r="C266" s="1"/>
      <c r="D266" s="1"/>
      <c r="E266" s="1"/>
      <c r="F266" s="1"/>
      <c r="G266" s="2"/>
    </row>
    <row r="267" ht="15.75" customHeight="1">
      <c r="A267" s="1"/>
      <c r="B267" s="1"/>
      <c r="C267" s="1"/>
      <c r="D267" s="1"/>
      <c r="E267" s="1"/>
      <c r="F267" s="1"/>
      <c r="G267" s="2"/>
    </row>
    <row r="268" ht="15.75" customHeight="1">
      <c r="A268" s="1"/>
      <c r="B268" s="1"/>
      <c r="C268" s="1"/>
      <c r="D268" s="1"/>
      <c r="E268" s="1"/>
      <c r="F268" s="1"/>
      <c r="G268" s="2"/>
    </row>
    <row r="269" ht="15.75" customHeight="1">
      <c r="A269" s="1"/>
      <c r="B269" s="1"/>
      <c r="C269" s="1"/>
      <c r="D269" s="1"/>
      <c r="E269" s="1"/>
      <c r="F269" s="1"/>
      <c r="G269" s="2"/>
    </row>
    <row r="270" ht="15.75" customHeight="1">
      <c r="A270" s="1"/>
      <c r="B270" s="1"/>
      <c r="C270" s="1"/>
      <c r="D270" s="1"/>
      <c r="E270" s="1"/>
      <c r="F270" s="1"/>
      <c r="G270" s="2"/>
    </row>
    <row r="271" ht="15.75" customHeight="1">
      <c r="A271" s="1"/>
      <c r="B271" s="1"/>
      <c r="C271" s="1"/>
      <c r="D271" s="1"/>
      <c r="E271" s="1"/>
      <c r="F271" s="1"/>
      <c r="G271" s="2"/>
    </row>
    <row r="272" ht="15.75" customHeight="1">
      <c r="A272" s="1"/>
      <c r="B272" s="1"/>
      <c r="C272" s="1"/>
      <c r="D272" s="1"/>
      <c r="E272" s="1"/>
      <c r="F272" s="1"/>
      <c r="G272" s="2"/>
    </row>
    <row r="273" ht="15.75" customHeight="1">
      <c r="A273" s="1"/>
      <c r="B273" s="1"/>
      <c r="C273" s="1"/>
      <c r="D273" s="1"/>
      <c r="E273" s="1"/>
      <c r="F273" s="1"/>
      <c r="G273" s="2"/>
    </row>
    <row r="274" ht="15.75" customHeight="1">
      <c r="A274" s="1"/>
      <c r="B274" s="1"/>
      <c r="C274" s="1"/>
      <c r="D274" s="1"/>
      <c r="E274" s="1"/>
      <c r="F274" s="1"/>
      <c r="G274" s="2"/>
    </row>
    <row r="275" ht="15.75" customHeight="1">
      <c r="A275" s="1"/>
      <c r="B275" s="1"/>
      <c r="C275" s="1"/>
      <c r="D275" s="1"/>
      <c r="E275" s="1"/>
      <c r="F275" s="1"/>
      <c r="G275" s="2"/>
    </row>
    <row r="276" ht="15.75" customHeight="1">
      <c r="A276" s="1"/>
      <c r="B276" s="1"/>
      <c r="C276" s="1"/>
      <c r="D276" s="1"/>
      <c r="E276" s="1"/>
      <c r="F276" s="1"/>
      <c r="G276" s="2"/>
    </row>
    <row r="277" ht="15.75" customHeight="1">
      <c r="A277" s="1"/>
      <c r="B277" s="1"/>
      <c r="C277" s="1"/>
      <c r="D277" s="1"/>
      <c r="E277" s="1"/>
      <c r="F277" s="1"/>
      <c r="G277" s="2"/>
    </row>
    <row r="278" ht="15.75" customHeight="1">
      <c r="A278" s="1"/>
      <c r="B278" s="1"/>
      <c r="C278" s="1"/>
      <c r="D278" s="1"/>
      <c r="E278" s="1"/>
      <c r="F278" s="1"/>
      <c r="G278" s="2"/>
    </row>
    <row r="279" ht="15.75" customHeight="1">
      <c r="A279" s="1"/>
      <c r="B279" s="1"/>
      <c r="C279" s="1"/>
      <c r="D279" s="1"/>
      <c r="E279" s="1"/>
      <c r="F279" s="1"/>
      <c r="G279" s="2"/>
    </row>
    <row r="280" ht="15.75" customHeight="1">
      <c r="A280" s="1"/>
      <c r="B280" s="1"/>
      <c r="C280" s="1"/>
      <c r="D280" s="1"/>
      <c r="E280" s="1"/>
      <c r="F280" s="1"/>
      <c r="G280" s="2"/>
    </row>
    <row r="281" ht="15.75" customHeight="1">
      <c r="A281" s="1"/>
      <c r="B281" s="1"/>
      <c r="C281" s="1"/>
      <c r="D281" s="1"/>
      <c r="E281" s="1"/>
      <c r="F281" s="1"/>
      <c r="G281" s="2"/>
    </row>
    <row r="282" ht="15.75" customHeight="1">
      <c r="A282" s="1"/>
      <c r="B282" s="1"/>
      <c r="C282" s="1"/>
      <c r="D282" s="1"/>
      <c r="E282" s="1"/>
      <c r="F282" s="1"/>
      <c r="G282" s="2"/>
    </row>
    <row r="283" ht="15.75" customHeight="1">
      <c r="A283" s="1"/>
      <c r="B283" s="1"/>
      <c r="C283" s="1"/>
      <c r="D283" s="1"/>
      <c r="E283" s="1"/>
      <c r="F283" s="1"/>
      <c r="G283" s="2"/>
    </row>
    <row r="284" ht="15.75" customHeight="1">
      <c r="A284" s="1"/>
      <c r="B284" s="1"/>
      <c r="C284" s="1"/>
      <c r="D284" s="1"/>
      <c r="E284" s="1"/>
      <c r="F284" s="1"/>
      <c r="G284" s="2"/>
    </row>
    <row r="285" ht="15.75" customHeight="1">
      <c r="A285" s="1"/>
      <c r="B285" s="1"/>
      <c r="C285" s="1"/>
      <c r="D285" s="1"/>
      <c r="E285" s="1"/>
      <c r="F285" s="1"/>
      <c r="G285" s="2"/>
    </row>
    <row r="286" ht="15.75" customHeight="1">
      <c r="A286" s="1"/>
      <c r="B286" s="1"/>
      <c r="C286" s="1"/>
      <c r="D286" s="1"/>
      <c r="E286" s="1"/>
      <c r="F286" s="1"/>
      <c r="G286" s="2"/>
    </row>
    <row r="287" ht="15.75" customHeight="1">
      <c r="A287" s="1"/>
      <c r="B287" s="1"/>
      <c r="C287" s="1"/>
      <c r="D287" s="1"/>
      <c r="E287" s="1"/>
      <c r="F287" s="1"/>
      <c r="G287" s="2"/>
    </row>
    <row r="288" ht="15.75" customHeight="1">
      <c r="A288" s="1"/>
      <c r="B288" s="1"/>
      <c r="C288" s="1"/>
      <c r="D288" s="1"/>
      <c r="E288" s="1"/>
      <c r="F288" s="1"/>
      <c r="G288" s="2"/>
    </row>
    <row r="289" ht="15.75" customHeight="1">
      <c r="A289" s="1"/>
      <c r="B289" s="1"/>
      <c r="C289" s="1"/>
      <c r="D289" s="1"/>
      <c r="E289" s="1"/>
      <c r="F289" s="1"/>
      <c r="G289" s="2"/>
    </row>
    <row r="290" ht="15.75" customHeight="1">
      <c r="A290" s="1"/>
      <c r="B290" s="1"/>
      <c r="C290" s="1"/>
      <c r="D290" s="1"/>
      <c r="E290" s="1"/>
      <c r="F290" s="1"/>
      <c r="G290" s="2"/>
    </row>
    <row r="291" ht="15.75" customHeight="1">
      <c r="A291" s="1"/>
      <c r="B291" s="1"/>
      <c r="C291" s="1"/>
      <c r="D291" s="1"/>
      <c r="E291" s="1"/>
      <c r="F291" s="1"/>
      <c r="G291" s="2"/>
    </row>
    <row r="292" ht="15.75" customHeight="1">
      <c r="A292" s="1"/>
      <c r="B292" s="1"/>
      <c r="C292" s="1"/>
      <c r="D292" s="1"/>
      <c r="E292" s="1"/>
      <c r="F292" s="1"/>
      <c r="G292" s="2"/>
    </row>
    <row r="293" ht="15.75" customHeight="1">
      <c r="A293" s="1"/>
      <c r="B293" s="1"/>
      <c r="C293" s="1"/>
      <c r="D293" s="1"/>
      <c r="E293" s="1"/>
      <c r="F293" s="1"/>
      <c r="G293" s="2"/>
    </row>
    <row r="294" ht="15.75" customHeight="1">
      <c r="A294" s="1"/>
      <c r="B294" s="1"/>
      <c r="C294" s="1"/>
      <c r="D294" s="1"/>
      <c r="E294" s="1"/>
      <c r="F294" s="1"/>
      <c r="G294" s="2"/>
    </row>
    <row r="295" ht="15.75" customHeight="1">
      <c r="A295" s="1"/>
      <c r="B295" s="1"/>
      <c r="C295" s="1"/>
      <c r="D295" s="1"/>
      <c r="E295" s="1"/>
      <c r="F295" s="1"/>
      <c r="G295" s="2"/>
    </row>
    <row r="296" ht="15.75" customHeight="1">
      <c r="A296" s="1"/>
      <c r="B296" s="1"/>
      <c r="C296" s="1"/>
      <c r="D296" s="1"/>
      <c r="E296" s="1"/>
      <c r="F296" s="1"/>
      <c r="G296" s="2"/>
    </row>
    <row r="297" ht="15.75" customHeight="1">
      <c r="A297" s="1"/>
      <c r="B297" s="1"/>
      <c r="C297" s="1"/>
      <c r="D297" s="1"/>
      <c r="E297" s="1"/>
      <c r="F297" s="1"/>
      <c r="G297" s="2"/>
    </row>
    <row r="298" ht="15.75" customHeight="1">
      <c r="A298" s="1"/>
      <c r="B298" s="1"/>
      <c r="C298" s="1"/>
      <c r="D298" s="1"/>
      <c r="E298" s="1"/>
      <c r="F298" s="1"/>
      <c r="G298" s="2"/>
    </row>
    <row r="299" ht="15.75" customHeight="1">
      <c r="A299" s="1"/>
      <c r="B299" s="1"/>
      <c r="C299" s="1"/>
      <c r="D299" s="1"/>
      <c r="E299" s="1"/>
      <c r="F299" s="1"/>
      <c r="G299" s="2"/>
    </row>
    <row r="300" ht="15.75" customHeight="1">
      <c r="A300" s="1"/>
      <c r="B300" s="1"/>
      <c r="C300" s="1"/>
      <c r="D300" s="1"/>
      <c r="E300" s="1"/>
      <c r="F300" s="1"/>
      <c r="G300" s="2"/>
    </row>
    <row r="301" ht="15.75" customHeight="1">
      <c r="A301" s="1"/>
      <c r="B301" s="1"/>
      <c r="C301" s="1"/>
      <c r="D301" s="1"/>
      <c r="E301" s="1"/>
      <c r="F301" s="1"/>
      <c r="G301" s="2"/>
    </row>
    <row r="302" ht="15.75" customHeight="1">
      <c r="A302" s="1"/>
      <c r="B302" s="1"/>
      <c r="C302" s="1"/>
      <c r="D302" s="1"/>
      <c r="E302" s="1"/>
      <c r="F302" s="1"/>
      <c r="G302" s="2"/>
    </row>
    <row r="303" ht="15.75" customHeight="1">
      <c r="A303" s="1"/>
      <c r="B303" s="1"/>
      <c r="C303" s="1"/>
      <c r="D303" s="1"/>
      <c r="E303" s="1"/>
      <c r="F303" s="1"/>
      <c r="G303" s="2"/>
    </row>
    <row r="304" ht="15.75" customHeight="1">
      <c r="A304" s="1"/>
      <c r="B304" s="1"/>
      <c r="C304" s="1"/>
      <c r="D304" s="1"/>
      <c r="E304" s="1"/>
      <c r="F304" s="1"/>
      <c r="G304" s="2"/>
    </row>
    <row r="305" ht="15.75" customHeight="1">
      <c r="A305" s="1"/>
      <c r="B305" s="1"/>
      <c r="C305" s="1"/>
      <c r="D305" s="1"/>
      <c r="E305" s="1"/>
      <c r="F305" s="1"/>
      <c r="G305" s="2"/>
    </row>
    <row r="306" ht="15.75" customHeight="1">
      <c r="A306" s="1"/>
      <c r="B306" s="1"/>
      <c r="C306" s="1"/>
      <c r="D306" s="1"/>
      <c r="E306" s="1"/>
      <c r="F306" s="1"/>
      <c r="G306" s="2"/>
    </row>
    <row r="307" ht="15.75" customHeight="1">
      <c r="A307" s="1"/>
      <c r="B307" s="1"/>
      <c r="C307" s="1"/>
      <c r="D307" s="1"/>
      <c r="E307" s="1"/>
      <c r="F307" s="1"/>
      <c r="G307" s="2"/>
    </row>
    <row r="308" ht="15.75" customHeight="1">
      <c r="A308" s="1"/>
      <c r="B308" s="1"/>
      <c r="C308" s="1"/>
      <c r="D308" s="1"/>
      <c r="E308" s="1"/>
      <c r="F308" s="1"/>
      <c r="G308" s="2"/>
    </row>
    <row r="309" ht="15.75" customHeight="1">
      <c r="A309" s="1"/>
      <c r="B309" s="1"/>
      <c r="C309" s="1"/>
      <c r="D309" s="1"/>
      <c r="E309" s="1"/>
      <c r="F309" s="1"/>
      <c r="G309" s="2"/>
    </row>
    <row r="310" ht="15.75" customHeight="1">
      <c r="A310" s="1"/>
      <c r="B310" s="1"/>
      <c r="C310" s="1"/>
      <c r="D310" s="1"/>
      <c r="E310" s="1"/>
      <c r="F310" s="1"/>
      <c r="G310" s="2"/>
    </row>
    <row r="311" ht="15.75" customHeight="1">
      <c r="A311" s="1"/>
      <c r="B311" s="1"/>
      <c r="C311" s="1"/>
      <c r="D311" s="1"/>
      <c r="E311" s="1"/>
      <c r="F311" s="1"/>
      <c r="G311" s="2"/>
    </row>
    <row r="312" ht="15.75" customHeight="1">
      <c r="A312" s="1"/>
      <c r="B312" s="1"/>
      <c r="C312" s="1"/>
      <c r="D312" s="1"/>
      <c r="E312" s="1"/>
      <c r="F312" s="1"/>
      <c r="G312" s="2"/>
    </row>
    <row r="313" ht="15.75" customHeight="1">
      <c r="A313" s="1"/>
      <c r="B313" s="1"/>
      <c r="C313" s="1"/>
      <c r="D313" s="1"/>
      <c r="E313" s="1"/>
      <c r="F313" s="1"/>
      <c r="G313" s="2"/>
    </row>
    <row r="314" ht="15.75" customHeight="1">
      <c r="A314" s="1"/>
      <c r="B314" s="1"/>
      <c r="C314" s="1"/>
      <c r="D314" s="1"/>
      <c r="E314" s="1"/>
      <c r="F314" s="1"/>
      <c r="G314" s="2"/>
    </row>
    <row r="315" ht="15.75" customHeight="1">
      <c r="A315" s="1"/>
      <c r="B315" s="1"/>
      <c r="C315" s="1"/>
      <c r="D315" s="1"/>
      <c r="E315" s="1"/>
      <c r="F315" s="1"/>
      <c r="G315" s="2"/>
    </row>
    <row r="316" ht="15.75" customHeight="1">
      <c r="A316" s="1"/>
      <c r="B316" s="1"/>
      <c r="C316" s="1"/>
      <c r="D316" s="1"/>
      <c r="E316" s="1"/>
      <c r="F316" s="1"/>
      <c r="G316" s="2"/>
    </row>
    <row r="317" ht="15.75" customHeight="1">
      <c r="A317" s="1"/>
      <c r="B317" s="1"/>
      <c r="C317" s="1"/>
      <c r="D317" s="1"/>
      <c r="E317" s="1"/>
      <c r="F317" s="1"/>
      <c r="G317" s="2"/>
    </row>
    <row r="318" ht="15.75" customHeight="1">
      <c r="A318" s="1"/>
      <c r="B318" s="1"/>
      <c r="C318" s="1"/>
      <c r="D318" s="1"/>
      <c r="E318" s="1"/>
      <c r="F318" s="1"/>
      <c r="G318" s="2"/>
    </row>
    <row r="319" ht="15.75" customHeight="1">
      <c r="A319" s="1"/>
      <c r="B319" s="1"/>
      <c r="C319" s="1"/>
      <c r="D319" s="1"/>
      <c r="E319" s="1"/>
      <c r="F319" s="1"/>
      <c r="G319" s="2"/>
    </row>
    <row r="320" ht="15.75" customHeight="1">
      <c r="A320" s="1"/>
      <c r="B320" s="1"/>
      <c r="C320" s="1"/>
      <c r="D320" s="1"/>
      <c r="E320" s="1"/>
      <c r="F320" s="1"/>
      <c r="G320" s="2"/>
    </row>
    <row r="321" ht="15.75" customHeight="1">
      <c r="A321" s="1"/>
      <c r="B321" s="1"/>
      <c r="C321" s="1"/>
      <c r="D321" s="1"/>
      <c r="E321" s="1"/>
      <c r="F321" s="1"/>
      <c r="G321" s="2"/>
    </row>
    <row r="322" ht="15.75" customHeight="1">
      <c r="A322" s="1"/>
      <c r="B322" s="1"/>
      <c r="C322" s="1"/>
      <c r="D322" s="1"/>
      <c r="E322" s="1"/>
      <c r="F322" s="1"/>
      <c r="G322" s="2"/>
    </row>
    <row r="323" ht="15.75" customHeight="1">
      <c r="A323" s="1"/>
      <c r="B323" s="1"/>
      <c r="C323" s="1"/>
      <c r="D323" s="1"/>
      <c r="E323" s="1"/>
      <c r="F323" s="1"/>
      <c r="G323" s="2"/>
    </row>
    <row r="324" ht="15.75" customHeight="1">
      <c r="A324" s="1"/>
      <c r="B324" s="1"/>
      <c r="C324" s="1"/>
      <c r="D324" s="1"/>
      <c r="E324" s="1"/>
      <c r="F324" s="1"/>
      <c r="G324" s="2"/>
    </row>
    <row r="325" ht="15.75" customHeight="1">
      <c r="A325" s="1"/>
      <c r="B325" s="1"/>
      <c r="C325" s="1"/>
      <c r="D325" s="1"/>
      <c r="E325" s="1"/>
      <c r="F325" s="1"/>
      <c r="G325" s="2"/>
    </row>
    <row r="326" ht="15.75" customHeight="1">
      <c r="A326" s="1"/>
      <c r="B326" s="1"/>
      <c r="C326" s="1"/>
      <c r="D326" s="1"/>
      <c r="E326" s="1"/>
      <c r="F326" s="1"/>
      <c r="G326" s="2"/>
    </row>
    <row r="327" ht="15.75" customHeight="1">
      <c r="A327" s="1"/>
      <c r="B327" s="1"/>
      <c r="C327" s="1"/>
      <c r="D327" s="1"/>
      <c r="E327" s="1"/>
      <c r="F327" s="1"/>
      <c r="G327" s="2"/>
    </row>
    <row r="328" ht="15.75" customHeight="1">
      <c r="A328" s="1"/>
      <c r="B328" s="1"/>
      <c r="C328" s="1"/>
      <c r="D328" s="1"/>
      <c r="E328" s="1"/>
      <c r="F328" s="1"/>
      <c r="G328" s="2"/>
    </row>
    <row r="329" ht="15.75" customHeight="1">
      <c r="A329" s="1"/>
      <c r="B329" s="1"/>
      <c r="C329" s="1"/>
      <c r="D329" s="1"/>
      <c r="E329" s="1"/>
      <c r="F329" s="1"/>
      <c r="G329" s="2"/>
    </row>
    <row r="330" ht="15.75" customHeight="1">
      <c r="A330" s="1"/>
      <c r="B330" s="1"/>
      <c r="C330" s="1"/>
      <c r="D330" s="1"/>
      <c r="E330" s="1"/>
      <c r="F330" s="1"/>
      <c r="G330" s="2"/>
    </row>
    <row r="331" ht="15.75" customHeight="1">
      <c r="A331" s="1"/>
      <c r="B331" s="1"/>
      <c r="C331" s="1"/>
      <c r="D331" s="1"/>
      <c r="E331" s="1"/>
      <c r="F331" s="1"/>
      <c r="G331" s="2"/>
    </row>
    <row r="332" ht="15.75" customHeight="1">
      <c r="A332" s="1"/>
      <c r="B332" s="1"/>
      <c r="C332" s="1"/>
      <c r="D332" s="1"/>
      <c r="E332" s="1"/>
      <c r="F332" s="1"/>
      <c r="G332" s="2"/>
    </row>
    <row r="333" ht="15.75" customHeight="1">
      <c r="A333" s="1"/>
      <c r="B333" s="1"/>
      <c r="C333" s="1"/>
      <c r="D333" s="1"/>
      <c r="E333" s="1"/>
      <c r="F333" s="1"/>
      <c r="G333" s="2"/>
    </row>
    <row r="334" ht="15.75" customHeight="1">
      <c r="A334" s="1"/>
      <c r="B334" s="1"/>
      <c r="C334" s="1"/>
      <c r="D334" s="1"/>
      <c r="E334" s="1"/>
      <c r="F334" s="1"/>
      <c r="G334" s="2"/>
    </row>
    <row r="335" ht="15.75" customHeight="1">
      <c r="A335" s="1"/>
      <c r="B335" s="1"/>
      <c r="C335" s="1"/>
      <c r="D335" s="1"/>
      <c r="E335" s="1"/>
      <c r="F335" s="1"/>
      <c r="G335" s="2"/>
    </row>
    <row r="336" ht="15.75" customHeight="1">
      <c r="A336" s="1"/>
      <c r="B336" s="1"/>
      <c r="C336" s="1"/>
      <c r="D336" s="1"/>
      <c r="E336" s="1"/>
      <c r="F336" s="1"/>
      <c r="G336" s="2"/>
    </row>
    <row r="337" ht="15.75" customHeight="1">
      <c r="A337" s="1"/>
      <c r="B337" s="1"/>
      <c r="C337" s="1"/>
      <c r="D337" s="1"/>
      <c r="E337" s="1"/>
      <c r="F337" s="1"/>
      <c r="G337" s="2"/>
    </row>
    <row r="338" ht="15.75" customHeight="1">
      <c r="A338" s="1"/>
      <c r="B338" s="1"/>
      <c r="C338" s="1"/>
      <c r="D338" s="1"/>
      <c r="E338" s="1"/>
      <c r="F338" s="1"/>
      <c r="G338" s="2"/>
    </row>
    <row r="339" ht="15.75" customHeight="1">
      <c r="A339" s="1"/>
      <c r="B339" s="1"/>
      <c r="C339" s="1"/>
      <c r="D339" s="1"/>
      <c r="E339" s="1"/>
      <c r="F339" s="1"/>
      <c r="G339" s="2"/>
    </row>
    <row r="340" ht="15.75" customHeight="1">
      <c r="A340" s="1"/>
      <c r="B340" s="1"/>
      <c r="C340" s="1"/>
      <c r="D340" s="1"/>
      <c r="E340" s="1"/>
      <c r="F340" s="1"/>
      <c r="G340" s="2"/>
    </row>
    <row r="341" ht="15.75" customHeight="1">
      <c r="A341" s="1"/>
      <c r="B341" s="1"/>
      <c r="C341" s="1"/>
      <c r="D341" s="1"/>
      <c r="E341" s="1"/>
      <c r="F341" s="1"/>
      <c r="G341" s="2"/>
    </row>
    <row r="342" ht="15.75" customHeight="1">
      <c r="A342" s="1"/>
      <c r="B342" s="1"/>
      <c r="C342" s="1"/>
      <c r="D342" s="1"/>
      <c r="E342" s="1"/>
      <c r="F342" s="1"/>
      <c r="G342" s="2"/>
    </row>
    <row r="343" ht="15.75" customHeight="1">
      <c r="A343" s="1"/>
      <c r="B343" s="1"/>
      <c r="C343" s="1"/>
      <c r="D343" s="1"/>
      <c r="E343" s="1"/>
      <c r="F343" s="1"/>
      <c r="G343" s="2"/>
    </row>
    <row r="344" ht="15.75" customHeight="1">
      <c r="A344" s="1"/>
      <c r="B344" s="1"/>
      <c r="C344" s="1"/>
      <c r="D344" s="1"/>
      <c r="E344" s="1"/>
      <c r="F344" s="1"/>
      <c r="G344" s="2"/>
    </row>
    <row r="345" ht="15.75" customHeight="1">
      <c r="A345" s="1"/>
      <c r="B345" s="1"/>
      <c r="C345" s="1"/>
      <c r="D345" s="1"/>
      <c r="E345" s="1"/>
      <c r="F345" s="1"/>
      <c r="G345" s="2"/>
    </row>
    <row r="346" ht="15.75" customHeight="1">
      <c r="A346" s="1"/>
      <c r="B346" s="1"/>
      <c r="C346" s="1"/>
      <c r="D346" s="1"/>
      <c r="E346" s="1"/>
      <c r="F346" s="1"/>
      <c r="G346" s="2"/>
    </row>
    <row r="347" ht="15.75" customHeight="1">
      <c r="A347" s="1"/>
      <c r="B347" s="1"/>
      <c r="C347" s="1"/>
      <c r="D347" s="1"/>
      <c r="E347" s="1"/>
      <c r="F347" s="1"/>
      <c r="G347" s="2"/>
    </row>
    <row r="348" ht="15.75" customHeight="1">
      <c r="A348" s="1"/>
      <c r="B348" s="1"/>
      <c r="C348" s="1"/>
      <c r="D348" s="1"/>
      <c r="E348" s="1"/>
      <c r="F348" s="1"/>
      <c r="G348" s="2"/>
    </row>
    <row r="349" ht="15.75" customHeight="1">
      <c r="A349" s="1"/>
      <c r="B349" s="1"/>
      <c r="C349" s="1"/>
      <c r="D349" s="1"/>
      <c r="E349" s="1"/>
      <c r="F349" s="1"/>
      <c r="G349" s="2"/>
    </row>
    <row r="350" ht="15.75" customHeight="1">
      <c r="A350" s="1"/>
      <c r="B350" s="1"/>
      <c r="C350" s="1"/>
      <c r="D350" s="1"/>
      <c r="E350" s="1"/>
      <c r="F350" s="1"/>
      <c r="G350" s="2"/>
    </row>
    <row r="351" ht="15.75" customHeight="1">
      <c r="A351" s="1"/>
      <c r="B351" s="1"/>
      <c r="C351" s="1"/>
      <c r="D351" s="1"/>
      <c r="E351" s="1"/>
      <c r="F351" s="1"/>
      <c r="G351" s="2"/>
    </row>
    <row r="352" ht="15.75" customHeight="1">
      <c r="A352" s="1"/>
      <c r="B352" s="1"/>
      <c r="C352" s="1"/>
      <c r="D352" s="1"/>
      <c r="E352" s="1"/>
      <c r="F352" s="1"/>
      <c r="G352" s="2"/>
    </row>
    <row r="353" ht="15.75" customHeight="1">
      <c r="A353" s="1"/>
      <c r="B353" s="1"/>
      <c r="C353" s="1"/>
      <c r="D353" s="1"/>
      <c r="E353" s="1"/>
      <c r="F353" s="1"/>
      <c r="G353" s="2"/>
    </row>
    <row r="354" ht="15.75" customHeight="1">
      <c r="A354" s="1"/>
      <c r="B354" s="1"/>
      <c r="C354" s="1"/>
      <c r="D354" s="1"/>
      <c r="E354" s="1"/>
      <c r="F354" s="1"/>
      <c r="G354" s="2"/>
    </row>
    <row r="355" ht="15.75" customHeight="1">
      <c r="A355" s="1"/>
      <c r="B355" s="1"/>
      <c r="C355" s="1"/>
      <c r="D355" s="1"/>
      <c r="E355" s="1"/>
      <c r="F355" s="1"/>
      <c r="G355" s="2"/>
    </row>
    <row r="356" ht="15.75" customHeight="1">
      <c r="A356" s="1"/>
      <c r="B356" s="1"/>
      <c r="C356" s="1"/>
      <c r="D356" s="1"/>
      <c r="E356" s="1"/>
      <c r="F356" s="1"/>
      <c r="G356" s="2"/>
    </row>
    <row r="357" ht="15.75" customHeight="1">
      <c r="A357" s="1"/>
      <c r="B357" s="1"/>
      <c r="C357" s="1"/>
      <c r="D357" s="1"/>
      <c r="E357" s="1"/>
      <c r="F357" s="1"/>
      <c r="G357" s="2"/>
    </row>
    <row r="358" ht="15.75" customHeight="1">
      <c r="A358" s="1"/>
      <c r="B358" s="1"/>
      <c r="C358" s="1"/>
      <c r="D358" s="1"/>
      <c r="E358" s="1"/>
      <c r="F358" s="1"/>
      <c r="G358" s="2"/>
    </row>
    <row r="359" ht="15.75" customHeight="1">
      <c r="A359" s="1"/>
      <c r="B359" s="1"/>
      <c r="C359" s="1"/>
      <c r="D359" s="1"/>
      <c r="E359" s="1"/>
      <c r="F359" s="1"/>
      <c r="G359" s="2"/>
    </row>
    <row r="360" ht="15.75" customHeight="1">
      <c r="A360" s="1"/>
      <c r="B360" s="1"/>
      <c r="C360" s="1"/>
      <c r="D360" s="1"/>
      <c r="E360" s="1"/>
      <c r="F360" s="1"/>
      <c r="G360" s="2"/>
    </row>
    <row r="361" ht="15.75" customHeight="1">
      <c r="A361" s="1"/>
      <c r="B361" s="1"/>
      <c r="C361" s="1"/>
      <c r="D361" s="1"/>
      <c r="E361" s="1"/>
      <c r="F361" s="1"/>
      <c r="G361" s="2"/>
    </row>
    <row r="362" ht="15.75" customHeight="1">
      <c r="A362" s="1"/>
      <c r="B362" s="1"/>
      <c r="C362" s="1"/>
      <c r="D362" s="1"/>
      <c r="E362" s="1"/>
      <c r="F362" s="1"/>
      <c r="G362" s="2"/>
    </row>
    <row r="363" ht="15.75" customHeight="1">
      <c r="A363" s="1"/>
      <c r="B363" s="1"/>
      <c r="C363" s="1"/>
      <c r="D363" s="1"/>
      <c r="E363" s="1"/>
      <c r="F363" s="1"/>
      <c r="G363" s="2"/>
    </row>
    <row r="364" ht="15.75" customHeight="1">
      <c r="A364" s="1"/>
      <c r="B364" s="1"/>
      <c r="C364" s="1"/>
      <c r="D364" s="1"/>
      <c r="E364" s="1"/>
      <c r="F364" s="1"/>
      <c r="G364" s="2"/>
    </row>
    <row r="365" ht="15.75" customHeight="1">
      <c r="A365" s="1"/>
      <c r="B365" s="1"/>
      <c r="C365" s="1"/>
      <c r="D365" s="1"/>
      <c r="E365" s="1"/>
      <c r="F365" s="1"/>
      <c r="G365" s="2"/>
    </row>
    <row r="366" ht="15.75" customHeight="1">
      <c r="A366" s="1"/>
      <c r="B366" s="1"/>
      <c r="C366" s="1"/>
      <c r="D366" s="1"/>
      <c r="E366" s="1"/>
      <c r="F366" s="1"/>
      <c r="G366" s="2"/>
    </row>
    <row r="367" ht="15.75" customHeight="1">
      <c r="A367" s="1"/>
      <c r="B367" s="1"/>
      <c r="C367" s="1"/>
      <c r="D367" s="1"/>
      <c r="E367" s="1"/>
      <c r="F367" s="1"/>
      <c r="G367" s="2"/>
    </row>
    <row r="368" ht="15.75" customHeight="1">
      <c r="A368" s="1"/>
      <c r="B368" s="1"/>
      <c r="C368" s="1"/>
      <c r="D368" s="1"/>
      <c r="E368" s="1"/>
      <c r="F368" s="1"/>
      <c r="G368" s="2"/>
    </row>
    <row r="369" ht="15.75" customHeight="1">
      <c r="A369" s="1"/>
      <c r="B369" s="1"/>
      <c r="C369" s="1"/>
      <c r="D369" s="1"/>
      <c r="E369" s="1"/>
      <c r="F369" s="1"/>
      <c r="G369" s="2"/>
    </row>
    <row r="370" ht="15.75" customHeight="1">
      <c r="A370" s="1"/>
      <c r="B370" s="1"/>
      <c r="C370" s="1"/>
      <c r="D370" s="1"/>
      <c r="E370" s="1"/>
      <c r="F370" s="1"/>
      <c r="G370" s="2"/>
    </row>
    <row r="371" ht="15.75" customHeight="1">
      <c r="A371" s="1"/>
      <c r="B371" s="1"/>
      <c r="C371" s="1"/>
      <c r="D371" s="1"/>
      <c r="E371" s="1"/>
      <c r="F371" s="1"/>
      <c r="G371" s="2"/>
    </row>
    <row r="372" ht="15.75" customHeight="1">
      <c r="A372" s="1"/>
      <c r="B372" s="1"/>
      <c r="C372" s="1"/>
      <c r="D372" s="1"/>
      <c r="E372" s="1"/>
      <c r="F372" s="1"/>
      <c r="G372" s="2"/>
    </row>
    <row r="373" ht="15.75" customHeight="1">
      <c r="A373" s="1"/>
      <c r="B373" s="1"/>
      <c r="C373" s="1"/>
      <c r="D373" s="1"/>
      <c r="E373" s="1"/>
      <c r="F373" s="1"/>
      <c r="G373" s="2"/>
    </row>
    <row r="374" ht="15.75" customHeight="1">
      <c r="A374" s="1"/>
      <c r="B374" s="1"/>
      <c r="C374" s="1"/>
      <c r="D374" s="1"/>
      <c r="E374" s="1"/>
      <c r="F374" s="1"/>
      <c r="G374" s="2"/>
    </row>
    <row r="375" ht="15.75" customHeight="1">
      <c r="A375" s="1"/>
      <c r="B375" s="1"/>
      <c r="C375" s="1"/>
      <c r="D375" s="1"/>
      <c r="E375" s="1"/>
      <c r="F375" s="1"/>
      <c r="G375" s="2"/>
    </row>
    <row r="376" ht="15.75" customHeight="1">
      <c r="A376" s="1"/>
      <c r="B376" s="1"/>
      <c r="C376" s="1"/>
      <c r="D376" s="1"/>
      <c r="E376" s="1"/>
      <c r="F376" s="1"/>
      <c r="G376" s="2"/>
    </row>
    <row r="377" ht="15.75" customHeight="1">
      <c r="A377" s="1"/>
      <c r="B377" s="1"/>
      <c r="C377" s="1"/>
      <c r="D377" s="1"/>
      <c r="E377" s="1"/>
      <c r="F377" s="1"/>
      <c r="G377" s="2"/>
    </row>
    <row r="378" ht="15.75" customHeight="1">
      <c r="A378" s="1"/>
      <c r="B378" s="1"/>
      <c r="C378" s="1"/>
      <c r="D378" s="1"/>
      <c r="E378" s="1"/>
      <c r="F378" s="1"/>
      <c r="G378" s="2"/>
    </row>
    <row r="379" ht="15.75" customHeight="1">
      <c r="A379" s="1"/>
      <c r="B379" s="1"/>
      <c r="C379" s="1"/>
      <c r="D379" s="1"/>
      <c r="E379" s="1"/>
      <c r="F379" s="1"/>
      <c r="G379" s="2"/>
    </row>
    <row r="380" ht="15.75" customHeight="1">
      <c r="A380" s="1"/>
      <c r="B380" s="1"/>
      <c r="C380" s="1"/>
      <c r="D380" s="1"/>
      <c r="E380" s="1"/>
      <c r="F380" s="1"/>
      <c r="G380" s="2"/>
    </row>
    <row r="381" ht="15.75" customHeight="1">
      <c r="A381" s="1"/>
      <c r="B381" s="1"/>
      <c r="C381" s="1"/>
      <c r="D381" s="1"/>
      <c r="E381" s="1"/>
      <c r="F381" s="1"/>
      <c r="G381" s="2"/>
    </row>
    <row r="382" ht="15.75" customHeight="1">
      <c r="A382" s="1"/>
      <c r="B382" s="1"/>
      <c r="C382" s="1"/>
      <c r="D382" s="1"/>
      <c r="E382" s="1"/>
      <c r="F382" s="1"/>
      <c r="G382" s="2"/>
    </row>
    <row r="383" ht="15.75" customHeight="1">
      <c r="A383" s="1"/>
      <c r="B383" s="1"/>
      <c r="C383" s="1"/>
      <c r="D383" s="1"/>
      <c r="E383" s="1"/>
      <c r="F383" s="1"/>
      <c r="G383" s="2"/>
    </row>
    <row r="384" ht="15.75" customHeight="1">
      <c r="A384" s="1"/>
      <c r="B384" s="1"/>
      <c r="C384" s="1"/>
      <c r="D384" s="1"/>
      <c r="E384" s="1"/>
      <c r="F384" s="1"/>
      <c r="G384" s="2"/>
    </row>
    <row r="385" ht="15.75" customHeight="1">
      <c r="A385" s="1"/>
      <c r="B385" s="1"/>
      <c r="C385" s="1"/>
      <c r="D385" s="1"/>
      <c r="E385" s="1"/>
      <c r="F385" s="1"/>
      <c r="G385" s="2"/>
    </row>
    <row r="386" ht="15.75" customHeight="1">
      <c r="A386" s="1"/>
      <c r="B386" s="1"/>
      <c r="C386" s="1"/>
      <c r="D386" s="1"/>
      <c r="E386" s="1"/>
      <c r="F386" s="1"/>
      <c r="G386" s="2"/>
    </row>
    <row r="387" ht="15.75" customHeight="1">
      <c r="A387" s="1"/>
      <c r="B387" s="1"/>
      <c r="C387" s="1"/>
      <c r="D387" s="1"/>
      <c r="E387" s="1"/>
      <c r="F387" s="1"/>
      <c r="G387" s="2"/>
    </row>
    <row r="388" ht="15.75" customHeight="1">
      <c r="A388" s="1"/>
      <c r="B388" s="1"/>
      <c r="C388" s="1"/>
      <c r="D388" s="1"/>
      <c r="E388" s="1"/>
      <c r="F388" s="1"/>
      <c r="G388" s="2"/>
    </row>
    <row r="389" ht="15.75" customHeight="1">
      <c r="A389" s="1"/>
      <c r="B389" s="1"/>
      <c r="C389" s="1"/>
      <c r="D389" s="1"/>
      <c r="E389" s="1"/>
      <c r="F389" s="1"/>
      <c r="G389" s="2"/>
    </row>
    <row r="390" ht="15.75" customHeight="1">
      <c r="A390" s="1"/>
      <c r="B390" s="1"/>
      <c r="C390" s="1"/>
      <c r="D390" s="1"/>
      <c r="E390" s="1"/>
      <c r="F390" s="1"/>
      <c r="G390" s="2"/>
    </row>
    <row r="391" ht="15.75" customHeight="1">
      <c r="A391" s="1"/>
      <c r="B391" s="1"/>
      <c r="C391" s="1"/>
      <c r="D391" s="1"/>
      <c r="E391" s="1"/>
      <c r="F391" s="1"/>
      <c r="G391" s="2"/>
    </row>
    <row r="392" ht="15.75" customHeight="1">
      <c r="A392" s="1"/>
      <c r="B392" s="1"/>
      <c r="C392" s="1"/>
      <c r="D392" s="1"/>
      <c r="E392" s="1"/>
      <c r="F392" s="1"/>
      <c r="G392" s="2"/>
    </row>
    <row r="393" ht="15.75" customHeight="1">
      <c r="A393" s="1"/>
      <c r="B393" s="1"/>
      <c r="C393" s="1"/>
      <c r="D393" s="1"/>
      <c r="E393" s="1"/>
      <c r="F393" s="1"/>
      <c r="G393" s="2"/>
    </row>
    <row r="394" ht="15.75" customHeight="1">
      <c r="A394" s="1"/>
      <c r="B394" s="1"/>
      <c r="C394" s="1"/>
      <c r="D394" s="1"/>
      <c r="E394" s="1"/>
      <c r="F394" s="1"/>
      <c r="G394" s="2"/>
    </row>
    <row r="395" ht="15.75" customHeight="1">
      <c r="A395" s="1"/>
      <c r="B395" s="1"/>
      <c r="C395" s="1"/>
      <c r="D395" s="1"/>
      <c r="E395" s="1"/>
      <c r="F395" s="1"/>
      <c r="G395" s="2"/>
    </row>
    <row r="396" ht="15.75" customHeight="1">
      <c r="A396" s="1"/>
      <c r="B396" s="1"/>
      <c r="C396" s="1"/>
      <c r="D396" s="1"/>
      <c r="E396" s="1"/>
      <c r="F396" s="1"/>
      <c r="G396" s="2"/>
    </row>
    <row r="397" ht="15.75" customHeight="1">
      <c r="A397" s="1"/>
      <c r="B397" s="1"/>
      <c r="C397" s="1"/>
      <c r="D397" s="1"/>
      <c r="E397" s="1"/>
      <c r="F397" s="1"/>
      <c r="G397" s="2"/>
    </row>
    <row r="398" ht="15.75" customHeight="1">
      <c r="A398" s="1"/>
      <c r="B398" s="1"/>
      <c r="C398" s="1"/>
      <c r="D398" s="1"/>
      <c r="E398" s="1"/>
      <c r="F398" s="1"/>
      <c r="G398" s="2"/>
    </row>
    <row r="399" ht="15.75" customHeight="1">
      <c r="A399" s="1"/>
      <c r="B399" s="1"/>
      <c r="C399" s="1"/>
      <c r="D399" s="1"/>
      <c r="E399" s="1"/>
      <c r="F399" s="1"/>
      <c r="G399" s="2"/>
    </row>
    <row r="400" ht="15.75" customHeight="1">
      <c r="A400" s="1"/>
      <c r="B400" s="1"/>
      <c r="C400" s="1"/>
      <c r="D400" s="1"/>
      <c r="E400" s="1"/>
      <c r="F400" s="1"/>
      <c r="G400" s="2"/>
    </row>
    <row r="401" ht="15.75" customHeight="1">
      <c r="A401" s="1"/>
      <c r="B401" s="1"/>
      <c r="C401" s="1"/>
      <c r="D401" s="1"/>
      <c r="E401" s="1"/>
      <c r="F401" s="1"/>
      <c r="G401" s="2"/>
    </row>
    <row r="402" ht="15.75" customHeight="1">
      <c r="A402" s="1"/>
      <c r="B402" s="1"/>
      <c r="C402" s="1"/>
      <c r="D402" s="1"/>
      <c r="E402" s="1"/>
      <c r="F402" s="1"/>
      <c r="G402" s="2"/>
    </row>
    <row r="403" ht="15.75" customHeight="1">
      <c r="A403" s="1"/>
      <c r="B403" s="1"/>
      <c r="C403" s="1"/>
      <c r="D403" s="1"/>
      <c r="E403" s="1"/>
      <c r="F403" s="1"/>
      <c r="G403" s="2"/>
    </row>
    <row r="404" ht="15.75" customHeight="1">
      <c r="A404" s="1"/>
      <c r="B404" s="1"/>
      <c r="C404" s="1"/>
      <c r="D404" s="1"/>
      <c r="E404" s="1"/>
      <c r="F404" s="1"/>
      <c r="G404" s="2"/>
    </row>
    <row r="405" ht="15.75" customHeight="1">
      <c r="A405" s="1"/>
      <c r="B405" s="1"/>
      <c r="C405" s="1"/>
      <c r="D405" s="1"/>
      <c r="E405" s="1"/>
      <c r="F405" s="1"/>
      <c r="G405" s="2"/>
    </row>
    <row r="406" ht="15.75" customHeight="1">
      <c r="A406" s="1"/>
      <c r="B406" s="1"/>
      <c r="C406" s="1"/>
      <c r="D406" s="1"/>
      <c r="E406" s="1"/>
      <c r="F406" s="1"/>
      <c r="G406" s="2"/>
    </row>
    <row r="407" ht="15.75" customHeight="1">
      <c r="A407" s="1"/>
      <c r="B407" s="1"/>
      <c r="C407" s="1"/>
      <c r="D407" s="1"/>
      <c r="E407" s="1"/>
      <c r="F407" s="1"/>
      <c r="G407" s="2"/>
    </row>
    <row r="408" ht="15.75" customHeight="1">
      <c r="A408" s="1"/>
      <c r="B408" s="1"/>
      <c r="C408" s="1"/>
      <c r="D408" s="1"/>
      <c r="E408" s="1"/>
      <c r="F408" s="1"/>
      <c r="G408" s="2"/>
    </row>
    <row r="409" ht="15.75" customHeight="1">
      <c r="A409" s="1"/>
      <c r="B409" s="1"/>
      <c r="C409" s="1"/>
      <c r="D409" s="1"/>
      <c r="E409" s="1"/>
      <c r="F409" s="1"/>
      <c r="G409" s="2"/>
    </row>
    <row r="410" ht="15.75" customHeight="1">
      <c r="A410" s="1"/>
      <c r="B410" s="1"/>
      <c r="C410" s="1"/>
      <c r="D410" s="1"/>
      <c r="E410" s="1"/>
      <c r="F410" s="1"/>
      <c r="G410" s="2"/>
    </row>
    <row r="411" ht="15.75" customHeight="1">
      <c r="A411" s="1"/>
      <c r="B411" s="1"/>
      <c r="C411" s="1"/>
      <c r="D411" s="1"/>
      <c r="E411" s="1"/>
      <c r="F411" s="1"/>
      <c r="G411" s="2"/>
    </row>
    <row r="412" ht="15.75" customHeight="1">
      <c r="A412" s="1"/>
      <c r="B412" s="1"/>
      <c r="C412" s="1"/>
      <c r="D412" s="1"/>
      <c r="E412" s="1"/>
      <c r="F412" s="1"/>
      <c r="G412" s="2"/>
    </row>
    <row r="413" ht="15.75" customHeight="1">
      <c r="A413" s="1"/>
      <c r="B413" s="1"/>
      <c r="C413" s="1"/>
      <c r="D413" s="1"/>
      <c r="E413" s="1"/>
      <c r="F413" s="1"/>
      <c r="G413" s="2"/>
    </row>
    <row r="414" ht="15.75" customHeight="1">
      <c r="A414" s="1"/>
      <c r="B414" s="1"/>
      <c r="C414" s="1"/>
      <c r="D414" s="1"/>
      <c r="E414" s="1"/>
      <c r="F414" s="1"/>
      <c r="G414" s="2"/>
    </row>
    <row r="415" ht="15.75" customHeight="1">
      <c r="A415" s="1"/>
      <c r="B415" s="1"/>
      <c r="C415" s="1"/>
      <c r="D415" s="1"/>
      <c r="E415" s="1"/>
      <c r="F415" s="1"/>
      <c r="G415" s="2"/>
    </row>
    <row r="416" ht="15.75" customHeight="1">
      <c r="A416" s="1"/>
      <c r="B416" s="1"/>
      <c r="C416" s="1"/>
      <c r="D416" s="1"/>
      <c r="E416" s="1"/>
      <c r="F416" s="1"/>
      <c r="G416" s="2"/>
    </row>
    <row r="417" ht="15.75" customHeight="1">
      <c r="A417" s="1"/>
      <c r="B417" s="1"/>
      <c r="C417" s="1"/>
      <c r="D417" s="1"/>
      <c r="E417" s="1"/>
      <c r="F417" s="1"/>
      <c r="G417" s="2"/>
    </row>
    <row r="418" ht="15.75" customHeight="1">
      <c r="A418" s="1"/>
      <c r="B418" s="1"/>
      <c r="C418" s="1"/>
      <c r="D418" s="1"/>
      <c r="E418" s="1"/>
      <c r="F418" s="1"/>
      <c r="G418" s="2"/>
    </row>
    <row r="419" ht="15.75" customHeight="1">
      <c r="A419" s="1"/>
      <c r="B419" s="1"/>
      <c r="C419" s="1"/>
      <c r="D419" s="1"/>
      <c r="E419" s="1"/>
      <c r="F419" s="1"/>
      <c r="G419" s="2"/>
    </row>
    <row r="420" ht="15.75" customHeight="1">
      <c r="A420" s="1"/>
      <c r="B420" s="1"/>
      <c r="C420" s="1"/>
      <c r="D420" s="1"/>
      <c r="E420" s="1"/>
      <c r="F420" s="1"/>
      <c r="G420" s="2"/>
    </row>
    <row r="421" ht="15.75" customHeight="1">
      <c r="A421" s="1"/>
      <c r="B421" s="1"/>
      <c r="C421" s="1"/>
      <c r="D421" s="1"/>
      <c r="E421" s="1"/>
      <c r="F421" s="1"/>
      <c r="G421" s="2"/>
    </row>
    <row r="422" ht="15.75" customHeight="1">
      <c r="A422" s="1"/>
      <c r="B422" s="1"/>
      <c r="C422" s="1"/>
      <c r="D422" s="1"/>
      <c r="E422" s="1"/>
      <c r="F422" s="1"/>
      <c r="G422" s="2"/>
    </row>
    <row r="423" ht="15.75" customHeight="1">
      <c r="A423" s="1"/>
      <c r="B423" s="1"/>
      <c r="C423" s="1"/>
      <c r="D423" s="1"/>
      <c r="E423" s="1"/>
      <c r="F423" s="1"/>
      <c r="G423" s="2"/>
    </row>
    <row r="424" ht="15.75" customHeight="1">
      <c r="A424" s="1"/>
      <c r="B424" s="1"/>
      <c r="C424" s="1"/>
      <c r="D424" s="1"/>
      <c r="E424" s="1"/>
      <c r="F424" s="1"/>
      <c r="G424" s="2"/>
    </row>
    <row r="425" ht="15.75" customHeight="1">
      <c r="A425" s="1"/>
      <c r="B425" s="1"/>
      <c r="C425" s="1"/>
      <c r="D425" s="1"/>
      <c r="E425" s="1"/>
      <c r="F425" s="1"/>
      <c r="G425" s="2"/>
    </row>
    <row r="426" ht="15.75" customHeight="1">
      <c r="A426" s="1"/>
      <c r="B426" s="1"/>
      <c r="C426" s="1"/>
      <c r="D426" s="1"/>
      <c r="E426" s="1"/>
      <c r="F426" s="1"/>
      <c r="G426" s="2"/>
    </row>
    <row r="427" ht="15.75" customHeight="1">
      <c r="A427" s="1"/>
      <c r="B427" s="1"/>
      <c r="C427" s="1"/>
      <c r="D427" s="1"/>
      <c r="E427" s="1"/>
      <c r="F427" s="1"/>
      <c r="G427" s="2"/>
    </row>
    <row r="428" ht="15.75" customHeight="1">
      <c r="A428" s="1"/>
      <c r="B428" s="1"/>
      <c r="C428" s="1"/>
      <c r="D428" s="1"/>
      <c r="E428" s="1"/>
      <c r="F428" s="1"/>
      <c r="G428" s="2"/>
    </row>
    <row r="429" ht="15.75" customHeight="1">
      <c r="A429" s="1"/>
      <c r="B429" s="1"/>
      <c r="C429" s="1"/>
      <c r="D429" s="1"/>
      <c r="E429" s="1"/>
      <c r="F429" s="1"/>
      <c r="G429" s="2"/>
    </row>
    <row r="430" ht="15.75" customHeight="1">
      <c r="A430" s="1"/>
      <c r="B430" s="1"/>
      <c r="C430" s="1"/>
      <c r="D430" s="1"/>
      <c r="E430" s="1"/>
      <c r="F430" s="1"/>
      <c r="G430" s="2"/>
    </row>
    <row r="431" ht="15.75" customHeight="1">
      <c r="A431" s="1"/>
      <c r="B431" s="1"/>
      <c r="C431" s="1"/>
      <c r="D431" s="1"/>
      <c r="E431" s="1"/>
      <c r="F431" s="1"/>
      <c r="G431" s="2"/>
    </row>
    <row r="432" ht="15.75" customHeight="1">
      <c r="A432" s="1"/>
      <c r="B432" s="1"/>
      <c r="C432" s="1"/>
      <c r="D432" s="1"/>
      <c r="E432" s="1"/>
      <c r="F432" s="1"/>
      <c r="G432" s="2"/>
    </row>
    <row r="433" ht="15.75" customHeight="1">
      <c r="A433" s="1"/>
      <c r="B433" s="1"/>
      <c r="C433" s="1"/>
      <c r="D433" s="1"/>
      <c r="E433" s="1"/>
      <c r="F433" s="1"/>
      <c r="G433" s="2"/>
    </row>
    <row r="434" ht="15.75" customHeight="1">
      <c r="A434" s="1"/>
      <c r="B434" s="1"/>
      <c r="C434" s="1"/>
      <c r="D434" s="1"/>
      <c r="E434" s="1"/>
      <c r="F434" s="1"/>
      <c r="G434" s="2"/>
    </row>
    <row r="435" ht="15.75" customHeight="1">
      <c r="A435" s="1"/>
      <c r="B435" s="1"/>
      <c r="C435" s="1"/>
      <c r="D435" s="1"/>
      <c r="E435" s="1"/>
      <c r="F435" s="1"/>
      <c r="G435" s="2"/>
    </row>
    <row r="436" ht="15.75" customHeight="1">
      <c r="A436" s="1"/>
      <c r="B436" s="1"/>
      <c r="C436" s="1"/>
      <c r="D436" s="1"/>
      <c r="E436" s="1"/>
      <c r="F436" s="1"/>
      <c r="G436" s="2"/>
    </row>
    <row r="437" ht="15.75" customHeight="1">
      <c r="A437" s="1"/>
      <c r="B437" s="1"/>
      <c r="C437" s="1"/>
      <c r="D437" s="1"/>
      <c r="E437" s="1"/>
      <c r="F437" s="1"/>
      <c r="G437" s="2"/>
    </row>
    <row r="438" ht="15.75" customHeight="1">
      <c r="A438" s="1"/>
      <c r="B438" s="1"/>
      <c r="C438" s="1"/>
      <c r="D438" s="1"/>
      <c r="E438" s="1"/>
      <c r="F438" s="1"/>
      <c r="G438" s="2"/>
    </row>
    <row r="439" ht="15.75" customHeight="1">
      <c r="A439" s="1"/>
      <c r="B439" s="1"/>
      <c r="C439" s="1"/>
      <c r="D439" s="1"/>
      <c r="E439" s="1"/>
      <c r="F439" s="1"/>
      <c r="G439" s="2"/>
    </row>
    <row r="440" ht="15.75" customHeight="1">
      <c r="A440" s="1"/>
      <c r="B440" s="1"/>
      <c r="C440" s="1"/>
      <c r="D440" s="1"/>
      <c r="E440" s="1"/>
      <c r="F440" s="1"/>
      <c r="G440" s="2"/>
    </row>
    <row r="441" ht="15.75" customHeight="1">
      <c r="A441" s="1"/>
      <c r="B441" s="1"/>
      <c r="C441" s="1"/>
      <c r="D441" s="1"/>
      <c r="E441" s="1"/>
      <c r="F441" s="1"/>
      <c r="G441" s="2"/>
    </row>
    <row r="442" ht="15.75" customHeight="1">
      <c r="A442" s="1"/>
      <c r="B442" s="1"/>
      <c r="C442" s="1"/>
      <c r="D442" s="1"/>
      <c r="E442" s="1"/>
      <c r="F442" s="1"/>
      <c r="G442" s="2"/>
    </row>
    <row r="443" ht="15.75" customHeight="1">
      <c r="A443" s="1"/>
      <c r="B443" s="1"/>
      <c r="C443" s="1"/>
      <c r="D443" s="1"/>
      <c r="E443" s="1"/>
      <c r="F443" s="1"/>
      <c r="G443" s="2"/>
    </row>
    <row r="444" ht="15.75" customHeight="1">
      <c r="A444" s="1"/>
      <c r="B444" s="1"/>
      <c r="C444" s="1"/>
      <c r="D444" s="1"/>
      <c r="E444" s="1"/>
      <c r="F444" s="1"/>
      <c r="G444" s="2"/>
    </row>
    <row r="445" ht="15.75" customHeight="1">
      <c r="A445" s="1"/>
      <c r="B445" s="1"/>
      <c r="C445" s="1"/>
      <c r="D445" s="1"/>
      <c r="E445" s="1"/>
      <c r="F445" s="1"/>
      <c r="G445" s="2"/>
    </row>
    <row r="446" ht="15.75" customHeight="1">
      <c r="A446" s="1"/>
      <c r="B446" s="1"/>
      <c r="C446" s="1"/>
      <c r="D446" s="1"/>
      <c r="E446" s="1"/>
      <c r="F446" s="1"/>
      <c r="G446" s="2"/>
    </row>
    <row r="447" ht="15.75" customHeight="1">
      <c r="A447" s="1"/>
      <c r="B447" s="1"/>
      <c r="C447" s="1"/>
      <c r="D447" s="1"/>
      <c r="E447" s="1"/>
      <c r="F447" s="1"/>
      <c r="G447" s="2"/>
    </row>
    <row r="448" ht="15.75" customHeight="1">
      <c r="A448" s="1"/>
      <c r="B448" s="1"/>
      <c r="C448" s="1"/>
      <c r="D448" s="1"/>
      <c r="E448" s="1"/>
      <c r="F448" s="1"/>
      <c r="G448" s="2"/>
    </row>
    <row r="449" ht="15.75" customHeight="1">
      <c r="A449" s="1"/>
      <c r="B449" s="1"/>
      <c r="C449" s="1"/>
      <c r="D449" s="1"/>
      <c r="E449" s="1"/>
      <c r="F449" s="1"/>
      <c r="G449" s="2"/>
    </row>
    <row r="450" ht="15.75" customHeight="1">
      <c r="A450" s="1"/>
      <c r="B450" s="1"/>
      <c r="C450" s="1"/>
      <c r="D450" s="1"/>
      <c r="E450" s="1"/>
      <c r="F450" s="1"/>
      <c r="G450" s="2"/>
    </row>
    <row r="451" ht="15.75" customHeight="1">
      <c r="A451" s="1"/>
      <c r="B451" s="1"/>
      <c r="C451" s="1"/>
      <c r="D451" s="1"/>
      <c r="E451" s="1"/>
      <c r="F451" s="1"/>
      <c r="G451" s="2"/>
    </row>
    <row r="452" ht="15.75" customHeight="1">
      <c r="A452" s="1"/>
      <c r="B452" s="1"/>
      <c r="C452" s="1"/>
      <c r="D452" s="1"/>
      <c r="E452" s="1"/>
      <c r="F452" s="1"/>
      <c r="G452" s="2"/>
    </row>
    <row r="453" ht="15.75" customHeight="1">
      <c r="A453" s="1"/>
      <c r="B453" s="1"/>
      <c r="C453" s="1"/>
      <c r="D453" s="1"/>
      <c r="E453" s="1"/>
      <c r="F453" s="1"/>
      <c r="G453" s="2"/>
    </row>
    <row r="454" ht="15.75" customHeight="1">
      <c r="A454" s="1"/>
      <c r="B454" s="1"/>
      <c r="C454" s="1"/>
      <c r="D454" s="1"/>
      <c r="E454" s="1"/>
      <c r="F454" s="1"/>
      <c r="G454" s="2"/>
    </row>
    <row r="455" ht="15.75" customHeight="1">
      <c r="A455" s="1"/>
      <c r="B455" s="1"/>
      <c r="C455" s="1"/>
      <c r="D455" s="1"/>
      <c r="E455" s="1"/>
      <c r="F455" s="1"/>
      <c r="G455" s="2"/>
    </row>
    <row r="456" ht="15.75" customHeight="1">
      <c r="A456" s="1"/>
      <c r="B456" s="1"/>
      <c r="C456" s="1"/>
      <c r="D456" s="1"/>
      <c r="E456" s="1"/>
      <c r="F456" s="1"/>
      <c r="G456" s="2"/>
    </row>
    <row r="457" ht="15.75" customHeight="1">
      <c r="A457" s="1"/>
      <c r="B457" s="1"/>
      <c r="C457" s="1"/>
      <c r="D457" s="1"/>
      <c r="E457" s="1"/>
      <c r="F457" s="1"/>
      <c r="G457" s="2"/>
    </row>
    <row r="458" ht="15.75" customHeight="1">
      <c r="A458" s="1"/>
      <c r="B458" s="1"/>
      <c r="C458" s="1"/>
      <c r="D458" s="1"/>
      <c r="E458" s="1"/>
      <c r="F458" s="1"/>
      <c r="G458" s="2"/>
    </row>
    <row r="459" ht="15.75" customHeight="1">
      <c r="A459" s="1"/>
      <c r="B459" s="1"/>
      <c r="C459" s="1"/>
      <c r="D459" s="1"/>
      <c r="E459" s="1"/>
      <c r="F459" s="1"/>
      <c r="G459" s="2"/>
    </row>
    <row r="460" ht="15.75" customHeight="1">
      <c r="A460" s="1"/>
      <c r="B460" s="1"/>
      <c r="C460" s="1"/>
      <c r="D460" s="1"/>
      <c r="E460" s="1"/>
      <c r="F460" s="1"/>
      <c r="G460" s="2"/>
    </row>
    <row r="461" ht="15.75" customHeight="1">
      <c r="A461" s="1"/>
      <c r="B461" s="1"/>
      <c r="C461" s="1"/>
      <c r="D461" s="1"/>
      <c r="E461" s="1"/>
      <c r="F461" s="1"/>
      <c r="G461" s="2"/>
    </row>
    <row r="462" ht="15.75" customHeight="1">
      <c r="A462" s="1"/>
      <c r="B462" s="1"/>
      <c r="C462" s="1"/>
      <c r="D462" s="1"/>
      <c r="E462" s="1"/>
      <c r="F462" s="1"/>
      <c r="G462" s="2"/>
    </row>
    <row r="463" ht="15.75" customHeight="1">
      <c r="A463" s="1"/>
      <c r="B463" s="1"/>
      <c r="C463" s="1"/>
      <c r="D463" s="1"/>
      <c r="E463" s="1"/>
      <c r="F463" s="1"/>
      <c r="G463" s="2"/>
    </row>
    <row r="464" ht="15.75" customHeight="1">
      <c r="A464" s="1"/>
      <c r="B464" s="1"/>
      <c r="C464" s="1"/>
      <c r="D464" s="1"/>
      <c r="E464" s="1"/>
      <c r="F464" s="1"/>
      <c r="G464" s="2"/>
    </row>
    <row r="465" ht="15.75" customHeight="1">
      <c r="A465" s="1"/>
      <c r="B465" s="1"/>
      <c r="C465" s="1"/>
      <c r="D465" s="1"/>
      <c r="E465" s="1"/>
      <c r="F465" s="1"/>
      <c r="G465" s="2"/>
    </row>
    <row r="466" ht="15.75" customHeight="1">
      <c r="A466" s="1"/>
      <c r="B466" s="1"/>
      <c r="C466" s="1"/>
      <c r="D466" s="1"/>
      <c r="E466" s="1"/>
      <c r="F466" s="1"/>
      <c r="G466" s="2"/>
    </row>
    <row r="467" ht="15.75" customHeight="1">
      <c r="A467" s="1"/>
      <c r="B467" s="1"/>
      <c r="C467" s="1"/>
      <c r="D467" s="1"/>
      <c r="E467" s="1"/>
      <c r="F467" s="1"/>
      <c r="G467" s="2"/>
    </row>
    <row r="468" ht="15.75" customHeight="1">
      <c r="A468" s="1"/>
      <c r="B468" s="1"/>
      <c r="C468" s="1"/>
      <c r="D468" s="1"/>
      <c r="E468" s="1"/>
      <c r="F468" s="1"/>
      <c r="G468" s="2"/>
    </row>
    <row r="469" ht="15.75" customHeight="1">
      <c r="A469" s="1"/>
      <c r="B469" s="1"/>
      <c r="C469" s="1"/>
      <c r="D469" s="1"/>
      <c r="E469" s="1"/>
      <c r="F469" s="1"/>
      <c r="G469" s="2"/>
    </row>
    <row r="470" ht="15.75" customHeight="1">
      <c r="A470" s="1"/>
      <c r="B470" s="1"/>
      <c r="C470" s="1"/>
      <c r="D470" s="1"/>
      <c r="E470" s="1"/>
      <c r="F470" s="1"/>
      <c r="G470" s="2"/>
    </row>
    <row r="471" ht="15.75" customHeight="1">
      <c r="A471" s="1"/>
      <c r="B471" s="1"/>
      <c r="C471" s="1"/>
      <c r="D471" s="1"/>
      <c r="E471" s="1"/>
      <c r="F471" s="1"/>
      <c r="G471" s="2"/>
    </row>
    <row r="472" ht="15.75" customHeight="1">
      <c r="A472" s="1"/>
      <c r="B472" s="1"/>
      <c r="C472" s="1"/>
      <c r="D472" s="1"/>
      <c r="E472" s="1"/>
      <c r="F472" s="1"/>
      <c r="G472" s="2"/>
    </row>
    <row r="473" ht="15.75" customHeight="1">
      <c r="A473" s="1"/>
      <c r="B473" s="1"/>
      <c r="C473" s="1"/>
      <c r="D473" s="1"/>
      <c r="E473" s="1"/>
      <c r="F473" s="1"/>
      <c r="G473" s="2"/>
    </row>
    <row r="474" ht="15.75" customHeight="1">
      <c r="A474" s="1"/>
      <c r="B474" s="1"/>
      <c r="C474" s="1"/>
      <c r="D474" s="1"/>
      <c r="E474" s="1"/>
      <c r="F474" s="1"/>
      <c r="G474" s="2"/>
    </row>
    <row r="475" ht="15.75" customHeight="1">
      <c r="A475" s="1"/>
      <c r="B475" s="1"/>
      <c r="C475" s="1"/>
      <c r="D475" s="1"/>
      <c r="E475" s="1"/>
      <c r="F475" s="1"/>
      <c r="G475" s="2"/>
    </row>
    <row r="476" ht="15.75" customHeight="1">
      <c r="A476" s="1"/>
      <c r="B476" s="1"/>
      <c r="C476" s="1"/>
      <c r="D476" s="1"/>
      <c r="E476" s="1"/>
      <c r="F476" s="1"/>
      <c r="G476" s="2"/>
    </row>
    <row r="477" ht="15.75" customHeight="1">
      <c r="A477" s="1"/>
      <c r="B477" s="1"/>
      <c r="C477" s="1"/>
      <c r="D477" s="1"/>
      <c r="E477" s="1"/>
      <c r="F477" s="1"/>
      <c r="G477" s="2"/>
    </row>
    <row r="478" ht="15.75" customHeight="1">
      <c r="A478" s="1"/>
      <c r="B478" s="1"/>
      <c r="C478" s="1"/>
      <c r="D478" s="1"/>
      <c r="E478" s="1"/>
      <c r="F478" s="1"/>
      <c r="G478" s="2"/>
    </row>
    <row r="479" ht="15.75" customHeight="1">
      <c r="A479" s="1"/>
      <c r="B479" s="1"/>
      <c r="C479" s="1"/>
      <c r="D479" s="1"/>
      <c r="E479" s="1"/>
      <c r="F479" s="1"/>
      <c r="G479" s="2"/>
    </row>
    <row r="480" ht="15.75" customHeight="1">
      <c r="A480" s="1"/>
      <c r="B480" s="1"/>
      <c r="C480" s="1"/>
      <c r="D480" s="1"/>
      <c r="E480" s="1"/>
      <c r="F480" s="1"/>
      <c r="G480" s="2"/>
    </row>
    <row r="481" ht="15.75" customHeight="1">
      <c r="A481" s="1"/>
      <c r="B481" s="1"/>
      <c r="C481" s="1"/>
      <c r="D481" s="1"/>
      <c r="E481" s="1"/>
      <c r="F481" s="1"/>
      <c r="G481" s="2"/>
    </row>
    <row r="482" ht="15.75" customHeight="1">
      <c r="A482" s="1"/>
      <c r="B482" s="1"/>
      <c r="C482" s="1"/>
      <c r="D482" s="1"/>
      <c r="E482" s="1"/>
      <c r="F482" s="1"/>
      <c r="G482" s="2"/>
    </row>
    <row r="483" ht="15.75" customHeight="1">
      <c r="A483" s="1"/>
      <c r="B483" s="1"/>
      <c r="C483" s="1"/>
      <c r="D483" s="1"/>
      <c r="E483" s="1"/>
      <c r="F483" s="1"/>
      <c r="G483" s="2"/>
    </row>
    <row r="484" ht="15.75" customHeight="1">
      <c r="A484" s="1"/>
      <c r="B484" s="1"/>
      <c r="C484" s="1"/>
      <c r="D484" s="1"/>
      <c r="E484" s="1"/>
      <c r="F484" s="1"/>
      <c r="G484" s="2"/>
    </row>
    <row r="485" ht="15.75" customHeight="1">
      <c r="A485" s="1"/>
      <c r="B485" s="1"/>
      <c r="C485" s="1"/>
      <c r="D485" s="1"/>
      <c r="E485" s="1"/>
      <c r="F485" s="1"/>
      <c r="G485" s="2"/>
    </row>
    <row r="486" ht="15.75" customHeight="1">
      <c r="A486" s="1"/>
      <c r="B486" s="1"/>
      <c r="C486" s="1"/>
      <c r="D486" s="1"/>
      <c r="E486" s="1"/>
      <c r="F486" s="1"/>
      <c r="G486" s="2"/>
    </row>
    <row r="487" ht="15.75" customHeight="1">
      <c r="A487" s="1"/>
      <c r="B487" s="1"/>
      <c r="C487" s="1"/>
      <c r="D487" s="1"/>
      <c r="E487" s="1"/>
      <c r="F487" s="1"/>
      <c r="G487" s="2"/>
    </row>
    <row r="488" ht="15.75" customHeight="1">
      <c r="A488" s="1"/>
      <c r="B488" s="1"/>
      <c r="C488" s="1"/>
      <c r="D488" s="1"/>
      <c r="E488" s="1"/>
      <c r="F488" s="1"/>
      <c r="G488" s="2"/>
    </row>
    <row r="489" ht="15.75" customHeight="1">
      <c r="A489" s="1"/>
      <c r="B489" s="1"/>
      <c r="C489" s="1"/>
      <c r="D489" s="1"/>
      <c r="E489" s="1"/>
      <c r="F489" s="1"/>
      <c r="G489" s="2"/>
    </row>
    <row r="490" ht="15.75" customHeight="1">
      <c r="A490" s="1"/>
      <c r="B490" s="1"/>
      <c r="C490" s="1"/>
      <c r="D490" s="1"/>
      <c r="E490" s="1"/>
      <c r="F490" s="1"/>
      <c r="G490" s="2"/>
    </row>
    <row r="491" ht="15.75" customHeight="1">
      <c r="A491" s="1"/>
      <c r="B491" s="1"/>
      <c r="C491" s="1"/>
      <c r="D491" s="1"/>
      <c r="E491" s="1"/>
      <c r="F491" s="1"/>
      <c r="G491" s="2"/>
    </row>
    <row r="492" ht="15.75" customHeight="1">
      <c r="A492" s="1"/>
      <c r="B492" s="1"/>
      <c r="C492" s="1"/>
      <c r="D492" s="1"/>
      <c r="E492" s="1"/>
      <c r="F492" s="1"/>
      <c r="G492" s="2"/>
    </row>
    <row r="493" ht="15.75" customHeight="1">
      <c r="A493" s="1"/>
      <c r="B493" s="1"/>
      <c r="C493" s="1"/>
      <c r="D493" s="1"/>
      <c r="E493" s="1"/>
      <c r="F493" s="1"/>
      <c r="G493" s="2"/>
    </row>
    <row r="494" ht="15.75" customHeight="1">
      <c r="A494" s="1"/>
      <c r="B494" s="1"/>
      <c r="C494" s="1"/>
      <c r="D494" s="1"/>
      <c r="E494" s="1"/>
      <c r="F494" s="1"/>
      <c r="G494" s="2"/>
    </row>
    <row r="495" ht="15.75" customHeight="1">
      <c r="A495" s="1"/>
      <c r="B495" s="1"/>
      <c r="C495" s="1"/>
      <c r="D495" s="1"/>
      <c r="E495" s="1"/>
      <c r="F495" s="1"/>
      <c r="G495" s="2"/>
    </row>
    <row r="496" ht="15.75" customHeight="1">
      <c r="A496" s="1"/>
      <c r="B496" s="1"/>
      <c r="C496" s="1"/>
      <c r="D496" s="1"/>
      <c r="E496" s="1"/>
      <c r="F496" s="1"/>
      <c r="G496" s="2"/>
    </row>
    <row r="497" ht="15.75" customHeight="1">
      <c r="A497" s="1"/>
      <c r="B497" s="1"/>
      <c r="C497" s="1"/>
      <c r="D497" s="1"/>
      <c r="E497" s="1"/>
      <c r="F497" s="1"/>
      <c r="G497" s="2"/>
    </row>
    <row r="498" ht="15.75" customHeight="1">
      <c r="A498" s="1"/>
      <c r="B498" s="1"/>
      <c r="C498" s="1"/>
      <c r="D498" s="1"/>
      <c r="E498" s="1"/>
      <c r="F498" s="1"/>
      <c r="G498" s="2"/>
    </row>
    <row r="499" ht="15.75" customHeight="1">
      <c r="A499" s="1"/>
      <c r="B499" s="1"/>
      <c r="C499" s="1"/>
      <c r="D499" s="1"/>
      <c r="E499" s="1"/>
      <c r="F499" s="1"/>
      <c r="G499" s="2"/>
    </row>
    <row r="500" ht="15.75" customHeight="1">
      <c r="A500" s="1"/>
      <c r="B500" s="1"/>
      <c r="C500" s="1"/>
      <c r="D500" s="1"/>
      <c r="E500" s="1"/>
      <c r="F500" s="1"/>
      <c r="G500" s="2"/>
    </row>
    <row r="501" ht="15.75" customHeight="1">
      <c r="A501" s="1"/>
      <c r="B501" s="1"/>
      <c r="C501" s="1"/>
      <c r="D501" s="1"/>
      <c r="E501" s="1"/>
      <c r="F501" s="1"/>
      <c r="G501" s="2"/>
    </row>
    <row r="502" ht="15.75" customHeight="1">
      <c r="A502" s="1"/>
      <c r="B502" s="1"/>
      <c r="C502" s="1"/>
      <c r="D502" s="1"/>
      <c r="E502" s="1"/>
      <c r="F502" s="1"/>
      <c r="G502" s="2"/>
    </row>
    <row r="503" ht="15.75" customHeight="1">
      <c r="A503" s="1"/>
      <c r="B503" s="1"/>
      <c r="C503" s="1"/>
      <c r="D503" s="1"/>
      <c r="E503" s="1"/>
      <c r="F503" s="1"/>
      <c r="G503" s="2"/>
    </row>
    <row r="504" ht="15.75" customHeight="1">
      <c r="A504" s="1"/>
      <c r="B504" s="1"/>
      <c r="C504" s="1"/>
      <c r="D504" s="1"/>
      <c r="E504" s="1"/>
      <c r="F504" s="1"/>
      <c r="G504" s="2"/>
    </row>
    <row r="505" ht="15.75" customHeight="1">
      <c r="A505" s="1"/>
      <c r="B505" s="1"/>
      <c r="C505" s="1"/>
      <c r="D505" s="1"/>
      <c r="E505" s="1"/>
      <c r="F505" s="1"/>
      <c r="G505" s="2"/>
    </row>
    <row r="506" ht="15.75" customHeight="1">
      <c r="A506" s="1"/>
      <c r="B506" s="1"/>
      <c r="C506" s="1"/>
      <c r="D506" s="1"/>
      <c r="E506" s="1"/>
      <c r="F506" s="1"/>
      <c r="G506" s="2"/>
    </row>
    <row r="507" ht="15.75" customHeight="1">
      <c r="A507" s="1"/>
      <c r="B507" s="1"/>
      <c r="C507" s="1"/>
      <c r="D507" s="1"/>
      <c r="E507" s="1"/>
      <c r="F507" s="1"/>
      <c r="G507" s="2"/>
    </row>
    <row r="508" ht="15.75" customHeight="1">
      <c r="A508" s="1"/>
      <c r="B508" s="1"/>
      <c r="C508" s="1"/>
      <c r="D508" s="1"/>
      <c r="E508" s="1"/>
      <c r="F508" s="1"/>
      <c r="G508" s="2"/>
    </row>
    <row r="509" ht="15.75" customHeight="1">
      <c r="A509" s="1"/>
      <c r="B509" s="1"/>
      <c r="C509" s="1"/>
      <c r="D509" s="1"/>
      <c r="E509" s="1"/>
      <c r="F509" s="1"/>
      <c r="G509" s="2"/>
    </row>
    <row r="510" ht="15.75" customHeight="1">
      <c r="A510" s="1"/>
      <c r="B510" s="1"/>
      <c r="C510" s="1"/>
      <c r="D510" s="1"/>
      <c r="E510" s="1"/>
      <c r="F510" s="1"/>
      <c r="G510" s="2"/>
    </row>
    <row r="511" ht="15.75" customHeight="1">
      <c r="A511" s="1"/>
      <c r="B511" s="1"/>
      <c r="C511" s="1"/>
      <c r="D511" s="1"/>
      <c r="E511" s="1"/>
      <c r="F511" s="1"/>
      <c r="G511" s="2"/>
    </row>
    <row r="512" ht="15.75" customHeight="1">
      <c r="A512" s="1"/>
      <c r="B512" s="1"/>
      <c r="C512" s="1"/>
      <c r="D512" s="1"/>
      <c r="E512" s="1"/>
      <c r="F512" s="1"/>
      <c r="G512" s="2"/>
    </row>
    <row r="513" ht="15.75" customHeight="1">
      <c r="A513" s="1"/>
      <c r="B513" s="1"/>
      <c r="C513" s="1"/>
      <c r="D513" s="1"/>
      <c r="E513" s="1"/>
      <c r="F513" s="1"/>
      <c r="G513" s="2"/>
    </row>
    <row r="514" ht="15.75" customHeight="1">
      <c r="A514" s="1"/>
      <c r="B514" s="1"/>
      <c r="C514" s="1"/>
      <c r="D514" s="1"/>
      <c r="E514" s="1"/>
      <c r="F514" s="1"/>
      <c r="G514" s="2"/>
    </row>
    <row r="515" ht="15.75" customHeight="1">
      <c r="A515" s="1"/>
      <c r="B515" s="1"/>
      <c r="C515" s="1"/>
      <c r="D515" s="1"/>
      <c r="E515" s="1"/>
      <c r="F515" s="1"/>
      <c r="G515" s="2"/>
    </row>
    <row r="516" ht="15.75" customHeight="1">
      <c r="A516" s="1"/>
      <c r="B516" s="1"/>
      <c r="C516" s="1"/>
      <c r="D516" s="1"/>
      <c r="E516" s="1"/>
      <c r="F516" s="1"/>
      <c r="G516" s="2"/>
    </row>
    <row r="517" ht="15.75" customHeight="1">
      <c r="A517" s="1"/>
      <c r="B517" s="1"/>
      <c r="C517" s="1"/>
      <c r="D517" s="1"/>
      <c r="E517" s="1"/>
      <c r="F517" s="1"/>
      <c r="G517" s="2"/>
    </row>
    <row r="518" ht="15.75" customHeight="1">
      <c r="A518" s="1"/>
      <c r="B518" s="1"/>
      <c r="C518" s="1"/>
      <c r="D518" s="1"/>
      <c r="E518" s="1"/>
      <c r="F518" s="1"/>
      <c r="G518" s="2"/>
    </row>
    <row r="519" ht="15.75" customHeight="1">
      <c r="A519" s="1"/>
      <c r="B519" s="1"/>
      <c r="C519" s="1"/>
      <c r="D519" s="1"/>
      <c r="E519" s="1"/>
      <c r="F519" s="1"/>
      <c r="G519" s="2"/>
    </row>
    <row r="520" ht="15.75" customHeight="1">
      <c r="A520" s="1"/>
      <c r="B520" s="1"/>
      <c r="C520" s="1"/>
      <c r="D520" s="1"/>
      <c r="E520" s="1"/>
      <c r="F520" s="1"/>
      <c r="G520" s="2"/>
    </row>
    <row r="521" ht="15.75" customHeight="1">
      <c r="A521" s="1"/>
      <c r="B521" s="1"/>
      <c r="C521" s="1"/>
      <c r="D521" s="1"/>
      <c r="E521" s="1"/>
      <c r="F521" s="1"/>
      <c r="G521" s="2"/>
    </row>
    <row r="522" ht="15.75" customHeight="1">
      <c r="A522" s="1"/>
      <c r="B522" s="1"/>
      <c r="C522" s="1"/>
      <c r="D522" s="1"/>
      <c r="E522" s="1"/>
      <c r="F522" s="1"/>
      <c r="G522" s="2"/>
    </row>
    <row r="523" ht="15.75" customHeight="1">
      <c r="A523" s="1"/>
      <c r="B523" s="1"/>
      <c r="C523" s="1"/>
      <c r="D523" s="1"/>
      <c r="E523" s="1"/>
      <c r="F523" s="1"/>
      <c r="G523" s="2"/>
    </row>
    <row r="524" ht="15.75" customHeight="1">
      <c r="A524" s="1"/>
      <c r="B524" s="1"/>
      <c r="C524" s="1"/>
      <c r="D524" s="1"/>
      <c r="E524" s="1"/>
      <c r="F524" s="1"/>
      <c r="G524" s="2"/>
    </row>
    <row r="525" ht="15.75" customHeight="1">
      <c r="A525" s="1"/>
      <c r="B525" s="1"/>
      <c r="C525" s="1"/>
      <c r="D525" s="1"/>
      <c r="E525" s="1"/>
      <c r="F525" s="1"/>
      <c r="G525" s="2"/>
    </row>
    <row r="526" ht="15.75" customHeight="1">
      <c r="A526" s="1"/>
      <c r="B526" s="1"/>
      <c r="C526" s="1"/>
      <c r="D526" s="1"/>
      <c r="E526" s="1"/>
      <c r="F526" s="1"/>
      <c r="G526" s="2"/>
    </row>
    <row r="527" ht="15.75" customHeight="1">
      <c r="A527" s="1"/>
      <c r="B527" s="1"/>
      <c r="C527" s="1"/>
      <c r="D527" s="1"/>
      <c r="E527" s="1"/>
      <c r="F527" s="1"/>
      <c r="G527" s="2"/>
    </row>
    <row r="528" ht="15.75" customHeight="1">
      <c r="A528" s="1"/>
      <c r="B528" s="1"/>
      <c r="C528" s="1"/>
      <c r="D528" s="1"/>
      <c r="E528" s="1"/>
      <c r="F528" s="1"/>
      <c r="G528" s="2"/>
    </row>
    <row r="529" ht="15.75" customHeight="1">
      <c r="A529" s="1"/>
      <c r="B529" s="1"/>
      <c r="C529" s="1"/>
      <c r="D529" s="1"/>
      <c r="E529" s="1"/>
      <c r="F529" s="1"/>
      <c r="G529" s="2"/>
    </row>
    <row r="530" ht="15.75" customHeight="1">
      <c r="A530" s="1"/>
      <c r="B530" s="1"/>
      <c r="C530" s="1"/>
      <c r="D530" s="1"/>
      <c r="E530" s="1"/>
      <c r="F530" s="1"/>
      <c r="G530" s="2"/>
    </row>
    <row r="531" ht="15.75" customHeight="1">
      <c r="A531" s="1"/>
      <c r="B531" s="1"/>
      <c r="C531" s="1"/>
      <c r="D531" s="1"/>
      <c r="E531" s="1"/>
      <c r="F531" s="1"/>
      <c r="G531" s="2"/>
    </row>
    <row r="532" ht="15.75" customHeight="1">
      <c r="A532" s="1"/>
      <c r="B532" s="1"/>
      <c r="C532" s="1"/>
      <c r="D532" s="1"/>
      <c r="E532" s="1"/>
      <c r="F532" s="1"/>
      <c r="G532" s="2"/>
    </row>
    <row r="533" ht="15.75" customHeight="1">
      <c r="A533" s="1"/>
      <c r="B533" s="1"/>
      <c r="C533" s="1"/>
      <c r="D533" s="1"/>
      <c r="E533" s="1"/>
      <c r="F533" s="1"/>
      <c r="G533" s="2"/>
    </row>
    <row r="534" ht="15.75" customHeight="1">
      <c r="A534" s="1"/>
      <c r="B534" s="1"/>
      <c r="C534" s="1"/>
      <c r="D534" s="1"/>
      <c r="E534" s="1"/>
      <c r="F534" s="1"/>
      <c r="G534" s="2"/>
    </row>
    <row r="535" ht="15.75" customHeight="1">
      <c r="A535" s="1"/>
      <c r="B535" s="1"/>
      <c r="C535" s="1"/>
      <c r="D535" s="1"/>
      <c r="E535" s="1"/>
      <c r="F535" s="1"/>
      <c r="G535" s="2"/>
    </row>
    <row r="536" ht="15.75" customHeight="1">
      <c r="A536" s="1"/>
      <c r="B536" s="1"/>
      <c r="C536" s="1"/>
      <c r="D536" s="1"/>
      <c r="E536" s="1"/>
      <c r="F536" s="1"/>
      <c r="G536" s="2"/>
    </row>
    <row r="537" ht="15.75" customHeight="1">
      <c r="A537" s="1"/>
      <c r="B537" s="1"/>
      <c r="C537" s="1"/>
      <c r="D537" s="1"/>
      <c r="E537" s="1"/>
      <c r="F537" s="1"/>
      <c r="G537" s="2"/>
    </row>
    <row r="538" ht="15.75" customHeight="1">
      <c r="A538" s="1"/>
      <c r="B538" s="1"/>
      <c r="C538" s="1"/>
      <c r="D538" s="1"/>
      <c r="E538" s="1"/>
      <c r="F538" s="1"/>
      <c r="G538" s="2"/>
    </row>
    <row r="539" ht="15.75" customHeight="1">
      <c r="A539" s="1"/>
      <c r="B539" s="1"/>
      <c r="C539" s="1"/>
      <c r="D539" s="1"/>
      <c r="E539" s="1"/>
      <c r="F539" s="1"/>
      <c r="G539" s="2"/>
    </row>
    <row r="540" ht="15.75" customHeight="1">
      <c r="A540" s="1"/>
      <c r="B540" s="1"/>
      <c r="C540" s="1"/>
      <c r="D540" s="1"/>
      <c r="E540" s="1"/>
      <c r="F540" s="1"/>
      <c r="G540" s="2"/>
    </row>
    <row r="541" ht="15.75" customHeight="1">
      <c r="A541" s="1"/>
      <c r="B541" s="1"/>
      <c r="C541" s="1"/>
      <c r="D541" s="1"/>
      <c r="E541" s="1"/>
      <c r="F541" s="1"/>
      <c r="G541" s="2"/>
    </row>
    <row r="542" ht="15.75" customHeight="1">
      <c r="A542" s="1"/>
      <c r="B542" s="1"/>
      <c r="C542" s="1"/>
      <c r="D542" s="1"/>
      <c r="E542" s="1"/>
      <c r="F542" s="1"/>
      <c r="G542" s="2"/>
    </row>
    <row r="543" ht="15.75" customHeight="1">
      <c r="A543" s="1"/>
      <c r="B543" s="1"/>
      <c r="C543" s="1"/>
      <c r="D543" s="1"/>
      <c r="E543" s="1"/>
      <c r="F543" s="1"/>
      <c r="G543" s="2"/>
    </row>
    <row r="544" ht="15.75" customHeight="1">
      <c r="A544" s="1"/>
      <c r="B544" s="1"/>
      <c r="C544" s="1"/>
      <c r="D544" s="1"/>
      <c r="E544" s="1"/>
      <c r="F544" s="1"/>
      <c r="G544" s="2"/>
    </row>
    <row r="545" ht="15.75" customHeight="1">
      <c r="A545" s="1"/>
      <c r="B545" s="1"/>
      <c r="C545" s="1"/>
      <c r="D545" s="1"/>
      <c r="E545" s="1"/>
      <c r="F545" s="1"/>
      <c r="G545" s="2"/>
    </row>
    <row r="546" ht="15.75" customHeight="1">
      <c r="A546" s="1"/>
      <c r="B546" s="1"/>
      <c r="C546" s="1"/>
      <c r="D546" s="1"/>
      <c r="E546" s="1"/>
      <c r="F546" s="1"/>
      <c r="G546" s="2"/>
    </row>
    <row r="547" ht="15.75" customHeight="1">
      <c r="A547" s="1"/>
      <c r="B547" s="1"/>
      <c r="C547" s="1"/>
      <c r="D547" s="1"/>
      <c r="E547" s="1"/>
      <c r="F547" s="1"/>
      <c r="G547" s="2"/>
    </row>
    <row r="548" ht="15.75" customHeight="1">
      <c r="A548" s="1"/>
      <c r="B548" s="1"/>
      <c r="C548" s="1"/>
      <c r="D548" s="1"/>
      <c r="E548" s="1"/>
      <c r="F548" s="1"/>
      <c r="G548" s="2"/>
    </row>
    <row r="549" ht="15.75" customHeight="1">
      <c r="A549" s="1"/>
      <c r="B549" s="1"/>
      <c r="C549" s="1"/>
      <c r="D549" s="1"/>
      <c r="E549" s="1"/>
      <c r="F549" s="1"/>
      <c r="G549" s="2"/>
    </row>
    <row r="550" ht="15.75" customHeight="1">
      <c r="A550" s="1"/>
      <c r="B550" s="1"/>
      <c r="C550" s="1"/>
      <c r="D550" s="1"/>
      <c r="E550" s="1"/>
      <c r="F550" s="1"/>
      <c r="G550" s="2"/>
    </row>
    <row r="551" ht="15.75" customHeight="1">
      <c r="A551" s="1"/>
      <c r="B551" s="1"/>
      <c r="C551" s="1"/>
      <c r="D551" s="1"/>
      <c r="E551" s="1"/>
      <c r="F551" s="1"/>
      <c r="G551" s="2"/>
    </row>
    <row r="552" ht="15.75" customHeight="1">
      <c r="A552" s="1"/>
      <c r="B552" s="1"/>
      <c r="C552" s="1"/>
      <c r="D552" s="1"/>
      <c r="E552" s="1"/>
      <c r="F552" s="1"/>
      <c r="G552" s="2"/>
    </row>
    <row r="553" ht="15.75" customHeight="1">
      <c r="A553" s="1"/>
      <c r="B553" s="1"/>
      <c r="C553" s="1"/>
      <c r="D553" s="1"/>
      <c r="E553" s="1"/>
      <c r="F553" s="1"/>
      <c r="G553" s="2"/>
    </row>
    <row r="554" ht="15.75" customHeight="1">
      <c r="A554" s="1"/>
      <c r="B554" s="1"/>
      <c r="C554" s="1"/>
      <c r="D554" s="1"/>
      <c r="E554" s="1"/>
      <c r="F554" s="1"/>
      <c r="G554" s="2"/>
    </row>
    <row r="555" ht="15.75" customHeight="1">
      <c r="A555" s="1"/>
      <c r="B555" s="1"/>
      <c r="C555" s="1"/>
      <c r="D555" s="1"/>
      <c r="E555" s="1"/>
      <c r="F555" s="1"/>
      <c r="G555" s="2"/>
    </row>
    <row r="556" ht="15.75" customHeight="1">
      <c r="A556" s="1"/>
      <c r="B556" s="1"/>
      <c r="C556" s="1"/>
      <c r="D556" s="1"/>
      <c r="E556" s="1"/>
      <c r="F556" s="1"/>
      <c r="G556" s="2"/>
    </row>
    <row r="557" ht="15.75" customHeight="1">
      <c r="A557" s="1"/>
      <c r="B557" s="1"/>
      <c r="C557" s="1"/>
      <c r="D557" s="1"/>
      <c r="E557" s="1"/>
      <c r="F557" s="1"/>
      <c r="G557" s="2"/>
    </row>
    <row r="558" ht="15.75" customHeight="1">
      <c r="A558" s="1"/>
      <c r="B558" s="1"/>
      <c r="C558" s="1"/>
      <c r="D558" s="1"/>
      <c r="E558" s="1"/>
      <c r="F558" s="1"/>
      <c r="G558" s="2"/>
    </row>
    <row r="559" ht="15.75" customHeight="1">
      <c r="A559" s="1"/>
      <c r="B559" s="1"/>
      <c r="C559" s="1"/>
      <c r="D559" s="1"/>
      <c r="E559" s="1"/>
      <c r="F559" s="1"/>
      <c r="G559" s="2"/>
    </row>
    <row r="560" ht="15.75" customHeight="1">
      <c r="A560" s="1"/>
      <c r="B560" s="1"/>
      <c r="C560" s="1"/>
      <c r="D560" s="1"/>
      <c r="E560" s="1"/>
      <c r="F560" s="1"/>
      <c r="G560" s="2"/>
    </row>
    <row r="561" ht="15.75" customHeight="1">
      <c r="A561" s="1"/>
      <c r="B561" s="1"/>
      <c r="C561" s="1"/>
      <c r="D561" s="1"/>
      <c r="E561" s="1"/>
      <c r="F561" s="1"/>
      <c r="G561" s="2"/>
    </row>
    <row r="562" ht="15.75" customHeight="1">
      <c r="A562" s="1"/>
      <c r="B562" s="1"/>
      <c r="C562" s="1"/>
      <c r="D562" s="1"/>
      <c r="E562" s="1"/>
      <c r="F562" s="1"/>
      <c r="G562" s="2"/>
    </row>
    <row r="563" ht="15.75" customHeight="1">
      <c r="A563" s="1"/>
      <c r="B563" s="1"/>
      <c r="C563" s="1"/>
      <c r="D563" s="1"/>
      <c r="E563" s="1"/>
      <c r="F563" s="1"/>
      <c r="G563" s="2"/>
    </row>
    <row r="564" ht="15.75" customHeight="1">
      <c r="A564" s="1"/>
      <c r="B564" s="1"/>
      <c r="C564" s="1"/>
      <c r="D564" s="1"/>
      <c r="E564" s="1"/>
      <c r="F564" s="1"/>
      <c r="G564" s="2"/>
    </row>
    <row r="565" ht="15.75" customHeight="1">
      <c r="A565" s="1"/>
      <c r="B565" s="1"/>
      <c r="C565" s="1"/>
      <c r="D565" s="1"/>
      <c r="E565" s="1"/>
      <c r="F565" s="1"/>
      <c r="G565" s="2"/>
    </row>
    <row r="566" ht="15.75" customHeight="1">
      <c r="A566" s="1"/>
      <c r="B566" s="1"/>
      <c r="C566" s="1"/>
      <c r="D566" s="1"/>
      <c r="E566" s="1"/>
      <c r="F566" s="1"/>
      <c r="G566" s="2"/>
    </row>
    <row r="567" ht="15.75" customHeight="1">
      <c r="A567" s="1"/>
      <c r="B567" s="1"/>
      <c r="C567" s="1"/>
      <c r="D567" s="1"/>
      <c r="E567" s="1"/>
      <c r="F567" s="1"/>
      <c r="G567" s="2"/>
    </row>
    <row r="568" ht="15.75" customHeight="1">
      <c r="A568" s="1"/>
      <c r="B568" s="1"/>
      <c r="C568" s="1"/>
      <c r="D568" s="1"/>
      <c r="E568" s="1"/>
      <c r="F568" s="1"/>
      <c r="G568" s="2"/>
    </row>
    <row r="569" ht="15.75" customHeight="1">
      <c r="A569" s="1"/>
      <c r="B569" s="1"/>
      <c r="C569" s="1"/>
      <c r="D569" s="1"/>
      <c r="E569" s="1"/>
      <c r="F569" s="1"/>
      <c r="G569" s="2"/>
    </row>
    <row r="570" ht="15.75" customHeight="1">
      <c r="A570" s="1"/>
      <c r="B570" s="1"/>
      <c r="C570" s="1"/>
      <c r="D570" s="1"/>
      <c r="E570" s="1"/>
      <c r="F570" s="1"/>
      <c r="G570" s="2"/>
    </row>
    <row r="571" ht="15.75" customHeight="1">
      <c r="A571" s="1"/>
      <c r="B571" s="1"/>
      <c r="C571" s="1"/>
      <c r="D571" s="1"/>
      <c r="E571" s="1"/>
      <c r="F571" s="1"/>
      <c r="G571" s="2"/>
    </row>
    <row r="572" ht="15.75" customHeight="1">
      <c r="A572" s="1"/>
      <c r="B572" s="1"/>
      <c r="C572" s="1"/>
      <c r="D572" s="1"/>
      <c r="E572" s="1"/>
      <c r="F572" s="1"/>
      <c r="G572" s="2"/>
    </row>
    <row r="573" ht="15.75" customHeight="1">
      <c r="A573" s="1"/>
      <c r="B573" s="1"/>
      <c r="C573" s="1"/>
      <c r="D573" s="1"/>
      <c r="E573" s="1"/>
      <c r="F573" s="1"/>
      <c r="G573" s="2"/>
    </row>
    <row r="574" ht="15.75" customHeight="1">
      <c r="A574" s="1"/>
      <c r="B574" s="1"/>
      <c r="C574" s="1"/>
      <c r="D574" s="1"/>
      <c r="E574" s="1"/>
      <c r="F574" s="1"/>
      <c r="G574" s="2"/>
    </row>
    <row r="575" ht="15.75" customHeight="1">
      <c r="A575" s="1"/>
      <c r="B575" s="1"/>
      <c r="C575" s="1"/>
      <c r="D575" s="1"/>
      <c r="E575" s="1"/>
      <c r="F575" s="1"/>
      <c r="G575" s="2"/>
    </row>
    <row r="576" ht="15.75" customHeight="1">
      <c r="A576" s="1"/>
      <c r="B576" s="1"/>
      <c r="C576" s="1"/>
      <c r="D576" s="1"/>
      <c r="E576" s="1"/>
      <c r="F576" s="1"/>
      <c r="G576" s="2"/>
    </row>
    <row r="577" ht="15.75" customHeight="1">
      <c r="A577" s="1"/>
      <c r="B577" s="1"/>
      <c r="C577" s="1"/>
      <c r="D577" s="1"/>
      <c r="E577" s="1"/>
      <c r="F577" s="1"/>
      <c r="G577" s="2"/>
    </row>
    <row r="578" ht="15.75" customHeight="1">
      <c r="A578" s="1"/>
      <c r="B578" s="1"/>
      <c r="C578" s="1"/>
      <c r="D578" s="1"/>
      <c r="E578" s="1"/>
      <c r="F578" s="1"/>
      <c r="G578" s="2"/>
    </row>
    <row r="579" ht="15.75" customHeight="1">
      <c r="A579" s="1"/>
      <c r="B579" s="1"/>
      <c r="C579" s="1"/>
      <c r="D579" s="1"/>
      <c r="E579" s="1"/>
      <c r="F579" s="1"/>
      <c r="G579" s="2"/>
    </row>
    <row r="580" ht="15.75" customHeight="1">
      <c r="A580" s="1"/>
      <c r="B580" s="1"/>
      <c r="C580" s="1"/>
      <c r="D580" s="1"/>
      <c r="E580" s="1"/>
      <c r="F580" s="1"/>
      <c r="G580" s="2"/>
    </row>
    <row r="581" ht="15.75" customHeight="1">
      <c r="A581" s="1"/>
      <c r="B581" s="1"/>
      <c r="C581" s="1"/>
      <c r="D581" s="1"/>
      <c r="E581" s="1"/>
      <c r="F581" s="1"/>
      <c r="G581" s="2"/>
    </row>
    <row r="582" ht="15.75" customHeight="1">
      <c r="A582" s="1"/>
      <c r="B582" s="1"/>
      <c r="C582" s="1"/>
      <c r="D582" s="1"/>
      <c r="E582" s="1"/>
      <c r="F582" s="1"/>
      <c r="G582" s="2"/>
    </row>
    <row r="583" ht="15.75" customHeight="1">
      <c r="A583" s="1"/>
      <c r="B583" s="1"/>
      <c r="C583" s="1"/>
      <c r="D583" s="1"/>
      <c r="E583" s="1"/>
      <c r="F583" s="1"/>
      <c r="G583" s="2"/>
    </row>
    <row r="584" ht="15.75" customHeight="1">
      <c r="A584" s="1"/>
      <c r="B584" s="1"/>
      <c r="C584" s="1"/>
      <c r="D584" s="1"/>
      <c r="E584" s="1"/>
      <c r="F584" s="1"/>
      <c r="G584" s="2"/>
    </row>
    <row r="585" ht="15.75" customHeight="1">
      <c r="A585" s="1"/>
      <c r="B585" s="1"/>
      <c r="C585" s="1"/>
      <c r="D585" s="1"/>
      <c r="E585" s="1"/>
      <c r="F585" s="1"/>
      <c r="G585" s="2"/>
    </row>
    <row r="586" ht="15.75" customHeight="1">
      <c r="A586" s="1"/>
      <c r="B586" s="1"/>
      <c r="C586" s="1"/>
      <c r="D586" s="1"/>
      <c r="E586" s="1"/>
      <c r="F586" s="1"/>
      <c r="G586" s="2"/>
    </row>
    <row r="587" ht="15.75" customHeight="1">
      <c r="A587" s="1"/>
      <c r="B587" s="1"/>
      <c r="C587" s="1"/>
      <c r="D587" s="1"/>
      <c r="E587" s="1"/>
      <c r="F587" s="1"/>
      <c r="G587" s="2"/>
    </row>
    <row r="588" ht="15.75" customHeight="1">
      <c r="A588" s="1"/>
      <c r="B588" s="1"/>
      <c r="C588" s="1"/>
      <c r="D588" s="1"/>
      <c r="E588" s="1"/>
      <c r="F588" s="1"/>
      <c r="G588" s="2"/>
    </row>
    <row r="589" ht="15.75" customHeight="1">
      <c r="A589" s="1"/>
      <c r="B589" s="1"/>
      <c r="C589" s="1"/>
      <c r="D589" s="1"/>
      <c r="E589" s="1"/>
      <c r="F589" s="1"/>
      <c r="G589" s="2"/>
    </row>
    <row r="590" ht="15.75" customHeight="1">
      <c r="A590" s="1"/>
      <c r="B590" s="1"/>
      <c r="C590" s="1"/>
      <c r="D590" s="1"/>
      <c r="E590" s="1"/>
      <c r="F590" s="1"/>
      <c r="G590" s="2"/>
    </row>
    <row r="591" ht="15.75" customHeight="1">
      <c r="A591" s="1"/>
      <c r="B591" s="1"/>
      <c r="C591" s="1"/>
      <c r="D591" s="1"/>
      <c r="E591" s="1"/>
      <c r="F591" s="1"/>
      <c r="G591" s="2"/>
    </row>
    <row r="592" ht="15.75" customHeight="1">
      <c r="A592" s="1"/>
      <c r="B592" s="1"/>
      <c r="C592" s="1"/>
      <c r="D592" s="1"/>
      <c r="E592" s="1"/>
      <c r="F592" s="1"/>
      <c r="G592" s="2"/>
    </row>
    <row r="593" ht="15.75" customHeight="1">
      <c r="A593" s="1"/>
      <c r="B593" s="1"/>
      <c r="C593" s="1"/>
      <c r="D593" s="1"/>
      <c r="E593" s="1"/>
      <c r="F593" s="1"/>
      <c r="G593" s="2"/>
    </row>
    <row r="594" ht="15.75" customHeight="1">
      <c r="A594" s="1"/>
      <c r="B594" s="1"/>
      <c r="C594" s="1"/>
      <c r="D594" s="1"/>
      <c r="E594" s="1"/>
      <c r="F594" s="1"/>
      <c r="G594" s="2"/>
    </row>
    <row r="595" ht="15.75" customHeight="1">
      <c r="A595" s="1"/>
      <c r="B595" s="1"/>
      <c r="C595" s="1"/>
      <c r="D595" s="1"/>
      <c r="E595" s="1"/>
      <c r="F595" s="1"/>
      <c r="G595" s="2"/>
    </row>
    <row r="596" ht="15.75" customHeight="1">
      <c r="A596" s="1"/>
      <c r="B596" s="1"/>
      <c r="C596" s="1"/>
      <c r="D596" s="1"/>
      <c r="E596" s="1"/>
      <c r="F596" s="1"/>
      <c r="G596" s="2"/>
    </row>
    <row r="597" ht="15.75" customHeight="1">
      <c r="A597" s="1"/>
      <c r="B597" s="1"/>
      <c r="C597" s="1"/>
      <c r="D597" s="1"/>
      <c r="E597" s="1"/>
      <c r="F597" s="1"/>
      <c r="G597" s="2"/>
    </row>
    <row r="598" ht="15.75" customHeight="1">
      <c r="A598" s="1"/>
      <c r="B598" s="1"/>
      <c r="C598" s="1"/>
      <c r="D598" s="1"/>
      <c r="E598" s="1"/>
      <c r="F598" s="1"/>
      <c r="G598" s="2"/>
    </row>
    <row r="599" ht="15.75" customHeight="1">
      <c r="A599" s="1"/>
      <c r="B599" s="1"/>
      <c r="C599" s="1"/>
      <c r="D599" s="1"/>
      <c r="E599" s="1"/>
      <c r="F599" s="1"/>
      <c r="G599" s="2"/>
    </row>
    <row r="600" ht="15.75" customHeight="1">
      <c r="A600" s="1"/>
      <c r="B600" s="1"/>
      <c r="C600" s="1"/>
      <c r="D600" s="1"/>
      <c r="E600" s="1"/>
      <c r="F600" s="1"/>
      <c r="G600" s="2"/>
    </row>
    <row r="601" ht="15.75" customHeight="1">
      <c r="A601" s="1"/>
      <c r="B601" s="1"/>
      <c r="C601" s="1"/>
      <c r="D601" s="1"/>
      <c r="E601" s="1"/>
      <c r="F601" s="1"/>
      <c r="G601" s="2"/>
    </row>
    <row r="602" ht="15.75" customHeight="1">
      <c r="A602" s="1"/>
      <c r="B602" s="1"/>
      <c r="C602" s="1"/>
      <c r="D602" s="1"/>
      <c r="E602" s="1"/>
      <c r="F602" s="1"/>
      <c r="G602" s="2"/>
    </row>
    <row r="603" ht="15.75" customHeight="1">
      <c r="A603" s="1"/>
      <c r="B603" s="1"/>
      <c r="C603" s="1"/>
      <c r="D603" s="1"/>
      <c r="E603" s="1"/>
      <c r="F603" s="1"/>
      <c r="G603" s="2"/>
    </row>
    <row r="604" ht="15.75" customHeight="1">
      <c r="A604" s="1"/>
      <c r="B604" s="1"/>
      <c r="C604" s="1"/>
      <c r="D604" s="1"/>
      <c r="E604" s="1"/>
      <c r="F604" s="1"/>
      <c r="G604" s="2"/>
    </row>
    <row r="605" ht="15.75" customHeight="1">
      <c r="A605" s="1"/>
      <c r="B605" s="1"/>
      <c r="C605" s="1"/>
      <c r="D605" s="1"/>
      <c r="E605" s="1"/>
      <c r="F605" s="1"/>
      <c r="G605" s="2"/>
    </row>
    <row r="606" ht="15.75" customHeight="1">
      <c r="A606" s="1"/>
      <c r="B606" s="1"/>
      <c r="C606" s="1"/>
      <c r="D606" s="1"/>
      <c r="E606" s="1"/>
      <c r="F606" s="1"/>
      <c r="G606" s="2"/>
    </row>
    <row r="607" ht="15.75" customHeight="1">
      <c r="A607" s="1"/>
      <c r="B607" s="1"/>
      <c r="C607" s="1"/>
      <c r="D607" s="1"/>
      <c r="E607" s="1"/>
      <c r="F607" s="1"/>
      <c r="G607" s="2"/>
    </row>
    <row r="608" ht="15.75" customHeight="1">
      <c r="A608" s="1"/>
      <c r="B608" s="1"/>
      <c r="C608" s="1"/>
      <c r="D608" s="1"/>
      <c r="E608" s="1"/>
      <c r="F608" s="1"/>
      <c r="G608" s="2"/>
    </row>
    <row r="609" ht="15.75" customHeight="1">
      <c r="A609" s="1"/>
      <c r="B609" s="1"/>
      <c r="C609" s="1"/>
      <c r="D609" s="1"/>
      <c r="E609" s="1"/>
      <c r="F609" s="1"/>
      <c r="G609" s="2"/>
    </row>
    <row r="610" ht="15.75" customHeight="1">
      <c r="A610" s="1"/>
      <c r="B610" s="1"/>
      <c r="C610" s="1"/>
      <c r="D610" s="1"/>
      <c r="E610" s="1"/>
      <c r="F610" s="1"/>
      <c r="G610" s="2"/>
    </row>
    <row r="611" ht="15.75" customHeight="1">
      <c r="A611" s="1"/>
      <c r="B611" s="1"/>
      <c r="C611" s="1"/>
      <c r="D611" s="1"/>
      <c r="E611" s="1"/>
      <c r="F611" s="1"/>
      <c r="G611" s="2"/>
    </row>
    <row r="612" ht="15.75" customHeight="1">
      <c r="A612" s="1"/>
      <c r="B612" s="1"/>
      <c r="C612" s="1"/>
      <c r="D612" s="1"/>
      <c r="E612" s="1"/>
      <c r="F612" s="1"/>
      <c r="G612" s="2"/>
    </row>
    <row r="613" ht="15.75" customHeight="1">
      <c r="A613" s="1"/>
      <c r="B613" s="1"/>
      <c r="C613" s="1"/>
      <c r="D613" s="1"/>
      <c r="E613" s="1"/>
      <c r="F613" s="1"/>
      <c r="G613" s="2"/>
    </row>
    <row r="614" ht="15.75" customHeight="1">
      <c r="A614" s="1"/>
      <c r="B614" s="1"/>
      <c r="C614" s="1"/>
      <c r="D614" s="1"/>
      <c r="E614" s="1"/>
      <c r="F614" s="1"/>
      <c r="G614" s="2"/>
    </row>
    <row r="615" ht="15.75" customHeight="1">
      <c r="A615" s="1"/>
      <c r="B615" s="1"/>
      <c r="C615" s="1"/>
      <c r="D615" s="1"/>
      <c r="E615" s="1"/>
      <c r="F615" s="1"/>
      <c r="G615" s="2"/>
    </row>
    <row r="616" ht="15.75" customHeight="1">
      <c r="A616" s="1"/>
      <c r="B616" s="1"/>
      <c r="C616" s="1"/>
      <c r="D616" s="1"/>
      <c r="E616" s="1"/>
      <c r="F616" s="1"/>
      <c r="G616" s="2"/>
    </row>
    <row r="617" ht="15.75" customHeight="1">
      <c r="A617" s="1"/>
      <c r="B617" s="1"/>
      <c r="C617" s="1"/>
      <c r="D617" s="1"/>
      <c r="E617" s="1"/>
      <c r="F617" s="1"/>
      <c r="G617" s="2"/>
    </row>
    <row r="618" ht="15.75" customHeight="1">
      <c r="A618" s="1"/>
      <c r="B618" s="1"/>
      <c r="C618" s="1"/>
      <c r="D618" s="1"/>
      <c r="E618" s="1"/>
      <c r="F618" s="1"/>
      <c r="G618" s="2"/>
    </row>
    <row r="619" ht="15.75" customHeight="1">
      <c r="A619" s="1"/>
      <c r="B619" s="1"/>
      <c r="C619" s="1"/>
      <c r="D619" s="1"/>
      <c r="E619" s="1"/>
      <c r="F619" s="1"/>
      <c r="G619" s="2"/>
    </row>
    <row r="620" ht="15.75" customHeight="1">
      <c r="A620" s="1"/>
      <c r="B620" s="1"/>
      <c r="C620" s="1"/>
      <c r="D620" s="1"/>
      <c r="E620" s="1"/>
      <c r="F620" s="1"/>
      <c r="G620" s="2"/>
    </row>
    <row r="621" ht="15.75" customHeight="1">
      <c r="A621" s="1"/>
      <c r="B621" s="1"/>
      <c r="C621" s="1"/>
      <c r="D621" s="1"/>
      <c r="E621" s="1"/>
      <c r="F621" s="1"/>
      <c r="G621" s="2"/>
    </row>
    <row r="622" ht="15.75" customHeight="1">
      <c r="A622" s="1"/>
      <c r="B622" s="1"/>
      <c r="C622" s="1"/>
      <c r="D622" s="1"/>
      <c r="E622" s="1"/>
      <c r="F622" s="1"/>
      <c r="G622" s="2"/>
    </row>
    <row r="623" ht="15.75" customHeight="1">
      <c r="A623" s="1"/>
      <c r="B623" s="1"/>
      <c r="C623" s="1"/>
      <c r="D623" s="1"/>
      <c r="E623" s="1"/>
      <c r="F623" s="1"/>
      <c r="G623" s="2"/>
    </row>
    <row r="624" ht="15.75" customHeight="1">
      <c r="A624" s="1"/>
      <c r="B624" s="1"/>
      <c r="C624" s="1"/>
      <c r="D624" s="1"/>
      <c r="E624" s="1"/>
      <c r="F624" s="1"/>
      <c r="G624" s="2"/>
    </row>
    <row r="625" ht="15.75" customHeight="1">
      <c r="A625" s="1"/>
      <c r="B625" s="1"/>
      <c r="C625" s="1"/>
      <c r="D625" s="1"/>
      <c r="E625" s="1"/>
      <c r="F625" s="1"/>
      <c r="G625" s="2"/>
    </row>
    <row r="626" ht="15.75" customHeight="1">
      <c r="A626" s="1"/>
      <c r="B626" s="1"/>
      <c r="C626" s="1"/>
      <c r="D626" s="1"/>
      <c r="E626" s="1"/>
      <c r="F626" s="1"/>
      <c r="G626" s="2"/>
    </row>
    <row r="627" ht="15.75" customHeight="1">
      <c r="A627" s="1"/>
      <c r="B627" s="1"/>
      <c r="C627" s="1"/>
      <c r="D627" s="1"/>
      <c r="E627" s="1"/>
      <c r="F627" s="1"/>
      <c r="G627" s="2"/>
    </row>
    <row r="628" ht="15.75" customHeight="1">
      <c r="A628" s="1"/>
      <c r="B628" s="1"/>
      <c r="C628" s="1"/>
      <c r="D628" s="1"/>
      <c r="E628" s="1"/>
      <c r="F628" s="1"/>
      <c r="G628" s="2"/>
    </row>
    <row r="629" ht="15.75" customHeight="1">
      <c r="A629" s="1"/>
      <c r="B629" s="1"/>
      <c r="C629" s="1"/>
      <c r="D629" s="1"/>
      <c r="E629" s="1"/>
      <c r="F629" s="1"/>
      <c r="G629" s="2"/>
    </row>
    <row r="630" ht="15.75" customHeight="1">
      <c r="A630" s="1"/>
      <c r="B630" s="1"/>
      <c r="C630" s="1"/>
      <c r="D630" s="1"/>
      <c r="E630" s="1"/>
      <c r="F630" s="1"/>
      <c r="G630" s="2"/>
    </row>
    <row r="631" ht="15.75" customHeight="1">
      <c r="A631" s="1"/>
      <c r="B631" s="1"/>
      <c r="C631" s="1"/>
      <c r="D631" s="1"/>
      <c r="E631" s="1"/>
      <c r="F631" s="1"/>
      <c r="G631" s="2"/>
    </row>
    <row r="632" ht="15.75" customHeight="1">
      <c r="A632" s="1"/>
      <c r="B632" s="1"/>
      <c r="C632" s="1"/>
      <c r="D632" s="1"/>
      <c r="E632" s="1"/>
      <c r="F632" s="1"/>
      <c r="G632" s="2"/>
    </row>
    <row r="633" ht="15.75" customHeight="1">
      <c r="A633" s="1"/>
      <c r="B633" s="1"/>
      <c r="C633" s="1"/>
      <c r="D633" s="1"/>
      <c r="E633" s="1"/>
      <c r="F633" s="1"/>
      <c r="G633" s="2"/>
    </row>
    <row r="634" ht="15.75" customHeight="1">
      <c r="A634" s="1"/>
      <c r="B634" s="1"/>
      <c r="C634" s="1"/>
      <c r="D634" s="1"/>
      <c r="E634" s="1"/>
      <c r="F634" s="1"/>
      <c r="G634" s="2"/>
    </row>
    <row r="635" ht="15.75" customHeight="1">
      <c r="A635" s="1"/>
      <c r="B635" s="1"/>
      <c r="C635" s="1"/>
      <c r="D635" s="1"/>
      <c r="E635" s="1"/>
      <c r="F635" s="1"/>
      <c r="G635" s="2"/>
    </row>
    <row r="636" ht="15.75" customHeight="1">
      <c r="A636" s="1"/>
      <c r="B636" s="1"/>
      <c r="C636" s="1"/>
      <c r="D636" s="1"/>
      <c r="E636" s="1"/>
      <c r="F636" s="1"/>
      <c r="G636" s="2"/>
    </row>
    <row r="637" ht="15.75" customHeight="1">
      <c r="A637" s="1"/>
      <c r="B637" s="1"/>
      <c r="C637" s="1"/>
      <c r="D637" s="1"/>
      <c r="E637" s="1"/>
      <c r="F637" s="1"/>
      <c r="G637" s="2"/>
    </row>
    <row r="638" ht="15.75" customHeight="1">
      <c r="A638" s="1"/>
      <c r="B638" s="1"/>
      <c r="C638" s="1"/>
      <c r="D638" s="1"/>
      <c r="E638" s="1"/>
      <c r="F638" s="1"/>
      <c r="G638" s="2"/>
    </row>
    <row r="639" ht="15.75" customHeight="1">
      <c r="A639" s="1"/>
      <c r="B639" s="1"/>
      <c r="C639" s="1"/>
      <c r="D639" s="1"/>
      <c r="E639" s="1"/>
      <c r="F639" s="1"/>
      <c r="G639" s="2"/>
    </row>
    <row r="640" ht="15.75" customHeight="1">
      <c r="A640" s="1"/>
      <c r="B640" s="1"/>
      <c r="C640" s="1"/>
      <c r="D640" s="1"/>
      <c r="E640" s="1"/>
      <c r="F640" s="1"/>
      <c r="G640" s="2"/>
    </row>
    <row r="641" ht="15.75" customHeight="1">
      <c r="A641" s="1"/>
      <c r="B641" s="1"/>
      <c r="C641" s="1"/>
      <c r="D641" s="1"/>
      <c r="E641" s="1"/>
      <c r="F641" s="1"/>
      <c r="G641" s="2"/>
    </row>
    <row r="642" ht="15.75" customHeight="1">
      <c r="A642" s="1"/>
      <c r="B642" s="1"/>
      <c r="C642" s="1"/>
      <c r="D642" s="1"/>
      <c r="E642" s="1"/>
      <c r="F642" s="1"/>
      <c r="G642" s="2"/>
    </row>
    <row r="643" ht="15.75" customHeight="1">
      <c r="A643" s="1"/>
      <c r="B643" s="1"/>
      <c r="C643" s="1"/>
      <c r="D643" s="1"/>
      <c r="E643" s="1"/>
      <c r="F643" s="1"/>
      <c r="G643" s="2"/>
    </row>
    <row r="644" ht="15.75" customHeight="1">
      <c r="A644" s="1"/>
      <c r="B644" s="1"/>
      <c r="C644" s="1"/>
      <c r="D644" s="1"/>
      <c r="E644" s="1"/>
      <c r="F644" s="1"/>
      <c r="G644" s="2"/>
    </row>
    <row r="645" ht="15.75" customHeight="1">
      <c r="A645" s="1"/>
      <c r="B645" s="1"/>
      <c r="C645" s="1"/>
      <c r="D645" s="1"/>
      <c r="E645" s="1"/>
      <c r="F645" s="1"/>
      <c r="G645" s="2"/>
    </row>
    <row r="646" ht="15.75" customHeight="1">
      <c r="A646" s="1"/>
      <c r="B646" s="1"/>
      <c r="C646" s="1"/>
      <c r="D646" s="1"/>
      <c r="E646" s="1"/>
      <c r="F646" s="1"/>
      <c r="G646" s="2"/>
    </row>
    <row r="647" ht="15.75" customHeight="1">
      <c r="A647" s="1"/>
      <c r="B647" s="1"/>
      <c r="C647" s="1"/>
      <c r="D647" s="1"/>
      <c r="E647" s="1"/>
      <c r="F647" s="1"/>
      <c r="G647" s="2"/>
    </row>
    <row r="648" ht="15.75" customHeight="1">
      <c r="A648" s="1"/>
      <c r="B648" s="1"/>
      <c r="C648" s="1"/>
      <c r="D648" s="1"/>
      <c r="E648" s="1"/>
      <c r="F648" s="1"/>
      <c r="G648" s="2"/>
    </row>
    <row r="649" ht="15.75" customHeight="1">
      <c r="A649" s="1"/>
      <c r="B649" s="1"/>
      <c r="C649" s="1"/>
      <c r="D649" s="1"/>
      <c r="E649" s="1"/>
      <c r="F649" s="1"/>
      <c r="G649" s="2"/>
    </row>
    <row r="650" ht="15.75" customHeight="1">
      <c r="A650" s="1"/>
      <c r="B650" s="1"/>
      <c r="C650" s="1"/>
      <c r="D650" s="1"/>
      <c r="E650" s="1"/>
      <c r="F650" s="1"/>
      <c r="G650" s="2"/>
    </row>
    <row r="651" ht="15.75" customHeight="1">
      <c r="A651" s="1"/>
      <c r="B651" s="1"/>
      <c r="C651" s="1"/>
      <c r="D651" s="1"/>
      <c r="E651" s="1"/>
      <c r="F651" s="1"/>
      <c r="G651" s="2"/>
    </row>
    <row r="652" ht="15.75" customHeight="1">
      <c r="A652" s="1"/>
      <c r="B652" s="1"/>
      <c r="C652" s="1"/>
      <c r="D652" s="1"/>
      <c r="E652" s="1"/>
      <c r="F652" s="1"/>
      <c r="G652" s="2"/>
    </row>
    <row r="653" ht="15.75" customHeight="1">
      <c r="A653" s="1"/>
      <c r="B653" s="1"/>
      <c r="C653" s="1"/>
      <c r="D653" s="1"/>
      <c r="E653" s="1"/>
      <c r="F653" s="1"/>
      <c r="G653" s="2"/>
    </row>
    <row r="654" ht="15.75" customHeight="1">
      <c r="A654" s="1"/>
      <c r="B654" s="1"/>
      <c r="C654" s="1"/>
      <c r="D654" s="1"/>
      <c r="E654" s="1"/>
      <c r="F654" s="1"/>
      <c r="G654" s="2"/>
    </row>
    <row r="655" ht="15.75" customHeight="1">
      <c r="A655" s="1"/>
      <c r="B655" s="1"/>
      <c r="C655" s="1"/>
      <c r="D655" s="1"/>
      <c r="E655" s="1"/>
      <c r="F655" s="1"/>
      <c r="G655" s="2"/>
    </row>
    <row r="656" ht="15.75" customHeight="1">
      <c r="A656" s="1"/>
      <c r="B656" s="1"/>
      <c r="C656" s="1"/>
      <c r="D656" s="1"/>
      <c r="E656" s="1"/>
      <c r="F656" s="1"/>
      <c r="G656" s="2"/>
    </row>
    <row r="657" ht="15.75" customHeight="1">
      <c r="A657" s="1"/>
      <c r="B657" s="1"/>
      <c r="C657" s="1"/>
      <c r="D657" s="1"/>
      <c r="E657" s="1"/>
      <c r="F657" s="1"/>
      <c r="G657" s="2"/>
    </row>
    <row r="658" ht="15.75" customHeight="1">
      <c r="A658" s="1"/>
      <c r="B658" s="1"/>
      <c r="C658" s="1"/>
      <c r="D658" s="1"/>
      <c r="E658" s="1"/>
      <c r="F658" s="1"/>
      <c r="G658" s="2"/>
    </row>
    <row r="659" ht="15.75" customHeight="1">
      <c r="A659" s="1"/>
      <c r="B659" s="1"/>
      <c r="C659" s="1"/>
      <c r="D659" s="1"/>
      <c r="E659" s="1"/>
      <c r="F659" s="1"/>
      <c r="G659" s="2"/>
    </row>
    <row r="660" ht="15.75" customHeight="1">
      <c r="A660" s="1"/>
      <c r="B660" s="1"/>
      <c r="C660" s="1"/>
      <c r="D660" s="1"/>
      <c r="E660" s="1"/>
      <c r="F660" s="1"/>
      <c r="G660" s="2"/>
    </row>
    <row r="661" ht="15.75" customHeight="1">
      <c r="A661" s="1"/>
      <c r="B661" s="1"/>
      <c r="C661" s="1"/>
      <c r="D661" s="1"/>
      <c r="E661" s="1"/>
      <c r="F661" s="1"/>
      <c r="G661" s="2"/>
    </row>
    <row r="662" ht="15.75" customHeight="1">
      <c r="A662" s="1"/>
      <c r="B662" s="1"/>
      <c r="C662" s="1"/>
      <c r="D662" s="1"/>
      <c r="E662" s="1"/>
      <c r="F662" s="1"/>
      <c r="G662" s="2"/>
    </row>
    <row r="663" ht="15.75" customHeight="1">
      <c r="A663" s="1"/>
      <c r="B663" s="1"/>
      <c r="C663" s="1"/>
      <c r="D663" s="1"/>
      <c r="E663" s="1"/>
      <c r="F663" s="1"/>
      <c r="G663" s="2"/>
    </row>
    <row r="664" ht="15.75" customHeight="1">
      <c r="A664" s="1"/>
      <c r="B664" s="1"/>
      <c r="C664" s="1"/>
      <c r="D664" s="1"/>
      <c r="E664" s="1"/>
      <c r="F664" s="1"/>
      <c r="G664" s="2"/>
    </row>
    <row r="665" ht="15.75" customHeight="1">
      <c r="A665" s="1"/>
      <c r="B665" s="1"/>
      <c r="C665" s="1"/>
      <c r="D665" s="1"/>
      <c r="E665" s="1"/>
      <c r="F665" s="1"/>
      <c r="G665" s="2"/>
    </row>
    <row r="666" ht="15.75" customHeight="1">
      <c r="A666" s="1"/>
      <c r="B666" s="1"/>
      <c r="C666" s="1"/>
      <c r="D666" s="1"/>
      <c r="E666" s="1"/>
      <c r="F666" s="1"/>
      <c r="G666" s="2"/>
    </row>
    <row r="667" ht="15.75" customHeight="1">
      <c r="A667" s="1"/>
      <c r="B667" s="1"/>
      <c r="C667" s="1"/>
      <c r="D667" s="1"/>
      <c r="E667" s="1"/>
      <c r="F667" s="1"/>
      <c r="G667" s="2"/>
    </row>
    <row r="668" ht="15.75" customHeight="1">
      <c r="A668" s="1"/>
      <c r="B668" s="1"/>
      <c r="C668" s="1"/>
      <c r="D668" s="1"/>
      <c r="E668" s="1"/>
      <c r="F668" s="1"/>
      <c r="G668" s="2"/>
    </row>
    <row r="669" ht="15.75" customHeight="1">
      <c r="A669" s="1"/>
      <c r="B669" s="1"/>
      <c r="C669" s="1"/>
      <c r="D669" s="1"/>
      <c r="E669" s="1"/>
      <c r="F669" s="1"/>
      <c r="G669" s="2"/>
    </row>
    <row r="670" ht="15.75" customHeight="1">
      <c r="A670" s="1"/>
      <c r="B670" s="1"/>
      <c r="C670" s="1"/>
      <c r="D670" s="1"/>
      <c r="E670" s="1"/>
      <c r="F670" s="1"/>
      <c r="G670" s="2"/>
    </row>
    <row r="671" ht="15.75" customHeight="1">
      <c r="A671" s="1"/>
      <c r="B671" s="1"/>
      <c r="C671" s="1"/>
      <c r="D671" s="1"/>
      <c r="E671" s="1"/>
      <c r="F671" s="1"/>
      <c r="G671" s="2"/>
    </row>
    <row r="672" ht="15.75" customHeight="1">
      <c r="A672" s="1"/>
      <c r="B672" s="1"/>
      <c r="C672" s="1"/>
      <c r="D672" s="1"/>
      <c r="E672" s="1"/>
      <c r="F672" s="1"/>
      <c r="G672" s="2"/>
    </row>
    <row r="673" ht="15.75" customHeight="1">
      <c r="A673" s="1"/>
      <c r="B673" s="1"/>
      <c r="C673" s="1"/>
      <c r="D673" s="1"/>
      <c r="E673" s="1"/>
      <c r="F673" s="1"/>
      <c r="G673" s="2"/>
    </row>
    <row r="674" ht="15.75" customHeight="1">
      <c r="A674" s="1"/>
      <c r="B674" s="1"/>
      <c r="C674" s="1"/>
      <c r="D674" s="1"/>
      <c r="E674" s="1"/>
      <c r="F674" s="1"/>
      <c r="G674" s="2"/>
    </row>
    <row r="675" ht="15.75" customHeight="1">
      <c r="A675" s="1"/>
      <c r="B675" s="1"/>
      <c r="C675" s="1"/>
      <c r="D675" s="1"/>
      <c r="E675" s="1"/>
      <c r="F675" s="1"/>
      <c r="G675" s="2"/>
    </row>
    <row r="676" ht="15.75" customHeight="1">
      <c r="A676" s="1"/>
      <c r="B676" s="1"/>
      <c r="C676" s="1"/>
      <c r="D676" s="1"/>
      <c r="E676" s="1"/>
      <c r="F676" s="1"/>
      <c r="G676" s="2"/>
    </row>
    <row r="677" ht="15.75" customHeight="1">
      <c r="A677" s="1"/>
      <c r="B677" s="1"/>
      <c r="C677" s="1"/>
      <c r="D677" s="1"/>
      <c r="E677" s="1"/>
      <c r="F677" s="1"/>
      <c r="G677" s="2"/>
    </row>
    <row r="678" ht="15.75" customHeight="1">
      <c r="A678" s="1"/>
      <c r="B678" s="1"/>
      <c r="C678" s="1"/>
      <c r="D678" s="1"/>
      <c r="E678" s="1"/>
      <c r="F678" s="1"/>
      <c r="G678" s="2"/>
    </row>
    <row r="679" ht="15.75" customHeight="1">
      <c r="A679" s="1"/>
      <c r="B679" s="1"/>
      <c r="C679" s="1"/>
      <c r="D679" s="1"/>
      <c r="E679" s="1"/>
      <c r="F679" s="1"/>
      <c r="G679" s="2"/>
    </row>
    <row r="680" ht="15.75" customHeight="1">
      <c r="A680" s="1"/>
      <c r="B680" s="1"/>
      <c r="C680" s="1"/>
      <c r="D680" s="1"/>
      <c r="E680" s="1"/>
      <c r="F680" s="1"/>
      <c r="G680" s="2"/>
    </row>
    <row r="681" ht="15.75" customHeight="1">
      <c r="A681" s="1"/>
      <c r="B681" s="1"/>
      <c r="C681" s="1"/>
      <c r="D681" s="1"/>
      <c r="E681" s="1"/>
      <c r="F681" s="1"/>
      <c r="G681" s="2"/>
    </row>
    <row r="682" ht="15.75" customHeight="1">
      <c r="A682" s="1"/>
      <c r="B682" s="1"/>
      <c r="C682" s="1"/>
      <c r="D682" s="1"/>
      <c r="E682" s="1"/>
      <c r="F682" s="1"/>
      <c r="G682" s="2"/>
    </row>
    <row r="683" ht="15.75" customHeight="1">
      <c r="A683" s="1"/>
      <c r="B683" s="1"/>
      <c r="C683" s="1"/>
      <c r="D683" s="1"/>
      <c r="E683" s="1"/>
      <c r="F683" s="1"/>
      <c r="G683" s="2"/>
    </row>
    <row r="684" ht="15.75" customHeight="1">
      <c r="A684" s="1"/>
      <c r="B684" s="1"/>
      <c r="C684" s="1"/>
      <c r="D684" s="1"/>
      <c r="E684" s="1"/>
      <c r="F684" s="1"/>
      <c r="G684" s="2"/>
    </row>
    <row r="685" ht="15.75" customHeight="1">
      <c r="A685" s="1"/>
      <c r="B685" s="1"/>
      <c r="C685" s="1"/>
      <c r="D685" s="1"/>
      <c r="E685" s="1"/>
      <c r="F685" s="1"/>
      <c r="G685" s="2"/>
    </row>
    <row r="686" ht="15.75" customHeight="1">
      <c r="A686" s="1"/>
      <c r="B686" s="1"/>
      <c r="C686" s="1"/>
      <c r="D686" s="1"/>
      <c r="E686" s="1"/>
      <c r="F686" s="1"/>
      <c r="G686" s="2"/>
    </row>
    <row r="687" ht="15.75" customHeight="1">
      <c r="A687" s="1"/>
      <c r="B687" s="1"/>
      <c r="C687" s="1"/>
      <c r="D687" s="1"/>
      <c r="E687" s="1"/>
      <c r="F687" s="1"/>
      <c r="G687" s="2"/>
    </row>
    <row r="688" ht="15.75" customHeight="1">
      <c r="A688" s="1"/>
      <c r="B688" s="1"/>
      <c r="C688" s="1"/>
      <c r="D688" s="1"/>
      <c r="E688" s="1"/>
      <c r="F688" s="1"/>
      <c r="G688" s="2"/>
    </row>
    <row r="689" ht="15.75" customHeight="1">
      <c r="A689" s="1"/>
      <c r="B689" s="1"/>
      <c r="C689" s="1"/>
      <c r="D689" s="1"/>
      <c r="E689" s="1"/>
      <c r="F689" s="1"/>
      <c r="G689" s="2"/>
    </row>
    <row r="690" ht="15.75" customHeight="1">
      <c r="A690" s="1"/>
      <c r="B690" s="1"/>
      <c r="C690" s="1"/>
      <c r="D690" s="1"/>
      <c r="E690" s="1"/>
      <c r="F690" s="1"/>
      <c r="G690" s="2"/>
    </row>
    <row r="691" ht="15.75" customHeight="1">
      <c r="A691" s="1"/>
      <c r="B691" s="1"/>
      <c r="C691" s="1"/>
      <c r="D691" s="1"/>
      <c r="E691" s="1"/>
      <c r="F691" s="1"/>
      <c r="G691" s="2"/>
    </row>
    <row r="692" ht="15.75" customHeight="1">
      <c r="A692" s="1"/>
      <c r="B692" s="1"/>
      <c r="C692" s="1"/>
      <c r="D692" s="1"/>
      <c r="E692" s="1"/>
      <c r="F692" s="1"/>
      <c r="G692" s="2"/>
    </row>
    <row r="693" ht="15.75" customHeight="1">
      <c r="A693" s="1"/>
      <c r="B693" s="1"/>
      <c r="C693" s="1"/>
      <c r="D693" s="1"/>
      <c r="E693" s="1"/>
      <c r="F693" s="1"/>
      <c r="G693" s="2"/>
    </row>
    <row r="694" ht="15.75" customHeight="1">
      <c r="A694" s="1"/>
      <c r="B694" s="1"/>
      <c r="C694" s="1"/>
      <c r="D694" s="1"/>
      <c r="E694" s="1"/>
      <c r="F694" s="1"/>
      <c r="G694" s="2"/>
    </row>
    <row r="695" ht="15.75" customHeight="1">
      <c r="A695" s="1"/>
      <c r="B695" s="1"/>
      <c r="C695" s="1"/>
      <c r="D695" s="1"/>
      <c r="E695" s="1"/>
      <c r="F695" s="1"/>
      <c r="G695" s="2"/>
    </row>
    <row r="696" ht="15.75" customHeight="1">
      <c r="A696" s="1"/>
      <c r="B696" s="1"/>
      <c r="C696" s="1"/>
      <c r="D696" s="1"/>
      <c r="E696" s="1"/>
      <c r="F696" s="1"/>
      <c r="G696" s="2"/>
    </row>
    <row r="697" ht="15.75" customHeight="1">
      <c r="A697" s="1"/>
      <c r="B697" s="1"/>
      <c r="C697" s="1"/>
      <c r="D697" s="1"/>
      <c r="E697" s="1"/>
      <c r="F697" s="1"/>
      <c r="G697" s="2"/>
    </row>
    <row r="698" ht="15.75" customHeight="1">
      <c r="A698" s="1"/>
      <c r="B698" s="1"/>
      <c r="C698" s="1"/>
      <c r="D698" s="1"/>
      <c r="E698" s="1"/>
      <c r="F698" s="1"/>
      <c r="G698" s="2"/>
    </row>
    <row r="699" ht="15.75" customHeight="1">
      <c r="A699" s="1"/>
      <c r="B699" s="1"/>
      <c r="C699" s="1"/>
      <c r="D699" s="1"/>
      <c r="E699" s="1"/>
      <c r="F699" s="1"/>
      <c r="G699" s="2"/>
    </row>
    <row r="700" ht="15.75" customHeight="1">
      <c r="A700" s="1"/>
      <c r="B700" s="1"/>
      <c r="C700" s="1"/>
      <c r="D700" s="1"/>
      <c r="E700" s="1"/>
      <c r="F700" s="1"/>
      <c r="G700" s="2"/>
    </row>
    <row r="701" ht="15.75" customHeight="1">
      <c r="A701" s="1"/>
      <c r="B701" s="1"/>
      <c r="C701" s="1"/>
      <c r="D701" s="1"/>
      <c r="E701" s="1"/>
      <c r="F701" s="1"/>
      <c r="G701" s="2"/>
    </row>
    <row r="702" ht="15.75" customHeight="1">
      <c r="A702" s="1"/>
      <c r="B702" s="1"/>
      <c r="C702" s="1"/>
      <c r="D702" s="1"/>
      <c r="E702" s="1"/>
      <c r="F702" s="1"/>
      <c r="G702" s="2"/>
    </row>
    <row r="703" ht="15.75" customHeight="1">
      <c r="A703" s="1"/>
      <c r="B703" s="1"/>
      <c r="C703" s="1"/>
      <c r="D703" s="1"/>
      <c r="E703" s="1"/>
      <c r="F703" s="1"/>
      <c r="G703" s="2"/>
    </row>
    <row r="704" ht="15.75" customHeight="1">
      <c r="A704" s="1"/>
      <c r="B704" s="1"/>
      <c r="C704" s="1"/>
      <c r="D704" s="1"/>
      <c r="E704" s="1"/>
      <c r="F704" s="1"/>
      <c r="G704" s="2"/>
    </row>
    <row r="705" ht="15.75" customHeight="1">
      <c r="A705" s="1"/>
      <c r="B705" s="1"/>
      <c r="C705" s="1"/>
      <c r="D705" s="1"/>
      <c r="E705" s="1"/>
      <c r="F705" s="1"/>
      <c r="G705" s="2"/>
    </row>
    <row r="706" ht="15.75" customHeight="1">
      <c r="A706" s="1"/>
      <c r="B706" s="1"/>
      <c r="C706" s="1"/>
      <c r="D706" s="1"/>
      <c r="E706" s="1"/>
      <c r="F706" s="1"/>
      <c r="G706" s="2"/>
    </row>
    <row r="707" ht="15.75" customHeight="1">
      <c r="A707" s="1"/>
      <c r="B707" s="1"/>
      <c r="C707" s="1"/>
      <c r="D707" s="1"/>
      <c r="E707" s="1"/>
      <c r="F707" s="1"/>
      <c r="G707" s="2"/>
    </row>
    <row r="708" ht="15.75" customHeight="1">
      <c r="A708" s="1"/>
      <c r="B708" s="1"/>
      <c r="C708" s="1"/>
      <c r="D708" s="1"/>
      <c r="E708" s="1"/>
      <c r="F708" s="1"/>
      <c r="G708" s="2"/>
    </row>
    <row r="709" ht="15.75" customHeight="1">
      <c r="A709" s="1"/>
      <c r="B709" s="1"/>
      <c r="C709" s="1"/>
      <c r="D709" s="1"/>
      <c r="E709" s="1"/>
      <c r="F709" s="1"/>
      <c r="G709" s="2"/>
    </row>
    <row r="710" ht="15.75" customHeight="1">
      <c r="A710" s="1"/>
      <c r="B710" s="1"/>
      <c r="C710" s="1"/>
      <c r="D710" s="1"/>
      <c r="E710" s="1"/>
      <c r="F710" s="1"/>
      <c r="G710" s="2"/>
    </row>
    <row r="711" ht="15.75" customHeight="1">
      <c r="A711" s="1"/>
      <c r="B711" s="1"/>
      <c r="C711" s="1"/>
      <c r="D711" s="1"/>
      <c r="E711" s="1"/>
      <c r="F711" s="1"/>
      <c r="G711" s="2"/>
    </row>
    <row r="712" ht="15.75" customHeight="1">
      <c r="A712" s="1"/>
      <c r="B712" s="1"/>
      <c r="C712" s="1"/>
      <c r="D712" s="1"/>
      <c r="E712" s="1"/>
      <c r="F712" s="1"/>
      <c r="G712" s="2"/>
    </row>
    <row r="713" ht="15.75" customHeight="1">
      <c r="A713" s="1"/>
      <c r="B713" s="1"/>
      <c r="C713" s="1"/>
      <c r="D713" s="1"/>
      <c r="E713" s="1"/>
      <c r="F713" s="1"/>
      <c r="G713" s="2"/>
    </row>
    <row r="714" ht="15.75" customHeight="1">
      <c r="A714" s="1"/>
      <c r="B714" s="1"/>
      <c r="C714" s="1"/>
      <c r="D714" s="1"/>
      <c r="E714" s="1"/>
      <c r="F714" s="1"/>
      <c r="G714" s="2"/>
    </row>
    <row r="715" ht="15.75" customHeight="1">
      <c r="A715" s="1"/>
      <c r="B715" s="1"/>
      <c r="C715" s="1"/>
      <c r="D715" s="1"/>
      <c r="E715" s="1"/>
      <c r="F715" s="1"/>
      <c r="G715" s="2"/>
    </row>
    <row r="716" ht="15.75" customHeight="1">
      <c r="A716" s="1"/>
      <c r="B716" s="1"/>
      <c r="C716" s="1"/>
      <c r="D716" s="1"/>
      <c r="E716" s="1"/>
      <c r="F716" s="1"/>
      <c r="G716" s="2"/>
    </row>
    <row r="717" ht="15.75" customHeight="1">
      <c r="A717" s="1"/>
      <c r="B717" s="1"/>
      <c r="C717" s="1"/>
      <c r="D717" s="1"/>
      <c r="E717" s="1"/>
      <c r="F717" s="1"/>
      <c r="G717" s="2"/>
    </row>
    <row r="718" ht="15.75" customHeight="1">
      <c r="A718" s="1"/>
      <c r="B718" s="1"/>
      <c r="C718" s="1"/>
      <c r="D718" s="1"/>
      <c r="E718" s="1"/>
      <c r="F718" s="1"/>
      <c r="G718" s="2"/>
    </row>
    <row r="719" ht="15.75" customHeight="1">
      <c r="A719" s="1"/>
      <c r="B719" s="1"/>
      <c r="C719" s="1"/>
      <c r="D719" s="1"/>
      <c r="E719" s="1"/>
      <c r="F719" s="1"/>
      <c r="G719" s="2"/>
    </row>
    <row r="720" ht="15.75" customHeight="1">
      <c r="A720" s="1"/>
      <c r="B720" s="1"/>
      <c r="C720" s="1"/>
      <c r="D720" s="1"/>
      <c r="E720" s="1"/>
      <c r="F720" s="1"/>
      <c r="G720" s="2"/>
    </row>
    <row r="721" ht="15.75" customHeight="1">
      <c r="A721" s="1"/>
      <c r="B721" s="1"/>
      <c r="C721" s="1"/>
      <c r="D721" s="1"/>
      <c r="E721" s="1"/>
      <c r="F721" s="1"/>
      <c r="G721" s="2"/>
    </row>
    <row r="722" ht="15.75" customHeight="1">
      <c r="A722" s="1"/>
      <c r="B722" s="1"/>
      <c r="C722" s="1"/>
      <c r="D722" s="1"/>
      <c r="E722" s="1"/>
      <c r="F722" s="1"/>
      <c r="G722" s="2"/>
    </row>
    <row r="723" ht="15.75" customHeight="1">
      <c r="A723" s="1"/>
      <c r="B723" s="1"/>
      <c r="C723" s="1"/>
      <c r="D723" s="1"/>
      <c r="E723" s="1"/>
      <c r="F723" s="1"/>
      <c r="G723" s="2"/>
    </row>
    <row r="724" ht="15.75" customHeight="1">
      <c r="A724" s="1"/>
      <c r="B724" s="1"/>
      <c r="C724" s="1"/>
      <c r="D724" s="1"/>
      <c r="E724" s="1"/>
      <c r="F724" s="1"/>
      <c r="G724" s="2"/>
    </row>
    <row r="725" ht="15.75" customHeight="1">
      <c r="A725" s="1"/>
      <c r="B725" s="1"/>
      <c r="C725" s="1"/>
      <c r="D725" s="1"/>
      <c r="E725" s="1"/>
      <c r="F725" s="1"/>
      <c r="G725" s="2"/>
    </row>
    <row r="726" ht="15.75" customHeight="1">
      <c r="A726" s="1"/>
      <c r="B726" s="1"/>
      <c r="C726" s="1"/>
      <c r="D726" s="1"/>
      <c r="E726" s="1"/>
      <c r="F726" s="1"/>
      <c r="G726" s="2"/>
    </row>
    <row r="727" ht="15.75" customHeight="1">
      <c r="A727" s="1"/>
      <c r="B727" s="1"/>
      <c r="C727" s="1"/>
      <c r="D727" s="1"/>
      <c r="E727" s="1"/>
      <c r="F727" s="1"/>
      <c r="G727" s="2"/>
    </row>
    <row r="728" ht="15.75" customHeight="1">
      <c r="A728" s="1"/>
      <c r="B728" s="1"/>
      <c r="C728" s="1"/>
      <c r="D728" s="1"/>
      <c r="E728" s="1"/>
      <c r="F728" s="1"/>
      <c r="G728" s="2"/>
    </row>
    <row r="729" ht="15.75" customHeight="1">
      <c r="A729" s="1"/>
      <c r="B729" s="1"/>
      <c r="C729" s="1"/>
      <c r="D729" s="1"/>
      <c r="E729" s="1"/>
      <c r="F729" s="1"/>
      <c r="G729" s="2"/>
    </row>
    <row r="730" ht="15.75" customHeight="1">
      <c r="A730" s="1"/>
      <c r="B730" s="1"/>
      <c r="C730" s="1"/>
      <c r="D730" s="1"/>
      <c r="E730" s="1"/>
      <c r="F730" s="1"/>
      <c r="G730" s="2"/>
    </row>
    <row r="731" ht="15.75" customHeight="1">
      <c r="A731" s="1"/>
      <c r="B731" s="1"/>
      <c r="C731" s="1"/>
      <c r="D731" s="1"/>
      <c r="E731" s="1"/>
      <c r="F731" s="1"/>
      <c r="G731" s="2"/>
    </row>
    <row r="732" ht="15.75" customHeight="1">
      <c r="A732" s="1"/>
      <c r="B732" s="1"/>
      <c r="C732" s="1"/>
      <c r="D732" s="1"/>
      <c r="E732" s="1"/>
      <c r="F732" s="1"/>
      <c r="G732" s="2"/>
    </row>
    <row r="733" ht="15.75" customHeight="1">
      <c r="A733" s="1"/>
      <c r="B733" s="1"/>
      <c r="C733" s="1"/>
      <c r="D733" s="1"/>
      <c r="E733" s="1"/>
      <c r="F733" s="1"/>
      <c r="G733" s="2"/>
    </row>
    <row r="734" ht="15.75" customHeight="1">
      <c r="A734" s="1"/>
      <c r="B734" s="1"/>
      <c r="C734" s="1"/>
      <c r="D734" s="1"/>
      <c r="E734" s="1"/>
      <c r="F734" s="1"/>
      <c r="G734" s="2"/>
    </row>
    <row r="735" ht="15.75" customHeight="1">
      <c r="A735" s="1"/>
      <c r="B735" s="1"/>
      <c r="C735" s="1"/>
      <c r="D735" s="1"/>
      <c r="E735" s="1"/>
      <c r="F735" s="1"/>
      <c r="G735" s="2"/>
    </row>
    <row r="736" ht="15.75" customHeight="1">
      <c r="A736" s="1"/>
      <c r="B736" s="1"/>
      <c r="C736" s="1"/>
      <c r="D736" s="1"/>
      <c r="E736" s="1"/>
      <c r="F736" s="1"/>
      <c r="G736" s="2"/>
    </row>
    <row r="737" ht="15.75" customHeight="1">
      <c r="A737" s="1"/>
      <c r="B737" s="1"/>
      <c r="C737" s="1"/>
      <c r="D737" s="1"/>
      <c r="E737" s="1"/>
      <c r="F737" s="1"/>
      <c r="G737" s="2"/>
    </row>
    <row r="738" ht="15.75" customHeight="1">
      <c r="A738" s="1"/>
      <c r="B738" s="1"/>
      <c r="C738" s="1"/>
      <c r="D738" s="1"/>
      <c r="E738" s="1"/>
      <c r="F738" s="1"/>
      <c r="G738" s="2"/>
    </row>
    <row r="739" ht="15.75" customHeight="1">
      <c r="A739" s="1"/>
      <c r="B739" s="1"/>
      <c r="C739" s="1"/>
      <c r="D739" s="1"/>
      <c r="E739" s="1"/>
      <c r="F739" s="1"/>
      <c r="G739" s="2"/>
    </row>
    <row r="740" ht="15.75" customHeight="1">
      <c r="A740" s="1"/>
      <c r="B740" s="1"/>
      <c r="C740" s="1"/>
      <c r="D740" s="1"/>
      <c r="E740" s="1"/>
      <c r="F740" s="1"/>
      <c r="G740" s="2"/>
    </row>
    <row r="741" ht="15.75" customHeight="1">
      <c r="A741" s="1"/>
      <c r="B741" s="1"/>
      <c r="C741" s="1"/>
      <c r="D741" s="1"/>
      <c r="E741" s="1"/>
      <c r="F741" s="1"/>
      <c r="G741" s="2"/>
    </row>
    <row r="742" ht="15.75" customHeight="1">
      <c r="A742" s="1"/>
      <c r="B742" s="1"/>
      <c r="C742" s="1"/>
      <c r="D742" s="1"/>
      <c r="E742" s="1"/>
      <c r="F742" s="1"/>
      <c r="G742" s="2"/>
    </row>
    <row r="743" ht="15.75" customHeight="1">
      <c r="A743" s="1"/>
      <c r="B743" s="1"/>
      <c r="C743" s="1"/>
      <c r="D743" s="1"/>
      <c r="E743" s="1"/>
      <c r="F743" s="1"/>
      <c r="G743" s="2"/>
    </row>
    <row r="744" ht="15.75" customHeight="1">
      <c r="A744" s="1"/>
      <c r="B744" s="1"/>
      <c r="C744" s="1"/>
      <c r="D744" s="1"/>
      <c r="E744" s="1"/>
      <c r="F744" s="1"/>
      <c r="G744" s="2"/>
    </row>
    <row r="745" ht="15.75" customHeight="1">
      <c r="A745" s="1"/>
      <c r="B745" s="1"/>
      <c r="C745" s="1"/>
      <c r="D745" s="1"/>
      <c r="E745" s="1"/>
      <c r="F745" s="1"/>
      <c r="G745" s="2"/>
    </row>
    <row r="746" ht="15.75" customHeight="1">
      <c r="A746" s="1"/>
      <c r="B746" s="1"/>
      <c r="C746" s="1"/>
      <c r="D746" s="1"/>
      <c r="E746" s="1"/>
      <c r="F746" s="1"/>
      <c r="G746" s="2"/>
    </row>
    <row r="747" ht="15.75" customHeight="1">
      <c r="A747" s="1"/>
      <c r="B747" s="1"/>
      <c r="C747" s="1"/>
      <c r="D747" s="1"/>
      <c r="E747" s="1"/>
      <c r="F747" s="1"/>
      <c r="G747" s="2"/>
    </row>
    <row r="748" ht="15.75" customHeight="1">
      <c r="A748" s="1"/>
      <c r="B748" s="1"/>
      <c r="C748" s="1"/>
      <c r="D748" s="1"/>
      <c r="E748" s="1"/>
      <c r="F748" s="1"/>
      <c r="G748" s="2"/>
    </row>
    <row r="749" ht="15.75" customHeight="1">
      <c r="A749" s="1"/>
      <c r="B749" s="1"/>
      <c r="C749" s="1"/>
      <c r="D749" s="1"/>
      <c r="E749" s="1"/>
      <c r="F749" s="1"/>
      <c r="G749" s="2"/>
    </row>
    <row r="750" ht="15.75" customHeight="1">
      <c r="A750" s="1"/>
      <c r="B750" s="1"/>
      <c r="C750" s="1"/>
      <c r="D750" s="1"/>
      <c r="E750" s="1"/>
      <c r="F750" s="1"/>
      <c r="G750" s="2"/>
    </row>
    <row r="751" ht="15.75" customHeight="1">
      <c r="A751" s="1"/>
      <c r="B751" s="1"/>
      <c r="C751" s="1"/>
      <c r="D751" s="1"/>
      <c r="E751" s="1"/>
      <c r="F751" s="1"/>
      <c r="G751" s="2"/>
    </row>
    <row r="752" ht="15.75" customHeight="1">
      <c r="A752" s="1"/>
      <c r="B752" s="1"/>
      <c r="C752" s="1"/>
      <c r="D752" s="1"/>
      <c r="E752" s="1"/>
      <c r="F752" s="1"/>
      <c r="G752" s="2"/>
    </row>
    <row r="753" ht="15.75" customHeight="1">
      <c r="A753" s="1"/>
      <c r="B753" s="1"/>
      <c r="C753" s="1"/>
      <c r="D753" s="1"/>
      <c r="E753" s="1"/>
      <c r="F753" s="1"/>
      <c r="G753" s="2"/>
    </row>
    <row r="754" ht="15.75" customHeight="1">
      <c r="A754" s="1"/>
      <c r="B754" s="1"/>
      <c r="C754" s="1"/>
      <c r="D754" s="1"/>
      <c r="E754" s="1"/>
      <c r="F754" s="1"/>
      <c r="G754" s="2"/>
    </row>
    <row r="755" ht="15.75" customHeight="1">
      <c r="A755" s="1"/>
      <c r="B755" s="1"/>
      <c r="C755" s="1"/>
      <c r="D755" s="1"/>
      <c r="E755" s="1"/>
      <c r="F755" s="1"/>
      <c r="G755" s="2"/>
    </row>
    <row r="756" ht="15.75" customHeight="1">
      <c r="A756" s="1"/>
      <c r="B756" s="1"/>
      <c r="C756" s="1"/>
      <c r="D756" s="1"/>
      <c r="E756" s="1"/>
      <c r="F756" s="1"/>
      <c r="G756" s="2"/>
    </row>
    <row r="757" ht="15.75" customHeight="1">
      <c r="A757" s="1"/>
      <c r="B757" s="1"/>
      <c r="C757" s="1"/>
      <c r="D757" s="1"/>
      <c r="E757" s="1"/>
      <c r="F757" s="1"/>
      <c r="G757" s="2"/>
    </row>
    <row r="758" ht="15.75" customHeight="1">
      <c r="A758" s="1"/>
      <c r="B758" s="1"/>
      <c r="C758" s="1"/>
      <c r="D758" s="1"/>
      <c r="E758" s="1"/>
      <c r="F758" s="1"/>
      <c r="G758" s="2"/>
    </row>
    <row r="759" ht="15.75" customHeight="1">
      <c r="A759" s="1"/>
      <c r="B759" s="1"/>
      <c r="C759" s="1"/>
      <c r="D759" s="1"/>
      <c r="E759" s="1"/>
      <c r="F759" s="1"/>
      <c r="G759" s="2"/>
    </row>
    <row r="760" ht="15.75" customHeight="1">
      <c r="A760" s="1"/>
      <c r="B760" s="1"/>
      <c r="C760" s="1"/>
      <c r="D760" s="1"/>
      <c r="E760" s="1"/>
      <c r="F760" s="1"/>
      <c r="G760" s="2"/>
    </row>
    <row r="761" ht="15.75" customHeight="1">
      <c r="A761" s="1"/>
      <c r="B761" s="1"/>
      <c r="C761" s="1"/>
      <c r="D761" s="1"/>
      <c r="E761" s="1"/>
      <c r="F761" s="1"/>
      <c r="G761" s="2"/>
    </row>
    <row r="762" ht="15.75" customHeight="1">
      <c r="A762" s="1"/>
      <c r="B762" s="1"/>
      <c r="C762" s="1"/>
      <c r="D762" s="1"/>
      <c r="E762" s="1"/>
      <c r="F762" s="1"/>
      <c r="G762" s="2"/>
    </row>
    <row r="763" ht="15.75" customHeight="1">
      <c r="A763" s="1"/>
      <c r="B763" s="1"/>
      <c r="C763" s="1"/>
      <c r="D763" s="1"/>
      <c r="E763" s="1"/>
      <c r="F763" s="1"/>
      <c r="G763" s="2"/>
    </row>
    <row r="764" ht="15.75" customHeight="1">
      <c r="A764" s="1"/>
      <c r="B764" s="1"/>
      <c r="C764" s="1"/>
      <c r="D764" s="1"/>
      <c r="E764" s="1"/>
      <c r="F764" s="1"/>
      <c r="G764" s="2"/>
    </row>
    <row r="765" ht="15.75" customHeight="1">
      <c r="A765" s="1"/>
      <c r="B765" s="1"/>
      <c r="C765" s="1"/>
      <c r="D765" s="1"/>
      <c r="E765" s="1"/>
      <c r="F765" s="1"/>
      <c r="G765" s="2"/>
    </row>
    <row r="766" ht="15.75" customHeight="1">
      <c r="A766" s="1"/>
      <c r="B766" s="1"/>
      <c r="C766" s="1"/>
      <c r="D766" s="1"/>
      <c r="E766" s="1"/>
      <c r="F766" s="1"/>
      <c r="G766" s="2"/>
    </row>
    <row r="767" ht="15.75" customHeight="1">
      <c r="A767" s="1"/>
      <c r="B767" s="1"/>
      <c r="C767" s="1"/>
      <c r="D767" s="1"/>
      <c r="E767" s="1"/>
      <c r="F767" s="1"/>
      <c r="G767" s="2"/>
    </row>
    <row r="768" ht="15.75" customHeight="1">
      <c r="A768" s="1"/>
      <c r="B768" s="1"/>
      <c r="C768" s="1"/>
      <c r="D768" s="1"/>
      <c r="E768" s="1"/>
      <c r="F768" s="1"/>
      <c r="G768" s="2"/>
    </row>
    <row r="769" ht="15.75" customHeight="1">
      <c r="A769" s="1"/>
      <c r="B769" s="1"/>
      <c r="C769" s="1"/>
      <c r="D769" s="1"/>
      <c r="E769" s="1"/>
      <c r="F769" s="1"/>
      <c r="G769" s="2"/>
    </row>
    <row r="770" ht="15.75" customHeight="1">
      <c r="A770" s="1"/>
      <c r="B770" s="1"/>
      <c r="C770" s="1"/>
      <c r="D770" s="1"/>
      <c r="E770" s="1"/>
      <c r="F770" s="1"/>
      <c r="G770" s="2"/>
    </row>
    <row r="771" ht="15.75" customHeight="1">
      <c r="A771" s="1"/>
      <c r="B771" s="1"/>
      <c r="C771" s="1"/>
      <c r="D771" s="1"/>
      <c r="E771" s="1"/>
      <c r="F771" s="1"/>
      <c r="G771" s="2"/>
    </row>
    <row r="772" ht="15.75" customHeight="1">
      <c r="A772" s="1"/>
      <c r="B772" s="1"/>
      <c r="C772" s="1"/>
      <c r="D772" s="1"/>
      <c r="E772" s="1"/>
      <c r="F772" s="1"/>
      <c r="G772" s="2"/>
    </row>
    <row r="773" ht="15.75" customHeight="1">
      <c r="A773" s="1"/>
      <c r="B773" s="1"/>
      <c r="C773" s="1"/>
      <c r="D773" s="1"/>
      <c r="E773" s="1"/>
      <c r="F773" s="1"/>
      <c r="G773" s="2"/>
    </row>
    <row r="774" ht="15.75" customHeight="1">
      <c r="A774" s="1"/>
      <c r="B774" s="1"/>
      <c r="C774" s="1"/>
      <c r="D774" s="1"/>
      <c r="E774" s="1"/>
      <c r="F774" s="1"/>
      <c r="G774" s="2"/>
    </row>
    <row r="775" ht="15.75" customHeight="1">
      <c r="A775" s="1"/>
      <c r="B775" s="1"/>
      <c r="C775" s="1"/>
      <c r="D775" s="1"/>
      <c r="E775" s="1"/>
      <c r="F775" s="1"/>
      <c r="G775" s="2"/>
    </row>
    <row r="776" ht="15.75" customHeight="1">
      <c r="A776" s="1"/>
      <c r="B776" s="1"/>
      <c r="C776" s="1"/>
      <c r="D776" s="1"/>
      <c r="E776" s="1"/>
      <c r="F776" s="1"/>
      <c r="G776" s="2"/>
    </row>
    <row r="777" ht="15.75" customHeight="1">
      <c r="A777" s="1"/>
      <c r="B777" s="1"/>
      <c r="C777" s="1"/>
      <c r="D777" s="1"/>
      <c r="E777" s="1"/>
      <c r="F777" s="1"/>
      <c r="G777" s="2"/>
    </row>
    <row r="778" ht="15.75" customHeight="1">
      <c r="A778" s="1"/>
      <c r="B778" s="1"/>
      <c r="C778" s="1"/>
      <c r="D778" s="1"/>
      <c r="E778" s="1"/>
      <c r="F778" s="1"/>
      <c r="G778" s="2"/>
    </row>
    <row r="779" ht="15.75" customHeight="1">
      <c r="A779" s="1"/>
      <c r="B779" s="1"/>
      <c r="C779" s="1"/>
      <c r="D779" s="1"/>
      <c r="E779" s="1"/>
      <c r="F779" s="1"/>
      <c r="G779" s="2"/>
    </row>
    <row r="780" ht="15.75" customHeight="1">
      <c r="A780" s="1"/>
      <c r="B780" s="1"/>
      <c r="C780" s="1"/>
      <c r="D780" s="1"/>
      <c r="E780" s="1"/>
      <c r="F780" s="1"/>
      <c r="G780" s="2"/>
    </row>
    <row r="781" ht="15.75" customHeight="1">
      <c r="A781" s="1"/>
      <c r="B781" s="1"/>
      <c r="C781" s="1"/>
      <c r="D781" s="1"/>
      <c r="E781" s="1"/>
      <c r="F781" s="1"/>
      <c r="G781" s="2"/>
    </row>
    <row r="782" ht="15.75" customHeight="1">
      <c r="A782" s="1"/>
      <c r="B782" s="1"/>
      <c r="C782" s="1"/>
      <c r="D782" s="1"/>
      <c r="E782" s="1"/>
      <c r="F782" s="1"/>
      <c r="G782" s="2"/>
    </row>
    <row r="783" ht="15.75" customHeight="1">
      <c r="A783" s="1"/>
      <c r="B783" s="1"/>
      <c r="C783" s="1"/>
      <c r="D783" s="1"/>
      <c r="E783" s="1"/>
      <c r="F783" s="1"/>
      <c r="G783" s="2"/>
    </row>
    <row r="784" ht="15.75" customHeight="1">
      <c r="A784" s="1"/>
      <c r="B784" s="1"/>
      <c r="C784" s="1"/>
      <c r="D784" s="1"/>
      <c r="E784" s="1"/>
      <c r="F784" s="1"/>
      <c r="G784" s="2"/>
    </row>
    <row r="785" ht="15.75" customHeight="1">
      <c r="A785" s="1"/>
      <c r="B785" s="1"/>
      <c r="C785" s="1"/>
      <c r="D785" s="1"/>
      <c r="E785" s="1"/>
      <c r="F785" s="1"/>
      <c r="G785" s="2"/>
    </row>
    <row r="786" ht="15.75" customHeight="1">
      <c r="A786" s="1"/>
      <c r="B786" s="1"/>
      <c r="C786" s="1"/>
      <c r="D786" s="1"/>
      <c r="E786" s="1"/>
      <c r="F786" s="1"/>
      <c r="G786" s="2"/>
    </row>
    <row r="787" ht="15.75" customHeight="1">
      <c r="A787" s="1"/>
      <c r="B787" s="1"/>
      <c r="C787" s="1"/>
      <c r="D787" s="1"/>
      <c r="E787" s="1"/>
      <c r="F787" s="1"/>
      <c r="G787" s="2"/>
    </row>
    <row r="788" ht="15.75" customHeight="1">
      <c r="A788" s="1"/>
      <c r="B788" s="1"/>
      <c r="C788" s="1"/>
      <c r="D788" s="1"/>
      <c r="E788" s="1"/>
      <c r="F788" s="1"/>
      <c r="G788" s="2"/>
    </row>
    <row r="789" ht="15.75" customHeight="1">
      <c r="A789" s="1"/>
      <c r="B789" s="1"/>
      <c r="C789" s="1"/>
      <c r="D789" s="1"/>
      <c r="E789" s="1"/>
      <c r="F789" s="1"/>
      <c r="G789" s="2"/>
    </row>
    <row r="790" ht="15.75" customHeight="1">
      <c r="A790" s="1"/>
      <c r="B790" s="1"/>
      <c r="C790" s="1"/>
      <c r="D790" s="1"/>
      <c r="E790" s="1"/>
      <c r="F790" s="1"/>
      <c r="G790" s="2"/>
    </row>
    <row r="791" ht="15.75" customHeight="1">
      <c r="A791" s="1"/>
      <c r="B791" s="1"/>
      <c r="C791" s="1"/>
      <c r="D791" s="1"/>
      <c r="E791" s="1"/>
      <c r="F791" s="1"/>
      <c r="G791" s="2"/>
    </row>
    <row r="792" ht="15.75" customHeight="1">
      <c r="A792" s="1"/>
      <c r="B792" s="1"/>
      <c r="C792" s="1"/>
      <c r="D792" s="1"/>
      <c r="E792" s="1"/>
      <c r="F792" s="1"/>
      <c r="G792" s="2"/>
    </row>
    <row r="793" ht="15.75" customHeight="1">
      <c r="A793" s="1"/>
      <c r="B793" s="1"/>
      <c r="C793" s="1"/>
      <c r="D793" s="1"/>
      <c r="E793" s="1"/>
      <c r="F793" s="1"/>
      <c r="G793" s="2"/>
    </row>
    <row r="794" ht="15.75" customHeight="1">
      <c r="A794" s="1"/>
      <c r="B794" s="1"/>
      <c r="C794" s="1"/>
      <c r="D794" s="1"/>
      <c r="E794" s="1"/>
      <c r="F794" s="1"/>
      <c r="G794" s="2"/>
    </row>
    <row r="795" ht="15.75" customHeight="1">
      <c r="A795" s="1"/>
      <c r="B795" s="1"/>
      <c r="C795" s="1"/>
      <c r="D795" s="1"/>
      <c r="E795" s="1"/>
      <c r="F795" s="1"/>
      <c r="G795" s="2"/>
    </row>
    <row r="796" ht="15.75" customHeight="1">
      <c r="A796" s="1"/>
      <c r="B796" s="1"/>
      <c r="C796" s="1"/>
      <c r="D796" s="1"/>
      <c r="E796" s="1"/>
      <c r="F796" s="1"/>
      <c r="G796" s="2"/>
    </row>
    <row r="797" ht="15.75" customHeight="1">
      <c r="A797" s="1"/>
      <c r="B797" s="1"/>
      <c r="C797" s="1"/>
      <c r="D797" s="1"/>
      <c r="E797" s="1"/>
      <c r="F797" s="1"/>
      <c r="G797" s="2"/>
    </row>
    <row r="798" ht="15.75" customHeight="1">
      <c r="A798" s="1"/>
      <c r="B798" s="1"/>
      <c r="C798" s="1"/>
      <c r="D798" s="1"/>
      <c r="E798" s="1"/>
      <c r="F798" s="1"/>
      <c r="G798" s="2"/>
    </row>
    <row r="799" ht="15.75" customHeight="1">
      <c r="A799" s="1"/>
      <c r="B799" s="1"/>
      <c r="C799" s="1"/>
      <c r="D799" s="1"/>
      <c r="E799" s="1"/>
      <c r="F799" s="1"/>
      <c r="G799" s="2"/>
    </row>
    <row r="800" ht="15.75" customHeight="1">
      <c r="A800" s="1"/>
      <c r="B800" s="1"/>
      <c r="C800" s="1"/>
      <c r="D800" s="1"/>
      <c r="E800" s="1"/>
      <c r="F800" s="1"/>
      <c r="G800" s="2"/>
    </row>
    <row r="801" ht="15.75" customHeight="1">
      <c r="A801" s="1"/>
      <c r="B801" s="1"/>
      <c r="C801" s="1"/>
      <c r="D801" s="1"/>
      <c r="E801" s="1"/>
      <c r="F801" s="1"/>
      <c r="G801" s="2"/>
    </row>
    <row r="802" ht="15.75" customHeight="1">
      <c r="A802" s="1"/>
      <c r="B802" s="1"/>
      <c r="C802" s="1"/>
      <c r="D802" s="1"/>
      <c r="E802" s="1"/>
      <c r="F802" s="1"/>
      <c r="G802" s="2"/>
    </row>
    <row r="803" ht="15.75" customHeight="1">
      <c r="A803" s="1"/>
      <c r="B803" s="1"/>
      <c r="C803" s="1"/>
      <c r="D803" s="1"/>
      <c r="E803" s="1"/>
      <c r="F803" s="1"/>
      <c r="G803" s="2"/>
    </row>
    <row r="804" ht="15.75" customHeight="1">
      <c r="A804" s="1"/>
      <c r="B804" s="1"/>
      <c r="C804" s="1"/>
      <c r="D804" s="1"/>
      <c r="E804" s="1"/>
      <c r="F804" s="1"/>
      <c r="G804" s="2"/>
    </row>
    <row r="805" ht="15.75" customHeight="1">
      <c r="A805" s="1"/>
      <c r="B805" s="1"/>
      <c r="C805" s="1"/>
      <c r="D805" s="1"/>
      <c r="E805" s="1"/>
      <c r="F805" s="1"/>
      <c r="G805" s="2"/>
    </row>
    <row r="806" ht="15.75" customHeight="1">
      <c r="A806" s="1"/>
      <c r="B806" s="1"/>
      <c r="C806" s="1"/>
      <c r="D806" s="1"/>
      <c r="E806" s="1"/>
      <c r="F806" s="1"/>
      <c r="G806" s="2"/>
    </row>
    <row r="807" ht="15.75" customHeight="1">
      <c r="A807" s="1"/>
      <c r="B807" s="1"/>
      <c r="C807" s="1"/>
      <c r="D807" s="1"/>
      <c r="E807" s="1"/>
      <c r="F807" s="1"/>
      <c r="G807" s="2"/>
    </row>
    <row r="808" ht="15.75" customHeight="1">
      <c r="A808" s="1"/>
      <c r="B808" s="1"/>
      <c r="C808" s="1"/>
      <c r="D808" s="1"/>
      <c r="E808" s="1"/>
      <c r="F808" s="1"/>
      <c r="G808" s="2"/>
    </row>
    <row r="809" ht="15.75" customHeight="1">
      <c r="A809" s="1"/>
      <c r="B809" s="1"/>
      <c r="C809" s="1"/>
      <c r="D809" s="1"/>
      <c r="E809" s="1"/>
      <c r="F809" s="1"/>
      <c r="G809" s="2"/>
    </row>
    <row r="810" ht="15.75" customHeight="1">
      <c r="A810" s="1"/>
      <c r="B810" s="1"/>
      <c r="C810" s="1"/>
      <c r="D810" s="1"/>
      <c r="E810" s="1"/>
      <c r="F810" s="1"/>
      <c r="G810" s="2"/>
    </row>
    <row r="811" ht="15.75" customHeight="1">
      <c r="A811" s="1"/>
      <c r="B811" s="1"/>
      <c r="C811" s="1"/>
      <c r="D811" s="1"/>
      <c r="E811" s="1"/>
      <c r="F811" s="1"/>
      <c r="G811" s="2"/>
    </row>
    <row r="812" ht="15.75" customHeight="1">
      <c r="A812" s="1"/>
      <c r="B812" s="1"/>
      <c r="C812" s="1"/>
      <c r="D812" s="1"/>
      <c r="E812" s="1"/>
      <c r="F812" s="1"/>
      <c r="G812" s="2"/>
    </row>
    <row r="813" ht="15.75" customHeight="1">
      <c r="A813" s="1"/>
      <c r="B813" s="1"/>
      <c r="C813" s="1"/>
      <c r="D813" s="1"/>
      <c r="E813" s="1"/>
      <c r="F813" s="1"/>
      <c r="G813" s="2"/>
    </row>
    <row r="814" ht="15.75" customHeight="1">
      <c r="A814" s="1"/>
      <c r="B814" s="1"/>
      <c r="C814" s="1"/>
      <c r="D814" s="1"/>
      <c r="E814" s="1"/>
      <c r="F814" s="1"/>
      <c r="G814" s="2"/>
    </row>
    <row r="815" ht="15.75" customHeight="1">
      <c r="A815" s="1"/>
      <c r="B815" s="1"/>
      <c r="C815" s="1"/>
      <c r="D815" s="1"/>
      <c r="E815" s="1"/>
      <c r="F815" s="1"/>
      <c r="G815" s="2"/>
    </row>
    <row r="816" ht="15.75" customHeight="1">
      <c r="A816" s="1"/>
      <c r="B816" s="1"/>
      <c r="C816" s="1"/>
      <c r="D816" s="1"/>
      <c r="E816" s="1"/>
      <c r="F816" s="1"/>
      <c r="G816" s="2"/>
    </row>
    <row r="817" ht="15.75" customHeight="1">
      <c r="A817" s="1"/>
      <c r="B817" s="1"/>
      <c r="C817" s="1"/>
      <c r="D817" s="1"/>
      <c r="E817" s="1"/>
      <c r="F817" s="1"/>
      <c r="G817" s="2"/>
    </row>
    <row r="818" ht="15.75" customHeight="1">
      <c r="A818" s="1"/>
      <c r="B818" s="1"/>
      <c r="C818" s="1"/>
      <c r="D818" s="1"/>
      <c r="E818" s="1"/>
      <c r="F818" s="1"/>
      <c r="G818" s="2"/>
    </row>
    <row r="819" ht="15.75" customHeight="1">
      <c r="A819" s="1"/>
      <c r="B819" s="1"/>
      <c r="C819" s="1"/>
      <c r="D819" s="1"/>
      <c r="E819" s="1"/>
      <c r="F819" s="1"/>
      <c r="G819" s="2"/>
    </row>
    <row r="820" ht="15.75" customHeight="1">
      <c r="A820" s="1"/>
      <c r="B820" s="1"/>
      <c r="C820" s="1"/>
      <c r="D820" s="1"/>
      <c r="E820" s="1"/>
      <c r="F820" s="1"/>
      <c r="G820" s="2"/>
    </row>
    <row r="821" ht="15.75" customHeight="1">
      <c r="A821" s="1"/>
      <c r="B821" s="1"/>
      <c r="C821" s="1"/>
      <c r="D821" s="1"/>
      <c r="E821" s="1"/>
      <c r="F821" s="1"/>
      <c r="G821" s="2"/>
    </row>
    <row r="822" ht="15.75" customHeight="1">
      <c r="A822" s="1"/>
      <c r="B822" s="1"/>
      <c r="C822" s="1"/>
      <c r="D822" s="1"/>
      <c r="E822" s="1"/>
      <c r="F822" s="1"/>
      <c r="G822" s="2"/>
    </row>
    <row r="823" ht="15.75" customHeight="1">
      <c r="A823" s="1"/>
      <c r="B823" s="1"/>
      <c r="C823" s="1"/>
      <c r="D823" s="1"/>
      <c r="E823" s="1"/>
      <c r="F823" s="1"/>
      <c r="G823" s="2"/>
    </row>
    <row r="824" ht="15.75" customHeight="1">
      <c r="A824" s="1"/>
      <c r="B824" s="1"/>
      <c r="C824" s="1"/>
      <c r="D824" s="1"/>
      <c r="E824" s="1"/>
      <c r="F824" s="1"/>
      <c r="G824" s="2"/>
    </row>
    <row r="825" ht="15.75" customHeight="1">
      <c r="A825" s="1"/>
      <c r="B825" s="1"/>
      <c r="C825" s="1"/>
      <c r="D825" s="1"/>
      <c r="E825" s="1"/>
      <c r="F825" s="1"/>
      <c r="G825" s="2"/>
    </row>
    <row r="826" ht="15.75" customHeight="1">
      <c r="A826" s="1"/>
      <c r="B826" s="1"/>
      <c r="C826" s="1"/>
      <c r="D826" s="1"/>
      <c r="E826" s="1"/>
      <c r="F826" s="1"/>
      <c r="G826" s="2"/>
    </row>
    <row r="827" ht="15.75" customHeight="1">
      <c r="A827" s="1"/>
      <c r="B827" s="1"/>
      <c r="C827" s="1"/>
      <c r="D827" s="1"/>
      <c r="E827" s="1"/>
      <c r="F827" s="1"/>
      <c r="G827" s="2"/>
    </row>
    <row r="828" ht="15.75" customHeight="1">
      <c r="A828" s="1"/>
      <c r="B828" s="1"/>
      <c r="C828" s="1"/>
      <c r="D828" s="1"/>
      <c r="E828" s="1"/>
      <c r="F828" s="1"/>
      <c r="G828" s="2"/>
    </row>
    <row r="829" ht="15.75" customHeight="1">
      <c r="A829" s="1"/>
      <c r="B829" s="1"/>
      <c r="C829" s="1"/>
      <c r="D829" s="1"/>
      <c r="E829" s="1"/>
      <c r="F829" s="1"/>
      <c r="G829" s="2"/>
    </row>
    <row r="830" ht="15.75" customHeight="1">
      <c r="A830" s="1"/>
      <c r="B830" s="1"/>
      <c r="C830" s="1"/>
      <c r="D830" s="1"/>
      <c r="E830" s="1"/>
      <c r="F830" s="1"/>
      <c r="G830" s="2"/>
    </row>
    <row r="831" ht="15.75" customHeight="1">
      <c r="A831" s="1"/>
      <c r="B831" s="1"/>
      <c r="C831" s="1"/>
      <c r="D831" s="1"/>
      <c r="E831" s="1"/>
      <c r="F831" s="1"/>
      <c r="G831" s="2"/>
    </row>
    <row r="832" ht="15.75" customHeight="1">
      <c r="A832" s="1"/>
      <c r="B832" s="1"/>
      <c r="C832" s="1"/>
      <c r="D832" s="1"/>
      <c r="E832" s="1"/>
      <c r="F832" s="1"/>
      <c r="G832" s="2"/>
    </row>
    <row r="833" ht="15.75" customHeight="1">
      <c r="A833" s="1"/>
      <c r="B833" s="1"/>
      <c r="C833" s="1"/>
      <c r="D833" s="1"/>
      <c r="E833" s="1"/>
      <c r="F833" s="1"/>
      <c r="G833" s="2"/>
    </row>
    <row r="834" ht="15.75" customHeight="1">
      <c r="A834" s="1"/>
      <c r="B834" s="1"/>
      <c r="C834" s="1"/>
      <c r="D834" s="1"/>
      <c r="E834" s="1"/>
      <c r="F834" s="1"/>
      <c r="G834" s="2"/>
    </row>
    <row r="835" ht="15.75" customHeight="1">
      <c r="A835" s="1"/>
      <c r="B835" s="1"/>
      <c r="C835" s="1"/>
      <c r="D835" s="1"/>
      <c r="E835" s="1"/>
      <c r="F835" s="1"/>
      <c r="G835" s="2"/>
    </row>
    <row r="836" ht="15.75" customHeight="1">
      <c r="A836" s="1"/>
      <c r="B836" s="1"/>
      <c r="C836" s="1"/>
      <c r="D836" s="1"/>
      <c r="E836" s="1"/>
      <c r="F836" s="1"/>
      <c r="G836" s="2"/>
    </row>
    <row r="837" ht="15.75" customHeight="1">
      <c r="A837" s="1"/>
      <c r="B837" s="1"/>
      <c r="C837" s="1"/>
      <c r="D837" s="1"/>
      <c r="E837" s="1"/>
      <c r="F837" s="1"/>
      <c r="G837" s="2"/>
    </row>
    <row r="838" ht="15.75" customHeight="1">
      <c r="A838" s="1"/>
      <c r="B838" s="1"/>
      <c r="C838" s="1"/>
      <c r="D838" s="1"/>
      <c r="E838" s="1"/>
      <c r="F838" s="1"/>
      <c r="G838" s="2"/>
    </row>
    <row r="839" ht="15.75" customHeight="1">
      <c r="A839" s="1"/>
      <c r="B839" s="1"/>
      <c r="C839" s="1"/>
      <c r="D839" s="1"/>
      <c r="E839" s="1"/>
      <c r="F839" s="1"/>
      <c r="G839" s="2"/>
    </row>
    <row r="840" ht="15.75" customHeight="1">
      <c r="A840" s="1"/>
      <c r="B840" s="1"/>
      <c r="C840" s="1"/>
      <c r="D840" s="1"/>
      <c r="E840" s="1"/>
      <c r="F840" s="1"/>
      <c r="G840" s="2"/>
    </row>
    <row r="841" ht="15.75" customHeight="1">
      <c r="A841" s="1"/>
      <c r="B841" s="1"/>
      <c r="C841" s="1"/>
      <c r="D841" s="1"/>
      <c r="E841" s="1"/>
      <c r="F841" s="1"/>
      <c r="G841" s="2"/>
    </row>
    <row r="842" ht="15.75" customHeight="1">
      <c r="A842" s="1"/>
      <c r="B842" s="1"/>
      <c r="C842" s="1"/>
      <c r="D842" s="1"/>
      <c r="E842" s="1"/>
      <c r="F842" s="1"/>
      <c r="G842" s="2"/>
    </row>
    <row r="843" ht="15.75" customHeight="1">
      <c r="A843" s="1"/>
      <c r="B843" s="1"/>
      <c r="C843" s="1"/>
      <c r="D843" s="1"/>
      <c r="E843" s="1"/>
      <c r="F843" s="1"/>
      <c r="G843" s="2"/>
    </row>
    <row r="844" ht="15.75" customHeight="1">
      <c r="A844" s="1"/>
      <c r="B844" s="1"/>
      <c r="C844" s="1"/>
      <c r="D844" s="1"/>
      <c r="E844" s="1"/>
      <c r="F844" s="1"/>
      <c r="G844" s="2"/>
    </row>
    <row r="845" ht="15.75" customHeight="1">
      <c r="A845" s="1"/>
      <c r="B845" s="1"/>
      <c r="C845" s="1"/>
      <c r="D845" s="1"/>
      <c r="E845" s="1"/>
      <c r="F845" s="1"/>
      <c r="G845" s="2"/>
    </row>
    <row r="846" ht="15.75" customHeight="1">
      <c r="A846" s="1"/>
      <c r="B846" s="1"/>
      <c r="C846" s="1"/>
      <c r="D846" s="1"/>
      <c r="E846" s="1"/>
      <c r="F846" s="1"/>
      <c r="G846" s="2"/>
    </row>
    <row r="847" ht="15.75" customHeight="1">
      <c r="A847" s="1"/>
      <c r="B847" s="1"/>
      <c r="C847" s="1"/>
      <c r="D847" s="1"/>
      <c r="E847" s="1"/>
      <c r="F847" s="1"/>
      <c r="G847" s="2"/>
    </row>
    <row r="848" ht="15.75" customHeight="1">
      <c r="A848" s="1"/>
      <c r="B848" s="1"/>
      <c r="C848" s="1"/>
      <c r="D848" s="1"/>
      <c r="E848" s="1"/>
      <c r="F848" s="1"/>
      <c r="G848" s="2"/>
    </row>
    <row r="849" ht="15.75" customHeight="1">
      <c r="A849" s="1"/>
      <c r="B849" s="1"/>
      <c r="C849" s="1"/>
      <c r="D849" s="1"/>
      <c r="E849" s="1"/>
      <c r="F849" s="1"/>
      <c r="G849" s="2"/>
    </row>
    <row r="850" ht="15.75" customHeight="1">
      <c r="A850" s="1"/>
      <c r="B850" s="1"/>
      <c r="C850" s="1"/>
      <c r="D850" s="1"/>
      <c r="E850" s="1"/>
      <c r="F850" s="1"/>
      <c r="G850" s="2"/>
    </row>
    <row r="851" ht="15.75" customHeight="1">
      <c r="A851" s="1"/>
      <c r="B851" s="1"/>
      <c r="C851" s="1"/>
      <c r="D851" s="1"/>
      <c r="E851" s="1"/>
      <c r="F851" s="1"/>
      <c r="G851" s="2"/>
    </row>
    <row r="852" ht="15.75" customHeight="1">
      <c r="A852" s="1"/>
      <c r="B852" s="1"/>
      <c r="C852" s="1"/>
      <c r="D852" s="1"/>
      <c r="E852" s="1"/>
      <c r="F852" s="1"/>
      <c r="G852" s="2"/>
    </row>
    <row r="853" ht="15.75" customHeight="1">
      <c r="A853" s="1"/>
      <c r="B853" s="1"/>
      <c r="C853" s="1"/>
      <c r="D853" s="1"/>
      <c r="E853" s="1"/>
      <c r="F853" s="1"/>
      <c r="G853" s="2"/>
    </row>
    <row r="854" ht="15.75" customHeight="1">
      <c r="A854" s="1"/>
      <c r="B854" s="1"/>
      <c r="C854" s="1"/>
      <c r="D854" s="1"/>
      <c r="E854" s="1"/>
      <c r="F854" s="1"/>
      <c r="G854" s="2"/>
    </row>
    <row r="855" ht="15.75" customHeight="1">
      <c r="A855" s="1"/>
      <c r="B855" s="1"/>
      <c r="C855" s="1"/>
      <c r="D855" s="1"/>
      <c r="E855" s="1"/>
      <c r="F855" s="1"/>
      <c r="G855" s="2"/>
    </row>
    <row r="856" ht="15.75" customHeight="1">
      <c r="A856" s="1"/>
      <c r="B856" s="1"/>
      <c r="C856" s="1"/>
      <c r="D856" s="1"/>
      <c r="E856" s="1"/>
      <c r="F856" s="1"/>
      <c r="G856" s="2"/>
    </row>
    <row r="857" ht="15.75" customHeight="1">
      <c r="A857" s="1"/>
      <c r="B857" s="1"/>
      <c r="C857" s="1"/>
      <c r="D857" s="1"/>
      <c r="E857" s="1"/>
      <c r="F857" s="1"/>
      <c r="G857" s="2"/>
    </row>
    <row r="858" ht="15.75" customHeight="1">
      <c r="A858" s="1"/>
      <c r="B858" s="1"/>
      <c r="C858" s="1"/>
      <c r="D858" s="1"/>
      <c r="E858" s="1"/>
      <c r="F858" s="1"/>
      <c r="G858" s="2"/>
    </row>
    <row r="859" ht="15.75" customHeight="1">
      <c r="A859" s="1"/>
      <c r="B859" s="1"/>
      <c r="C859" s="1"/>
      <c r="D859" s="1"/>
      <c r="E859" s="1"/>
      <c r="F859" s="1"/>
      <c r="G859" s="2"/>
    </row>
    <row r="860" ht="15.75" customHeight="1">
      <c r="A860" s="1"/>
      <c r="B860" s="1"/>
      <c r="C860" s="1"/>
      <c r="D860" s="1"/>
      <c r="E860" s="1"/>
      <c r="F860" s="1"/>
      <c r="G860" s="2"/>
    </row>
    <row r="861" ht="15.75" customHeight="1">
      <c r="A861" s="1"/>
      <c r="B861" s="1"/>
      <c r="C861" s="1"/>
      <c r="D861" s="1"/>
      <c r="E861" s="1"/>
      <c r="F861" s="1"/>
      <c r="G861" s="2"/>
    </row>
    <row r="862" ht="15.75" customHeight="1">
      <c r="A862" s="1"/>
      <c r="B862" s="1"/>
      <c r="C862" s="1"/>
      <c r="D862" s="1"/>
      <c r="E862" s="1"/>
      <c r="F862" s="1"/>
      <c r="G862" s="2"/>
    </row>
    <row r="863" ht="15.75" customHeight="1">
      <c r="A863" s="1"/>
      <c r="B863" s="1"/>
      <c r="C863" s="1"/>
      <c r="D863" s="1"/>
      <c r="E863" s="1"/>
      <c r="F863" s="1"/>
      <c r="G863" s="2"/>
    </row>
    <row r="864" ht="15.75" customHeight="1">
      <c r="A864" s="1"/>
      <c r="B864" s="1"/>
      <c r="C864" s="1"/>
      <c r="D864" s="1"/>
      <c r="E864" s="1"/>
      <c r="F864" s="1"/>
      <c r="G864" s="2"/>
    </row>
    <row r="865" ht="15.75" customHeight="1">
      <c r="A865" s="1"/>
      <c r="B865" s="1"/>
      <c r="C865" s="1"/>
      <c r="D865" s="1"/>
      <c r="E865" s="1"/>
      <c r="F865" s="1"/>
      <c r="G865" s="2"/>
    </row>
    <row r="866" ht="15.75" customHeight="1">
      <c r="A866" s="1"/>
      <c r="B866" s="1"/>
      <c r="C866" s="1"/>
      <c r="D866" s="1"/>
      <c r="E866" s="1"/>
      <c r="F866" s="1"/>
      <c r="G866" s="2"/>
    </row>
    <row r="867" ht="15.75" customHeight="1">
      <c r="A867" s="1"/>
      <c r="B867" s="1"/>
      <c r="C867" s="1"/>
      <c r="D867" s="1"/>
      <c r="E867" s="1"/>
      <c r="F867" s="1"/>
      <c r="G867" s="2"/>
    </row>
    <row r="868" ht="15.75" customHeight="1">
      <c r="A868" s="1"/>
      <c r="B868" s="1"/>
      <c r="C868" s="1"/>
      <c r="D868" s="1"/>
      <c r="E868" s="1"/>
      <c r="F868" s="1"/>
      <c r="G868" s="2"/>
    </row>
    <row r="869" ht="15.75" customHeight="1">
      <c r="A869" s="1"/>
      <c r="B869" s="1"/>
      <c r="C869" s="1"/>
      <c r="D869" s="1"/>
      <c r="E869" s="1"/>
      <c r="F869" s="1"/>
      <c r="G869" s="2"/>
    </row>
    <row r="870" ht="15.75" customHeight="1">
      <c r="A870" s="1"/>
      <c r="B870" s="1"/>
      <c r="C870" s="1"/>
      <c r="D870" s="1"/>
      <c r="E870" s="1"/>
      <c r="F870" s="1"/>
      <c r="G870" s="2"/>
    </row>
    <row r="871" ht="15.75" customHeight="1">
      <c r="A871" s="1"/>
      <c r="B871" s="1"/>
      <c r="C871" s="1"/>
      <c r="D871" s="1"/>
      <c r="E871" s="1"/>
      <c r="F871" s="1"/>
      <c r="G871" s="2"/>
    </row>
    <row r="872" ht="15.75" customHeight="1">
      <c r="A872" s="1"/>
      <c r="B872" s="1"/>
      <c r="C872" s="1"/>
      <c r="D872" s="1"/>
      <c r="E872" s="1"/>
      <c r="F872" s="1"/>
      <c r="G872" s="2"/>
    </row>
    <row r="873" ht="15.75" customHeight="1">
      <c r="A873" s="1"/>
      <c r="B873" s="1"/>
      <c r="C873" s="1"/>
      <c r="D873" s="1"/>
      <c r="E873" s="1"/>
      <c r="F873" s="1"/>
      <c r="G873" s="2"/>
    </row>
    <row r="874" ht="15.75" customHeight="1">
      <c r="A874" s="1"/>
      <c r="B874" s="1"/>
      <c r="C874" s="1"/>
      <c r="D874" s="1"/>
      <c r="E874" s="1"/>
      <c r="F874" s="1"/>
      <c r="G874" s="2"/>
    </row>
    <row r="875" ht="15.75" customHeight="1">
      <c r="A875" s="1"/>
      <c r="B875" s="1"/>
      <c r="C875" s="1"/>
      <c r="D875" s="1"/>
      <c r="E875" s="1"/>
      <c r="F875" s="1"/>
      <c r="G875" s="2"/>
    </row>
    <row r="876" ht="15.75" customHeight="1">
      <c r="A876" s="1"/>
      <c r="B876" s="1"/>
      <c r="C876" s="1"/>
      <c r="D876" s="1"/>
      <c r="E876" s="1"/>
      <c r="F876" s="1"/>
      <c r="G876" s="2"/>
    </row>
    <row r="877" ht="15.75" customHeight="1">
      <c r="A877" s="1"/>
      <c r="B877" s="1"/>
      <c r="C877" s="1"/>
      <c r="D877" s="1"/>
      <c r="E877" s="1"/>
      <c r="F877" s="1"/>
      <c r="G877" s="2"/>
    </row>
    <row r="878" ht="15.75" customHeight="1">
      <c r="A878" s="1"/>
      <c r="B878" s="1"/>
      <c r="C878" s="1"/>
      <c r="D878" s="1"/>
      <c r="E878" s="1"/>
      <c r="F878" s="1"/>
      <c r="G878" s="2"/>
    </row>
    <row r="879" ht="15.75" customHeight="1">
      <c r="A879" s="1"/>
      <c r="B879" s="1"/>
      <c r="C879" s="1"/>
      <c r="D879" s="1"/>
      <c r="E879" s="1"/>
      <c r="F879" s="1"/>
      <c r="G879" s="2"/>
    </row>
    <row r="880" ht="15.75" customHeight="1">
      <c r="A880" s="1"/>
      <c r="B880" s="1"/>
      <c r="C880" s="1"/>
      <c r="D880" s="1"/>
      <c r="E880" s="1"/>
      <c r="F880" s="1"/>
      <c r="G880" s="2"/>
    </row>
    <row r="881" ht="15.75" customHeight="1">
      <c r="A881" s="1"/>
      <c r="B881" s="1"/>
      <c r="C881" s="1"/>
      <c r="D881" s="1"/>
      <c r="E881" s="1"/>
      <c r="F881" s="1"/>
      <c r="G881" s="2"/>
    </row>
    <row r="882" ht="15.75" customHeight="1">
      <c r="A882" s="1"/>
      <c r="B882" s="1"/>
      <c r="C882" s="1"/>
      <c r="D882" s="1"/>
      <c r="E882" s="1"/>
      <c r="F882" s="1"/>
      <c r="G882" s="2"/>
    </row>
    <row r="883" ht="15.75" customHeight="1">
      <c r="A883" s="1"/>
      <c r="B883" s="1"/>
      <c r="C883" s="1"/>
      <c r="D883" s="1"/>
      <c r="E883" s="1"/>
      <c r="F883" s="1"/>
      <c r="G883" s="2"/>
    </row>
    <row r="884" ht="15.75" customHeight="1">
      <c r="A884" s="1"/>
      <c r="B884" s="1"/>
      <c r="C884" s="1"/>
      <c r="D884" s="1"/>
      <c r="E884" s="1"/>
      <c r="F884" s="1"/>
      <c r="G884" s="2"/>
    </row>
    <row r="885" ht="15.75" customHeight="1">
      <c r="A885" s="1"/>
      <c r="B885" s="1"/>
      <c r="C885" s="1"/>
      <c r="D885" s="1"/>
      <c r="E885" s="1"/>
      <c r="F885" s="1"/>
      <c r="G885" s="2"/>
    </row>
    <row r="886" ht="15.75" customHeight="1">
      <c r="A886" s="1"/>
      <c r="B886" s="1"/>
      <c r="C886" s="1"/>
      <c r="D886" s="1"/>
      <c r="E886" s="1"/>
      <c r="F886" s="1"/>
      <c r="G886" s="2"/>
    </row>
    <row r="887" ht="15.75" customHeight="1">
      <c r="A887" s="1"/>
      <c r="B887" s="1"/>
      <c r="C887" s="1"/>
      <c r="D887" s="1"/>
      <c r="E887" s="1"/>
      <c r="F887" s="1"/>
      <c r="G887" s="2"/>
    </row>
    <row r="888" ht="15.75" customHeight="1">
      <c r="A888" s="1"/>
      <c r="B888" s="1"/>
      <c r="C888" s="1"/>
      <c r="D888" s="1"/>
      <c r="E888" s="1"/>
      <c r="F888" s="1"/>
      <c r="G888" s="2"/>
    </row>
    <row r="889" ht="15.75" customHeight="1">
      <c r="A889" s="1"/>
      <c r="B889" s="1"/>
      <c r="C889" s="1"/>
      <c r="D889" s="1"/>
      <c r="E889" s="1"/>
      <c r="F889" s="1"/>
      <c r="G889" s="2"/>
    </row>
    <row r="890" ht="15.75" customHeight="1">
      <c r="A890" s="1"/>
      <c r="B890" s="1"/>
      <c r="C890" s="1"/>
      <c r="D890" s="1"/>
      <c r="E890" s="1"/>
      <c r="F890" s="1"/>
      <c r="G890" s="2"/>
    </row>
    <row r="891" ht="15.75" customHeight="1">
      <c r="A891" s="1"/>
      <c r="B891" s="1"/>
      <c r="C891" s="1"/>
      <c r="D891" s="1"/>
      <c r="E891" s="1"/>
      <c r="F891" s="1"/>
      <c r="G891" s="2"/>
    </row>
    <row r="892" ht="15.75" customHeight="1">
      <c r="A892" s="1"/>
      <c r="B892" s="1"/>
      <c r="C892" s="1"/>
      <c r="D892" s="1"/>
      <c r="E892" s="1"/>
      <c r="F892" s="1"/>
      <c r="G892" s="2"/>
    </row>
    <row r="893" ht="15.75" customHeight="1">
      <c r="A893" s="1"/>
      <c r="B893" s="1"/>
      <c r="C893" s="1"/>
      <c r="D893" s="1"/>
      <c r="E893" s="1"/>
      <c r="F893" s="1"/>
      <c r="G893" s="2"/>
    </row>
    <row r="894" ht="15.75" customHeight="1">
      <c r="A894" s="1"/>
      <c r="B894" s="1"/>
      <c r="C894" s="1"/>
      <c r="D894" s="1"/>
      <c r="E894" s="1"/>
      <c r="F894" s="1"/>
      <c r="G894" s="2"/>
    </row>
    <row r="895" ht="15.75" customHeight="1">
      <c r="A895" s="1"/>
      <c r="B895" s="1"/>
      <c r="C895" s="1"/>
      <c r="D895" s="1"/>
      <c r="E895" s="1"/>
      <c r="F895" s="1"/>
      <c r="G895" s="2"/>
    </row>
    <row r="896" ht="15.75" customHeight="1">
      <c r="A896" s="1"/>
      <c r="B896" s="1"/>
      <c r="C896" s="1"/>
      <c r="D896" s="1"/>
      <c r="E896" s="1"/>
      <c r="F896" s="1"/>
      <c r="G896" s="2"/>
    </row>
    <row r="897" ht="15.75" customHeight="1">
      <c r="A897" s="1"/>
      <c r="B897" s="1"/>
      <c r="C897" s="1"/>
      <c r="D897" s="1"/>
      <c r="E897" s="1"/>
      <c r="F897" s="1"/>
      <c r="G897" s="2"/>
    </row>
    <row r="898" ht="15.75" customHeight="1">
      <c r="A898" s="1"/>
      <c r="B898" s="1"/>
      <c r="C898" s="1"/>
      <c r="D898" s="1"/>
      <c r="E898" s="1"/>
      <c r="F898" s="1"/>
      <c r="G898" s="2"/>
    </row>
    <row r="899" ht="15.75" customHeight="1">
      <c r="A899" s="1"/>
      <c r="B899" s="1"/>
      <c r="C899" s="1"/>
      <c r="D899" s="1"/>
      <c r="E899" s="1"/>
      <c r="F899" s="1"/>
      <c r="G899" s="2"/>
    </row>
    <row r="900" ht="15.75" customHeight="1">
      <c r="A900" s="1"/>
      <c r="B900" s="1"/>
      <c r="C900" s="1"/>
      <c r="D900" s="1"/>
      <c r="E900" s="1"/>
      <c r="F900" s="1"/>
      <c r="G900" s="2"/>
    </row>
    <row r="901" ht="15.75" customHeight="1">
      <c r="A901" s="1"/>
      <c r="B901" s="1"/>
      <c r="C901" s="1"/>
      <c r="D901" s="1"/>
      <c r="E901" s="1"/>
      <c r="F901" s="1"/>
      <c r="G901" s="2"/>
    </row>
    <row r="902" ht="15.75" customHeight="1">
      <c r="A902" s="1"/>
      <c r="B902" s="1"/>
      <c r="C902" s="1"/>
      <c r="D902" s="1"/>
      <c r="E902" s="1"/>
      <c r="F902" s="1"/>
      <c r="G902" s="2"/>
    </row>
    <row r="903" ht="15.75" customHeight="1">
      <c r="A903" s="1"/>
      <c r="B903" s="1"/>
      <c r="C903" s="1"/>
      <c r="D903" s="1"/>
      <c r="E903" s="1"/>
      <c r="F903" s="1"/>
      <c r="G903" s="2"/>
    </row>
    <row r="904" ht="15.75" customHeight="1">
      <c r="A904" s="1"/>
      <c r="B904" s="1"/>
      <c r="C904" s="1"/>
      <c r="D904" s="1"/>
      <c r="E904" s="1"/>
      <c r="F904" s="1"/>
      <c r="G904" s="2"/>
    </row>
    <row r="905" ht="15.75" customHeight="1">
      <c r="A905" s="1"/>
      <c r="B905" s="1"/>
      <c r="C905" s="1"/>
      <c r="D905" s="1"/>
      <c r="E905" s="1"/>
      <c r="F905" s="1"/>
      <c r="G905" s="2"/>
    </row>
    <row r="906" ht="15.75" customHeight="1">
      <c r="A906" s="1"/>
      <c r="B906" s="1"/>
      <c r="C906" s="1"/>
      <c r="D906" s="1"/>
      <c r="E906" s="1"/>
      <c r="F906" s="1"/>
      <c r="G906" s="2"/>
    </row>
    <row r="907" ht="15.75" customHeight="1">
      <c r="A907" s="1"/>
      <c r="B907" s="1"/>
      <c r="C907" s="1"/>
      <c r="D907" s="1"/>
      <c r="E907" s="1"/>
      <c r="F907" s="1"/>
      <c r="G907" s="2"/>
    </row>
    <row r="908" ht="15.75" customHeight="1">
      <c r="A908" s="1"/>
      <c r="B908" s="1"/>
      <c r="C908" s="1"/>
      <c r="D908" s="1"/>
      <c r="E908" s="1"/>
      <c r="F908" s="1"/>
      <c r="G908" s="2"/>
    </row>
    <row r="909" ht="15.75" customHeight="1">
      <c r="A909" s="1"/>
      <c r="B909" s="1"/>
      <c r="C909" s="1"/>
      <c r="D909" s="1"/>
      <c r="E909" s="1"/>
      <c r="F909" s="1"/>
      <c r="G909" s="2"/>
    </row>
    <row r="910" ht="15.75" customHeight="1">
      <c r="A910" s="1"/>
      <c r="B910" s="1"/>
      <c r="C910" s="1"/>
      <c r="D910" s="1"/>
      <c r="E910" s="1"/>
      <c r="F910" s="1"/>
      <c r="G910" s="2"/>
    </row>
    <row r="911" ht="15.75" customHeight="1">
      <c r="A911" s="1"/>
      <c r="B911" s="1"/>
      <c r="C911" s="1"/>
      <c r="D911" s="1"/>
      <c r="E911" s="1"/>
      <c r="F911" s="1"/>
      <c r="G911" s="2"/>
    </row>
    <row r="912" ht="15.75" customHeight="1">
      <c r="A912" s="1"/>
      <c r="B912" s="1"/>
      <c r="C912" s="1"/>
      <c r="D912" s="1"/>
      <c r="E912" s="1"/>
      <c r="F912" s="1"/>
      <c r="G912" s="2"/>
    </row>
    <row r="913" ht="15.75" customHeight="1">
      <c r="A913" s="1"/>
      <c r="B913" s="1"/>
      <c r="C913" s="1"/>
      <c r="D913" s="1"/>
      <c r="E913" s="1"/>
      <c r="F913" s="1"/>
      <c r="G913" s="2"/>
    </row>
    <row r="914" ht="15.75" customHeight="1">
      <c r="A914" s="1"/>
      <c r="B914" s="1"/>
      <c r="C914" s="1"/>
      <c r="D914" s="1"/>
      <c r="E914" s="1"/>
      <c r="F914" s="1"/>
      <c r="G914" s="2"/>
    </row>
    <row r="915" ht="15.75" customHeight="1">
      <c r="A915" s="1"/>
      <c r="B915" s="1"/>
      <c r="C915" s="1"/>
      <c r="D915" s="1"/>
      <c r="E915" s="1"/>
      <c r="F915" s="1"/>
      <c r="G915" s="2"/>
    </row>
    <row r="916" ht="15.75" customHeight="1">
      <c r="A916" s="1"/>
      <c r="B916" s="1"/>
      <c r="C916" s="1"/>
      <c r="D916" s="1"/>
      <c r="E916" s="1"/>
      <c r="F916" s="1"/>
      <c r="G916" s="2"/>
    </row>
    <row r="917" ht="15.75" customHeight="1">
      <c r="A917" s="1"/>
      <c r="B917" s="1"/>
      <c r="C917" s="1"/>
      <c r="D917" s="1"/>
      <c r="E917" s="1"/>
      <c r="F917" s="1"/>
      <c r="G917" s="2"/>
    </row>
    <row r="918" ht="15.75" customHeight="1">
      <c r="A918" s="1"/>
      <c r="B918" s="1"/>
      <c r="C918" s="1"/>
      <c r="D918" s="1"/>
      <c r="E918" s="1"/>
      <c r="F918" s="1"/>
      <c r="G918" s="2"/>
    </row>
    <row r="919" ht="15.75" customHeight="1">
      <c r="A919" s="1"/>
      <c r="B919" s="1"/>
      <c r="C919" s="1"/>
      <c r="D919" s="1"/>
      <c r="E919" s="1"/>
      <c r="F919" s="1"/>
      <c r="G919" s="2"/>
    </row>
    <row r="920" ht="15.75" customHeight="1">
      <c r="A920" s="1"/>
      <c r="B920" s="1"/>
      <c r="C920" s="1"/>
      <c r="D920" s="1"/>
      <c r="E920" s="1"/>
      <c r="F920" s="1"/>
      <c r="G920" s="2"/>
    </row>
    <row r="921" ht="15.75" customHeight="1">
      <c r="A921" s="1"/>
      <c r="B921" s="1"/>
      <c r="C921" s="1"/>
      <c r="D921" s="1"/>
      <c r="E921" s="1"/>
      <c r="F921" s="1"/>
      <c r="G921" s="2"/>
    </row>
    <row r="922" ht="15.75" customHeight="1">
      <c r="A922" s="1"/>
      <c r="B922" s="1"/>
      <c r="C922" s="1"/>
      <c r="D922" s="1"/>
      <c r="E922" s="1"/>
      <c r="F922" s="1"/>
      <c r="G922" s="2"/>
    </row>
    <row r="923" ht="15.75" customHeight="1">
      <c r="A923" s="1"/>
      <c r="B923" s="1"/>
      <c r="C923" s="1"/>
      <c r="D923" s="1"/>
      <c r="E923" s="1"/>
      <c r="F923" s="1"/>
      <c r="G923" s="2"/>
    </row>
    <row r="924" ht="15.75" customHeight="1">
      <c r="A924" s="1"/>
      <c r="B924" s="1"/>
      <c r="C924" s="1"/>
      <c r="D924" s="1"/>
      <c r="E924" s="1"/>
      <c r="F924" s="1"/>
      <c r="G924" s="2"/>
    </row>
    <row r="925" ht="15.75" customHeight="1">
      <c r="A925" s="1"/>
      <c r="B925" s="1"/>
      <c r="C925" s="1"/>
      <c r="D925" s="1"/>
      <c r="E925" s="1"/>
      <c r="F925" s="1"/>
      <c r="G925" s="2"/>
    </row>
    <row r="926" ht="15.75" customHeight="1">
      <c r="A926" s="1"/>
      <c r="B926" s="1"/>
      <c r="C926" s="1"/>
      <c r="D926" s="1"/>
      <c r="E926" s="1"/>
      <c r="F926" s="1"/>
      <c r="G926" s="2"/>
    </row>
    <row r="927" ht="15.75" customHeight="1">
      <c r="A927" s="1"/>
      <c r="B927" s="1"/>
      <c r="C927" s="1"/>
      <c r="D927" s="1"/>
      <c r="E927" s="1"/>
      <c r="F927" s="1"/>
      <c r="G927" s="2"/>
    </row>
    <row r="928" ht="15.75" customHeight="1">
      <c r="A928" s="1"/>
      <c r="B928" s="1"/>
      <c r="C928" s="1"/>
      <c r="D928" s="1"/>
      <c r="E928" s="1"/>
      <c r="F928" s="1"/>
      <c r="G928" s="2"/>
    </row>
    <row r="929" ht="15.75" customHeight="1">
      <c r="A929" s="1"/>
      <c r="B929" s="1"/>
      <c r="C929" s="1"/>
      <c r="D929" s="1"/>
      <c r="E929" s="1"/>
      <c r="F929" s="1"/>
      <c r="G929" s="2"/>
    </row>
    <row r="930" ht="15.75" customHeight="1">
      <c r="A930" s="1"/>
      <c r="B930" s="1"/>
      <c r="C930" s="1"/>
      <c r="D930" s="1"/>
      <c r="E930" s="1"/>
      <c r="F930" s="1"/>
      <c r="G930" s="2"/>
    </row>
    <row r="931" ht="15.75" customHeight="1">
      <c r="A931" s="1"/>
      <c r="B931" s="1"/>
      <c r="C931" s="1"/>
      <c r="D931" s="1"/>
      <c r="E931" s="1"/>
      <c r="F931" s="1"/>
      <c r="G931" s="2"/>
    </row>
    <row r="932" ht="15.75" customHeight="1">
      <c r="A932" s="1"/>
      <c r="B932" s="1"/>
      <c r="C932" s="1"/>
      <c r="D932" s="1"/>
      <c r="E932" s="1"/>
      <c r="F932" s="1"/>
      <c r="G932" s="2"/>
    </row>
    <row r="933" ht="15.75" customHeight="1">
      <c r="A933" s="1"/>
      <c r="B933" s="1"/>
      <c r="C933" s="1"/>
      <c r="D933" s="1"/>
      <c r="E933" s="1"/>
      <c r="F933" s="1"/>
      <c r="G933" s="2"/>
    </row>
    <row r="934" ht="15.75" customHeight="1">
      <c r="A934" s="1"/>
      <c r="B934" s="1"/>
      <c r="C934" s="1"/>
      <c r="D934" s="1"/>
      <c r="E934" s="1"/>
      <c r="F934" s="1"/>
      <c r="G934" s="2"/>
    </row>
    <row r="935" ht="15.75" customHeight="1">
      <c r="A935" s="1"/>
      <c r="B935" s="1"/>
      <c r="C935" s="1"/>
      <c r="D935" s="1"/>
      <c r="E935" s="1"/>
      <c r="F935" s="1"/>
      <c r="G935" s="2"/>
    </row>
    <row r="936" ht="15.75" customHeight="1">
      <c r="A936" s="1"/>
      <c r="B936" s="1"/>
      <c r="C936" s="1"/>
      <c r="D936" s="1"/>
      <c r="E936" s="1"/>
      <c r="F936" s="1"/>
      <c r="G936" s="2"/>
    </row>
    <row r="937" ht="15.75" customHeight="1">
      <c r="A937" s="1"/>
      <c r="B937" s="1"/>
      <c r="C937" s="1"/>
      <c r="D937" s="1"/>
      <c r="E937" s="1"/>
      <c r="F937" s="1"/>
      <c r="G937" s="2"/>
    </row>
    <row r="938" ht="15.75" customHeight="1">
      <c r="A938" s="1"/>
      <c r="B938" s="1"/>
      <c r="C938" s="1"/>
      <c r="D938" s="1"/>
      <c r="E938" s="1"/>
      <c r="F938" s="1"/>
      <c r="G938" s="2"/>
    </row>
    <row r="939" ht="15.75" customHeight="1">
      <c r="A939" s="1"/>
      <c r="B939" s="1"/>
      <c r="C939" s="1"/>
      <c r="D939" s="1"/>
      <c r="E939" s="1"/>
      <c r="F939" s="1"/>
      <c r="G939" s="2"/>
    </row>
    <row r="940" ht="15.75" customHeight="1">
      <c r="A940" s="1"/>
      <c r="B940" s="1"/>
      <c r="C940" s="1"/>
      <c r="D940" s="1"/>
      <c r="E940" s="1"/>
      <c r="F940" s="1"/>
      <c r="G940" s="2"/>
    </row>
    <row r="941" ht="15.75" customHeight="1">
      <c r="A941" s="1"/>
      <c r="B941" s="1"/>
      <c r="C941" s="1"/>
      <c r="D941" s="1"/>
      <c r="E941" s="1"/>
      <c r="F941" s="1"/>
      <c r="G941" s="2"/>
    </row>
    <row r="942" ht="15.75" customHeight="1">
      <c r="A942" s="1"/>
      <c r="B942" s="1"/>
      <c r="C942" s="1"/>
      <c r="D942" s="1"/>
      <c r="E942" s="1"/>
      <c r="F942" s="1"/>
      <c r="G942" s="2"/>
    </row>
    <row r="943" ht="15.75" customHeight="1">
      <c r="A943" s="1"/>
      <c r="B943" s="1"/>
      <c r="C943" s="1"/>
      <c r="D943" s="1"/>
      <c r="E943" s="1"/>
      <c r="F943" s="1"/>
      <c r="G943" s="2"/>
    </row>
    <row r="944" ht="15.75" customHeight="1">
      <c r="A944" s="1"/>
      <c r="B944" s="1"/>
      <c r="C944" s="1"/>
      <c r="D944" s="1"/>
      <c r="E944" s="1"/>
      <c r="F944" s="1"/>
      <c r="G944" s="2"/>
    </row>
    <row r="945" ht="15.75" customHeight="1">
      <c r="A945" s="1"/>
      <c r="B945" s="1"/>
      <c r="C945" s="1"/>
      <c r="D945" s="1"/>
      <c r="E945" s="1"/>
      <c r="F945" s="1"/>
      <c r="G945" s="2"/>
    </row>
    <row r="946" ht="15.75" customHeight="1">
      <c r="A946" s="1"/>
      <c r="B946" s="1"/>
      <c r="C946" s="1"/>
      <c r="D946" s="1"/>
      <c r="E946" s="1"/>
      <c r="F946" s="1"/>
      <c r="G946" s="2"/>
    </row>
    <row r="947" ht="15.75" customHeight="1">
      <c r="A947" s="1"/>
      <c r="B947" s="1"/>
      <c r="C947" s="1"/>
      <c r="D947" s="1"/>
      <c r="E947" s="1"/>
      <c r="F947" s="1"/>
      <c r="G947" s="2"/>
    </row>
    <row r="948" ht="15.75" customHeight="1">
      <c r="A948" s="1"/>
      <c r="B948" s="1"/>
      <c r="C948" s="1"/>
      <c r="D948" s="1"/>
      <c r="E948" s="1"/>
      <c r="F948" s="1"/>
      <c r="G948" s="2"/>
    </row>
    <row r="949" ht="15.75" customHeight="1">
      <c r="A949" s="1"/>
      <c r="B949" s="1"/>
      <c r="C949" s="1"/>
      <c r="D949" s="1"/>
      <c r="E949" s="1"/>
      <c r="F949" s="1"/>
      <c r="G949" s="2"/>
    </row>
    <row r="950" ht="15.75" customHeight="1">
      <c r="A950" s="1"/>
      <c r="B950" s="1"/>
      <c r="C950" s="1"/>
      <c r="D950" s="1"/>
      <c r="E950" s="1"/>
      <c r="F950" s="1"/>
      <c r="G950" s="2"/>
    </row>
    <row r="951" ht="15.75" customHeight="1">
      <c r="A951" s="1"/>
      <c r="B951" s="1"/>
      <c r="C951" s="1"/>
      <c r="D951" s="1"/>
      <c r="E951" s="1"/>
      <c r="F951" s="1"/>
      <c r="G951" s="2"/>
    </row>
    <row r="952" ht="15.75" customHeight="1">
      <c r="A952" s="1"/>
      <c r="B952" s="1"/>
      <c r="C952" s="1"/>
      <c r="D952" s="1"/>
      <c r="E952" s="1"/>
      <c r="F952" s="1"/>
      <c r="G952" s="2"/>
    </row>
    <row r="953" ht="15.75" customHeight="1">
      <c r="A953" s="1"/>
      <c r="B953" s="1"/>
      <c r="C953" s="1"/>
      <c r="D953" s="1"/>
      <c r="E953" s="1"/>
      <c r="F953" s="1"/>
      <c r="G953" s="2"/>
    </row>
    <row r="954" ht="15.75" customHeight="1">
      <c r="A954" s="1"/>
      <c r="B954" s="1"/>
      <c r="C954" s="1"/>
      <c r="D954" s="1"/>
      <c r="E954" s="1"/>
      <c r="F954" s="1"/>
      <c r="G954" s="2"/>
    </row>
    <row r="955" ht="15.75" customHeight="1">
      <c r="A955" s="1"/>
      <c r="B955" s="1"/>
      <c r="C955" s="1"/>
      <c r="D955" s="1"/>
      <c r="E955" s="1"/>
      <c r="F955" s="1"/>
      <c r="G955" s="2"/>
    </row>
    <row r="956" ht="15.75" customHeight="1">
      <c r="A956" s="1"/>
      <c r="B956" s="1"/>
      <c r="C956" s="1"/>
      <c r="D956" s="1"/>
      <c r="E956" s="1"/>
      <c r="F956" s="1"/>
      <c r="G956" s="2"/>
    </row>
    <row r="957" ht="15.75" customHeight="1">
      <c r="A957" s="1"/>
      <c r="B957" s="1"/>
      <c r="C957" s="1"/>
      <c r="D957" s="1"/>
      <c r="E957" s="1"/>
      <c r="F957" s="1"/>
      <c r="G957" s="2"/>
    </row>
    <row r="958" ht="15.75" customHeight="1">
      <c r="A958" s="1"/>
      <c r="B958" s="1"/>
      <c r="C958" s="1"/>
      <c r="D958" s="1"/>
      <c r="E958" s="1"/>
      <c r="F958" s="1"/>
      <c r="G958" s="2"/>
    </row>
    <row r="959" ht="15.75" customHeight="1">
      <c r="A959" s="1"/>
      <c r="B959" s="1"/>
      <c r="C959" s="1"/>
      <c r="D959" s="1"/>
      <c r="E959" s="1"/>
      <c r="F959" s="1"/>
      <c r="G959" s="2"/>
    </row>
    <row r="960" ht="15.75" customHeight="1">
      <c r="A960" s="1"/>
      <c r="B960" s="1"/>
      <c r="C960" s="1"/>
      <c r="D960" s="1"/>
      <c r="E960" s="1"/>
      <c r="F960" s="1"/>
      <c r="G960" s="2"/>
    </row>
    <row r="961" ht="15.75" customHeight="1">
      <c r="A961" s="1"/>
      <c r="B961" s="1"/>
      <c r="C961" s="1"/>
      <c r="D961" s="1"/>
      <c r="E961" s="1"/>
      <c r="F961" s="1"/>
      <c r="G961" s="2"/>
    </row>
    <row r="962" ht="15.75" customHeight="1">
      <c r="A962" s="1"/>
      <c r="B962" s="1"/>
      <c r="C962" s="1"/>
      <c r="D962" s="1"/>
      <c r="E962" s="1"/>
      <c r="F962" s="1"/>
      <c r="G962" s="2"/>
    </row>
    <row r="963" ht="15.75" customHeight="1">
      <c r="A963" s="1"/>
      <c r="B963" s="1"/>
      <c r="C963" s="1"/>
      <c r="D963" s="1"/>
      <c r="E963" s="1"/>
      <c r="F963" s="1"/>
      <c r="G963" s="2"/>
    </row>
    <row r="964" ht="15.75" customHeight="1">
      <c r="A964" s="1"/>
      <c r="B964" s="1"/>
      <c r="C964" s="1"/>
      <c r="D964" s="1"/>
      <c r="E964" s="1"/>
      <c r="F964" s="1"/>
      <c r="G964" s="2"/>
    </row>
    <row r="965" ht="15.75" customHeight="1">
      <c r="A965" s="1"/>
      <c r="B965" s="1"/>
      <c r="C965" s="1"/>
      <c r="D965" s="1"/>
      <c r="E965" s="1"/>
      <c r="F965" s="1"/>
      <c r="G965" s="2"/>
    </row>
    <row r="966" ht="15.75" customHeight="1">
      <c r="A966" s="1"/>
      <c r="B966" s="1"/>
      <c r="C966" s="1"/>
      <c r="D966" s="1"/>
      <c r="E966" s="1"/>
      <c r="F966" s="1"/>
      <c r="G966" s="2"/>
    </row>
    <row r="967" ht="15.75" customHeight="1">
      <c r="A967" s="1"/>
      <c r="B967" s="1"/>
      <c r="C967" s="1"/>
      <c r="D967" s="1"/>
      <c r="E967" s="1"/>
      <c r="F967" s="1"/>
      <c r="G967" s="2"/>
    </row>
    <row r="968" ht="15.75" customHeight="1">
      <c r="A968" s="1"/>
      <c r="B968" s="1"/>
      <c r="C968" s="1"/>
      <c r="D968" s="1"/>
      <c r="E968" s="1"/>
      <c r="F968" s="1"/>
      <c r="G968" s="2"/>
    </row>
    <row r="969" ht="15.75" customHeight="1">
      <c r="A969" s="1"/>
      <c r="B969" s="1"/>
      <c r="C969" s="1"/>
      <c r="D969" s="1"/>
      <c r="E969" s="1"/>
      <c r="F969" s="1"/>
      <c r="G969" s="2"/>
    </row>
    <row r="970" ht="15.75" customHeight="1">
      <c r="A970" s="1"/>
      <c r="B970" s="1"/>
      <c r="C970" s="1"/>
      <c r="D970" s="1"/>
      <c r="E970" s="1"/>
      <c r="F970" s="1"/>
      <c r="G970" s="2"/>
    </row>
    <row r="971" ht="15.75" customHeight="1">
      <c r="A971" s="1"/>
      <c r="B971" s="1"/>
      <c r="C971" s="1"/>
      <c r="D971" s="1"/>
      <c r="E971" s="1"/>
      <c r="F971" s="1"/>
      <c r="G971" s="2"/>
    </row>
    <row r="972" ht="15.75" customHeight="1">
      <c r="A972" s="1"/>
      <c r="B972" s="1"/>
      <c r="C972" s="1"/>
      <c r="D972" s="1"/>
      <c r="E972" s="1"/>
      <c r="F972" s="1"/>
      <c r="G972" s="2"/>
    </row>
    <row r="973" ht="15.75" customHeight="1">
      <c r="A973" s="1"/>
      <c r="B973" s="1"/>
      <c r="C973" s="1"/>
      <c r="D973" s="1"/>
      <c r="E973" s="1"/>
      <c r="F973" s="1"/>
      <c r="G973" s="2"/>
    </row>
    <row r="974" ht="15.75" customHeight="1">
      <c r="A974" s="1"/>
      <c r="B974" s="1"/>
      <c r="C974" s="1"/>
      <c r="D974" s="1"/>
      <c r="E974" s="1"/>
      <c r="F974" s="1"/>
      <c r="G974" s="2"/>
    </row>
    <row r="975" ht="15.75" customHeight="1">
      <c r="A975" s="1"/>
      <c r="B975" s="1"/>
      <c r="C975" s="1"/>
      <c r="D975" s="1"/>
      <c r="E975" s="1"/>
      <c r="F975" s="1"/>
      <c r="G975" s="2"/>
    </row>
    <row r="976" ht="15.75" customHeight="1">
      <c r="A976" s="1"/>
      <c r="B976" s="1"/>
      <c r="C976" s="1"/>
      <c r="D976" s="1"/>
      <c r="E976" s="1"/>
      <c r="F976" s="1"/>
      <c r="G976" s="2"/>
    </row>
    <row r="977" ht="15.75" customHeight="1">
      <c r="A977" s="1"/>
      <c r="B977" s="1"/>
      <c r="C977" s="1"/>
      <c r="D977" s="1"/>
      <c r="E977" s="1"/>
      <c r="F977" s="1"/>
      <c r="G977" s="2"/>
    </row>
    <row r="978" ht="15.75" customHeight="1">
      <c r="A978" s="1"/>
      <c r="B978" s="1"/>
      <c r="C978" s="1"/>
      <c r="D978" s="1"/>
      <c r="E978" s="1"/>
      <c r="F978" s="1"/>
      <c r="G978" s="2"/>
    </row>
    <row r="979" ht="15.75" customHeight="1">
      <c r="A979" s="1"/>
      <c r="B979" s="1"/>
      <c r="C979" s="1"/>
      <c r="D979" s="1"/>
      <c r="E979" s="1"/>
      <c r="F979" s="1"/>
      <c r="G979" s="2"/>
    </row>
    <row r="980" ht="15.75" customHeight="1">
      <c r="A980" s="1"/>
      <c r="B980" s="1"/>
      <c r="C980" s="1"/>
      <c r="D980" s="1"/>
      <c r="E980" s="1"/>
      <c r="F980" s="1"/>
      <c r="G980" s="2"/>
    </row>
    <row r="981" ht="15.75" customHeight="1">
      <c r="A981" s="1"/>
      <c r="B981" s="1"/>
      <c r="C981" s="1"/>
      <c r="D981" s="1"/>
      <c r="E981" s="1"/>
      <c r="F981" s="1"/>
      <c r="G981" s="2"/>
    </row>
    <row r="982" ht="15.75" customHeight="1">
      <c r="A982" s="1"/>
      <c r="B982" s="1"/>
      <c r="C982" s="1"/>
      <c r="D982" s="1"/>
      <c r="E982" s="1"/>
      <c r="F982" s="1"/>
      <c r="G982" s="2"/>
    </row>
    <row r="983" ht="15.75" customHeight="1">
      <c r="A983" s="1"/>
      <c r="B983" s="1"/>
      <c r="C983" s="1"/>
      <c r="D983" s="1"/>
      <c r="E983" s="1"/>
      <c r="F983" s="1"/>
      <c r="G983" s="2"/>
    </row>
    <row r="984" ht="15.75" customHeight="1">
      <c r="A984" s="1"/>
      <c r="B984" s="1"/>
      <c r="C984" s="1"/>
      <c r="D984" s="1"/>
      <c r="E984" s="1"/>
      <c r="F984" s="1"/>
      <c r="G984" s="2"/>
    </row>
    <row r="985" ht="15.75" customHeight="1">
      <c r="A985" s="1"/>
      <c r="B985" s="1"/>
      <c r="C985" s="1"/>
      <c r="D985" s="1"/>
      <c r="E985" s="1"/>
      <c r="F985" s="1"/>
      <c r="G985" s="2"/>
    </row>
    <row r="986" ht="15.75" customHeight="1">
      <c r="A986" s="1"/>
      <c r="B986" s="1"/>
      <c r="C986" s="1"/>
      <c r="D986" s="1"/>
      <c r="E986" s="1"/>
      <c r="F986" s="1"/>
      <c r="G986" s="2"/>
    </row>
    <row r="987" ht="15.75" customHeight="1">
      <c r="A987" s="1"/>
      <c r="B987" s="1"/>
      <c r="C987" s="1"/>
      <c r="D987" s="1"/>
      <c r="E987" s="1"/>
      <c r="F987" s="1"/>
      <c r="G987" s="2"/>
    </row>
    <row r="988" ht="15.75" customHeight="1">
      <c r="A988" s="1"/>
      <c r="B988" s="1"/>
      <c r="C988" s="1"/>
      <c r="D988" s="1"/>
      <c r="E988" s="1"/>
      <c r="F988" s="1"/>
      <c r="G988" s="2"/>
    </row>
    <row r="989" ht="15.75" customHeight="1">
      <c r="A989" s="1"/>
      <c r="B989" s="1"/>
      <c r="C989" s="1"/>
      <c r="D989" s="1"/>
      <c r="E989" s="1"/>
      <c r="F989" s="1"/>
      <c r="G989" s="2"/>
    </row>
    <row r="990" ht="15.75" customHeight="1">
      <c r="A990" s="1"/>
      <c r="B990" s="1"/>
      <c r="C990" s="1"/>
      <c r="D990" s="1"/>
      <c r="E990" s="1"/>
      <c r="F990" s="1"/>
      <c r="G990" s="2"/>
    </row>
    <row r="991" ht="15.75" customHeight="1">
      <c r="A991" s="1"/>
      <c r="B991" s="1"/>
      <c r="C991" s="1"/>
      <c r="D991" s="1"/>
      <c r="E991" s="1"/>
      <c r="F991" s="1"/>
      <c r="G991" s="2"/>
    </row>
    <row r="992" ht="15.75" customHeight="1">
      <c r="A992" s="1"/>
      <c r="B992" s="1"/>
      <c r="C992" s="1"/>
      <c r="D992" s="1"/>
      <c r="E992" s="1"/>
      <c r="F992" s="1"/>
      <c r="G992" s="2"/>
    </row>
    <row r="993" ht="15.75" customHeight="1">
      <c r="A993" s="1"/>
      <c r="B993" s="1"/>
      <c r="C993" s="1"/>
      <c r="D993" s="1"/>
      <c r="E993" s="1"/>
      <c r="F993" s="1"/>
      <c r="G993" s="2"/>
    </row>
    <row r="994" ht="15.75" customHeight="1">
      <c r="A994" s="1"/>
      <c r="B994" s="1"/>
      <c r="C994" s="1"/>
      <c r="D994" s="1"/>
      <c r="E994" s="1"/>
      <c r="F994" s="1"/>
      <c r="G994" s="2"/>
    </row>
    <row r="995" ht="15.75" customHeight="1">
      <c r="A995" s="1"/>
      <c r="B995" s="1"/>
      <c r="C995" s="1"/>
      <c r="D995" s="1"/>
      <c r="E995" s="1"/>
      <c r="F995" s="1"/>
      <c r="G995" s="2"/>
    </row>
    <row r="996" ht="15.75" customHeight="1">
      <c r="A996" s="1"/>
      <c r="B996" s="1"/>
      <c r="C996" s="1"/>
      <c r="D996" s="1"/>
      <c r="E996" s="1"/>
      <c r="F996" s="1"/>
      <c r="G996" s="2"/>
    </row>
    <row r="997" ht="15.75" customHeight="1">
      <c r="A997" s="1"/>
      <c r="B997" s="1"/>
      <c r="C997" s="1"/>
      <c r="D997" s="1"/>
      <c r="E997" s="1"/>
      <c r="F997" s="1"/>
      <c r="G997" s="2"/>
    </row>
    <row r="998" ht="15.75" customHeight="1">
      <c r="A998" s="1"/>
      <c r="B998" s="1"/>
      <c r="C998" s="1"/>
      <c r="D998" s="1"/>
      <c r="E998" s="1"/>
      <c r="F998" s="1"/>
      <c r="G998" s="2"/>
    </row>
    <row r="999" ht="15.75" customHeight="1">
      <c r="A999" s="1"/>
      <c r="B999" s="1"/>
      <c r="C999" s="1"/>
      <c r="D999" s="1"/>
      <c r="E999" s="1"/>
      <c r="F999" s="1"/>
      <c r="G999" s="2"/>
    </row>
    <row r="1000" ht="15.75" customHeight="1">
      <c r="A1000" s="1"/>
      <c r="B1000" s="1"/>
      <c r="C1000" s="1"/>
      <c r="D1000" s="1"/>
      <c r="E1000" s="1"/>
      <c r="F1000" s="1"/>
      <c r="G1000" s="2"/>
    </row>
  </sheetData>
  <mergeCells count="1">
    <mergeCell ref="B78:G78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10.0"/>
    <col customWidth="1" min="7" max="7" width="18.57"/>
    <col customWidth="1" min="8" max="26" width="10.71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s">
        <v>220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221</v>
      </c>
      <c r="C4" s="1"/>
      <c r="D4" s="1"/>
      <c r="E4" s="1"/>
      <c r="F4" s="1"/>
      <c r="G4" s="2">
        <v>9630651.0</v>
      </c>
    </row>
    <row r="5">
      <c r="A5" s="1"/>
      <c r="B5" s="4"/>
      <c r="C5" s="1"/>
      <c r="D5" s="1"/>
      <c r="E5" s="1"/>
      <c r="F5" s="1"/>
      <c r="G5" s="2"/>
    </row>
    <row r="6">
      <c r="A6" s="6" t="s">
        <v>222</v>
      </c>
      <c r="B6" s="1"/>
      <c r="C6" s="1"/>
      <c r="D6" s="1"/>
      <c r="E6" s="1"/>
      <c r="F6" s="1"/>
      <c r="G6" s="2"/>
    </row>
    <row r="7">
      <c r="A7" s="1"/>
      <c r="B7" s="4" t="s">
        <v>63</v>
      </c>
      <c r="C7" s="1"/>
      <c r="D7" s="1"/>
      <c r="E7" s="1"/>
      <c r="F7" s="1"/>
      <c r="G7" s="7">
        <v>978900.0</v>
      </c>
    </row>
    <row r="8">
      <c r="A8" s="1"/>
      <c r="B8" s="4" t="s">
        <v>64</v>
      </c>
      <c r="C8" s="1"/>
      <c r="D8" s="1"/>
      <c r="E8" s="1"/>
      <c r="F8" s="1"/>
      <c r="G8" s="7">
        <v>1359200.0</v>
      </c>
    </row>
    <row r="9">
      <c r="A9" s="1"/>
      <c r="B9" s="4" t="s">
        <v>65</v>
      </c>
      <c r="C9" s="1"/>
      <c r="D9" s="1"/>
      <c r="E9" s="1"/>
      <c r="F9" s="1"/>
      <c r="G9" s="7">
        <v>1091400.0</v>
      </c>
    </row>
    <row r="10">
      <c r="A10" s="1"/>
      <c r="B10" s="4" t="s">
        <v>66</v>
      </c>
      <c r="C10" s="1"/>
      <c r="D10" s="1"/>
      <c r="E10" s="1"/>
      <c r="F10" s="1"/>
      <c r="G10" s="8">
        <v>1007000.0</v>
      </c>
    </row>
    <row r="11">
      <c r="A11" s="1"/>
      <c r="B11" s="4" t="s">
        <v>67</v>
      </c>
      <c r="C11" s="1"/>
      <c r="D11" s="1"/>
      <c r="E11" s="4" t="s">
        <v>8</v>
      </c>
      <c r="F11" s="1"/>
      <c r="G11" s="7">
        <v>402100.0</v>
      </c>
    </row>
    <row r="12">
      <c r="A12" s="1"/>
      <c r="B12" s="9" t="s">
        <v>9</v>
      </c>
      <c r="C12" s="10"/>
      <c r="D12" s="10"/>
      <c r="E12" s="10"/>
      <c r="F12" s="10"/>
      <c r="G12" s="11">
        <f>SUM(G7:G11)</f>
        <v>4838600</v>
      </c>
    </row>
    <row r="13">
      <c r="A13" s="1"/>
      <c r="B13" s="1"/>
      <c r="C13" s="1"/>
      <c r="D13" s="1"/>
      <c r="E13" s="1"/>
      <c r="F13" s="1"/>
      <c r="G13" s="2"/>
    </row>
    <row r="14">
      <c r="A14" s="6" t="s">
        <v>223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224</v>
      </c>
      <c r="C16" s="1"/>
      <c r="D16" s="1"/>
      <c r="E16" s="1"/>
      <c r="F16" s="1"/>
      <c r="G16" s="2">
        <v>98000.0</v>
      </c>
    </row>
    <row r="17">
      <c r="A17" s="1"/>
      <c r="B17" s="4" t="s">
        <v>13</v>
      </c>
      <c r="C17" s="1"/>
      <c r="D17" s="1"/>
      <c r="E17" s="1"/>
      <c r="F17" s="1"/>
      <c r="G17" s="13">
        <v>100000.0</v>
      </c>
    </row>
    <row r="18">
      <c r="A18" s="1"/>
      <c r="B18" s="4" t="s">
        <v>14</v>
      </c>
      <c r="C18" s="1"/>
      <c r="D18" s="1"/>
      <c r="E18" s="1"/>
      <c r="F18" s="1"/>
      <c r="G18" s="13">
        <v>100000.0</v>
      </c>
    </row>
    <row r="19">
      <c r="A19" s="1"/>
      <c r="B19" s="4" t="s">
        <v>15</v>
      </c>
      <c r="C19" s="1"/>
      <c r="D19" s="1"/>
      <c r="E19" s="1"/>
      <c r="F19" s="1"/>
      <c r="G19" s="2">
        <v>75000.0</v>
      </c>
    </row>
    <row r="20">
      <c r="A20" s="1"/>
      <c r="B20" s="4" t="s">
        <v>16</v>
      </c>
      <c r="C20" s="1"/>
      <c r="D20" s="1"/>
      <c r="E20" s="1"/>
      <c r="F20" s="1"/>
      <c r="G20" s="2">
        <v>60000.0</v>
      </c>
    </row>
    <row r="21" ht="15.75" customHeight="1">
      <c r="A21" s="1"/>
      <c r="B21" s="4" t="s">
        <v>17</v>
      </c>
      <c r="C21" s="1"/>
      <c r="D21" s="1"/>
      <c r="E21" s="1"/>
      <c r="F21" s="1"/>
      <c r="G21" s="2">
        <v>65000.0</v>
      </c>
    </row>
    <row r="22" ht="15.75" customHeight="1">
      <c r="A22" s="1"/>
      <c r="B22" s="4" t="s">
        <v>70</v>
      </c>
      <c r="C22" s="1"/>
      <c r="D22" s="1"/>
      <c r="E22" s="1"/>
      <c r="F22" s="1"/>
      <c r="G22" s="2">
        <v>50000.0</v>
      </c>
    </row>
    <row r="23" ht="15.75" customHeight="1">
      <c r="A23" s="1"/>
      <c r="B23" s="9" t="s">
        <v>18</v>
      </c>
      <c r="C23" s="10"/>
      <c r="D23" s="10"/>
      <c r="E23" s="10"/>
      <c r="F23" s="10"/>
      <c r="G23" s="14">
        <f>SUM(G16:G22)</f>
        <v>548000</v>
      </c>
    </row>
    <row r="24" ht="15.75" customHeight="1">
      <c r="A24" s="1"/>
      <c r="B24" s="12" t="s">
        <v>19</v>
      </c>
      <c r="C24" s="15"/>
      <c r="D24" s="1"/>
      <c r="E24" s="1"/>
      <c r="F24" s="1"/>
      <c r="G24" s="2"/>
    </row>
    <row r="25" ht="15.75" customHeight="1">
      <c r="A25" s="1"/>
      <c r="B25" s="4" t="s">
        <v>225</v>
      </c>
      <c r="C25" s="15"/>
      <c r="D25" s="1"/>
      <c r="E25" s="1"/>
      <c r="F25" s="1"/>
      <c r="G25" s="2">
        <v>2000.0</v>
      </c>
    </row>
    <row r="26" ht="15.75" customHeight="1">
      <c r="A26" s="1"/>
      <c r="B26" s="4" t="s">
        <v>226</v>
      </c>
      <c r="C26" s="15"/>
      <c r="D26" s="1"/>
      <c r="E26" s="1"/>
      <c r="F26" s="1"/>
      <c r="G26" s="2">
        <v>2000.0</v>
      </c>
    </row>
    <row r="27" ht="15.75" customHeight="1">
      <c r="A27" s="1"/>
      <c r="B27" s="4" t="s">
        <v>227</v>
      </c>
      <c r="C27" s="15"/>
      <c r="D27" s="1"/>
      <c r="E27" s="1"/>
      <c r="F27" s="1"/>
      <c r="G27" s="2">
        <v>18000.0</v>
      </c>
    </row>
    <row r="28" ht="15.75" customHeight="1">
      <c r="A28" s="1"/>
      <c r="B28" s="4" t="s">
        <v>228</v>
      </c>
      <c r="C28" s="15"/>
      <c r="D28" s="1"/>
      <c r="E28" s="1"/>
      <c r="F28" s="1"/>
      <c r="G28" s="2">
        <v>2000.0</v>
      </c>
    </row>
    <row r="29" ht="15.75" customHeight="1">
      <c r="A29" s="1"/>
      <c r="B29" s="4" t="s">
        <v>229</v>
      </c>
      <c r="C29" s="15"/>
      <c r="D29" s="1"/>
      <c r="E29" s="1"/>
      <c r="F29" s="1"/>
      <c r="G29" s="2">
        <v>2850.0</v>
      </c>
    </row>
    <row r="30" ht="15.75" customHeight="1">
      <c r="A30" s="1"/>
      <c r="B30" s="4" t="s">
        <v>230</v>
      </c>
      <c r="C30" s="15"/>
      <c r="D30" s="1"/>
      <c r="E30" s="1"/>
      <c r="F30" s="1"/>
      <c r="G30" s="2">
        <v>34800.0</v>
      </c>
    </row>
    <row r="31" ht="15.75" customHeight="1">
      <c r="A31" s="1"/>
      <c r="B31" s="4" t="s">
        <v>231</v>
      </c>
      <c r="C31" s="15"/>
      <c r="D31" s="1"/>
      <c r="E31" s="1"/>
      <c r="F31" s="1"/>
      <c r="G31" s="2">
        <v>56000.0</v>
      </c>
    </row>
    <row r="32" ht="15.75" customHeight="1">
      <c r="A32" s="1"/>
      <c r="B32" s="4" t="s">
        <v>232</v>
      </c>
      <c r="C32" s="15"/>
      <c r="D32" s="1"/>
      <c r="E32" s="1"/>
      <c r="F32" s="1"/>
      <c r="G32" s="2">
        <v>283000.0</v>
      </c>
    </row>
    <row r="33" ht="15.75" customHeight="1">
      <c r="A33" s="1"/>
      <c r="B33" s="4" t="s">
        <v>233</v>
      </c>
      <c r="C33" s="15"/>
      <c r="D33" s="1"/>
      <c r="E33" s="1"/>
      <c r="F33" s="1"/>
      <c r="G33" s="2">
        <v>181000.0</v>
      </c>
    </row>
    <row r="34" ht="15.75" customHeight="1">
      <c r="A34" s="1"/>
      <c r="B34" s="4" t="s">
        <v>234</v>
      </c>
      <c r="C34" s="15"/>
      <c r="D34" s="1"/>
      <c r="E34" s="1"/>
      <c r="F34" s="1"/>
      <c r="G34" s="2">
        <v>100000.0</v>
      </c>
    </row>
    <row r="35" ht="15.75" customHeight="1">
      <c r="A35" s="1"/>
      <c r="B35" s="4" t="s">
        <v>235</v>
      </c>
      <c r="C35" s="15"/>
      <c r="D35" s="1"/>
      <c r="E35" s="1"/>
      <c r="F35" s="1"/>
      <c r="G35" s="2">
        <v>27000.0</v>
      </c>
    </row>
    <row r="36" ht="15.75" customHeight="1">
      <c r="A36" s="1"/>
      <c r="B36" s="4" t="s">
        <v>236</v>
      </c>
      <c r="C36" s="15"/>
      <c r="D36" s="1"/>
      <c r="E36" s="1"/>
      <c r="F36" s="1"/>
      <c r="G36" s="2">
        <v>105875.0</v>
      </c>
    </row>
    <row r="37" ht="15.75" customHeight="1">
      <c r="A37" s="1"/>
      <c r="B37" s="4" t="s">
        <v>237</v>
      </c>
      <c r="C37" s="15"/>
      <c r="D37" s="1"/>
      <c r="E37" s="1"/>
      <c r="F37" s="1"/>
      <c r="G37" s="2">
        <v>15000.0</v>
      </c>
    </row>
    <row r="38" ht="15.75" customHeight="1">
      <c r="A38" s="1"/>
      <c r="B38" s="4" t="s">
        <v>238</v>
      </c>
      <c r="C38" s="15"/>
      <c r="D38" s="1"/>
      <c r="E38" s="1"/>
      <c r="F38" s="1"/>
      <c r="G38" s="2">
        <v>7500.0</v>
      </c>
    </row>
    <row r="39" ht="15.75" customHeight="1">
      <c r="A39" s="1"/>
      <c r="B39" s="4" t="s">
        <v>239</v>
      </c>
      <c r="C39" s="15"/>
      <c r="D39" s="1"/>
      <c r="E39" s="1"/>
      <c r="F39" s="1"/>
      <c r="G39" s="2">
        <v>15000.0</v>
      </c>
    </row>
    <row r="40" ht="15.75" customHeight="1">
      <c r="A40" s="1"/>
      <c r="B40" s="4" t="s">
        <v>240</v>
      </c>
      <c r="C40" s="15"/>
      <c r="D40" s="1"/>
      <c r="E40" s="1"/>
      <c r="F40" s="1"/>
      <c r="G40" s="2">
        <v>18000.0</v>
      </c>
    </row>
    <row r="41" ht="15.75" customHeight="1">
      <c r="A41" s="1"/>
      <c r="B41" s="4" t="s">
        <v>241</v>
      </c>
      <c r="C41" s="15"/>
      <c r="D41" s="1"/>
      <c r="E41" s="1"/>
      <c r="F41" s="1"/>
      <c r="G41" s="2">
        <v>65250.0</v>
      </c>
    </row>
    <row r="42" ht="15.75" customHeight="1">
      <c r="A42" s="1"/>
      <c r="B42" s="4" t="s">
        <v>242</v>
      </c>
      <c r="C42" s="15"/>
      <c r="D42" s="1"/>
      <c r="E42" s="1"/>
      <c r="F42" s="1"/>
      <c r="G42" s="2">
        <v>2000.0</v>
      </c>
    </row>
    <row r="43" ht="15.75" customHeight="1">
      <c r="A43" s="1"/>
      <c r="B43" s="4" t="s">
        <v>243</v>
      </c>
      <c r="C43" s="15"/>
      <c r="D43" s="1"/>
      <c r="E43" s="1"/>
      <c r="F43" s="1"/>
      <c r="G43" s="2">
        <v>315000.0</v>
      </c>
    </row>
    <row r="44" ht="15.75" customHeight="1">
      <c r="A44" s="1"/>
      <c r="B44" s="4" t="s">
        <v>244</v>
      </c>
      <c r="C44" s="15"/>
      <c r="D44" s="1"/>
      <c r="E44" s="1"/>
      <c r="F44" s="1"/>
      <c r="G44" s="2">
        <v>87500.0</v>
      </c>
    </row>
    <row r="45" ht="15.75" customHeight="1">
      <c r="A45" s="1"/>
      <c r="B45" s="4" t="s">
        <v>245</v>
      </c>
      <c r="C45" s="15"/>
      <c r="D45" s="1"/>
      <c r="E45" s="1"/>
      <c r="F45" s="1"/>
      <c r="G45" s="2">
        <v>6000.0</v>
      </c>
    </row>
    <row r="46" ht="15.75" customHeight="1">
      <c r="A46" s="1"/>
      <c r="B46" s="4" t="s">
        <v>246</v>
      </c>
      <c r="C46" s="15"/>
      <c r="D46" s="1"/>
      <c r="E46" s="1"/>
      <c r="F46" s="1"/>
      <c r="G46" s="2">
        <v>2000.0</v>
      </c>
    </row>
    <row r="47" ht="15.75" customHeight="1">
      <c r="A47" s="1"/>
      <c r="B47" s="4" t="s">
        <v>247</v>
      </c>
      <c r="C47" s="15"/>
      <c r="D47" s="1"/>
      <c r="E47" s="1"/>
      <c r="F47" s="1"/>
      <c r="G47" s="2">
        <v>2000.0</v>
      </c>
    </row>
    <row r="48" ht="15.75" customHeight="1">
      <c r="A48" s="1"/>
      <c r="B48" s="4" t="s">
        <v>248</v>
      </c>
      <c r="C48" s="15"/>
      <c r="D48" s="1"/>
      <c r="E48" s="1"/>
      <c r="F48" s="1"/>
      <c r="G48" s="2">
        <v>38350.0</v>
      </c>
    </row>
    <row r="49" ht="15.75" customHeight="1">
      <c r="A49" s="1"/>
      <c r="B49" s="4" t="s">
        <v>249</v>
      </c>
      <c r="C49" s="15"/>
      <c r="D49" s="1"/>
      <c r="E49" s="1"/>
      <c r="F49" s="1"/>
      <c r="G49" s="2">
        <v>2000.0</v>
      </c>
    </row>
    <row r="50" ht="15.75" customHeight="1">
      <c r="A50" s="1"/>
      <c r="B50" s="4" t="s">
        <v>250</v>
      </c>
      <c r="C50" s="15"/>
      <c r="D50" s="1"/>
      <c r="E50" s="1"/>
      <c r="F50" s="1"/>
      <c r="G50" s="2">
        <v>2000.0</v>
      </c>
    </row>
    <row r="51" ht="15.75" customHeight="1">
      <c r="A51" s="1"/>
      <c r="B51" s="4" t="s">
        <v>251</v>
      </c>
      <c r="C51" s="15"/>
      <c r="D51" s="1"/>
      <c r="E51" s="1"/>
      <c r="F51" s="1"/>
      <c r="G51" s="2">
        <v>20000.0</v>
      </c>
    </row>
    <row r="52" ht="15.75" customHeight="1">
      <c r="A52" s="1"/>
      <c r="B52" s="4" t="s">
        <v>252</v>
      </c>
      <c r="C52" s="15"/>
      <c r="D52" s="1"/>
      <c r="E52" s="1"/>
      <c r="F52" s="1"/>
      <c r="G52" s="2">
        <v>10000.0</v>
      </c>
    </row>
    <row r="53" ht="15.75" customHeight="1">
      <c r="A53" s="22"/>
      <c r="B53" s="1" t="s">
        <v>234</v>
      </c>
      <c r="C53" s="1"/>
      <c r="D53" s="1"/>
      <c r="E53" s="1"/>
      <c r="F53" s="1"/>
      <c r="G53" s="2">
        <v>100000.0</v>
      </c>
    </row>
    <row r="54" ht="15.75" customHeight="1">
      <c r="A54" s="1"/>
      <c r="B54" s="4"/>
      <c r="C54" s="15"/>
      <c r="D54" s="1"/>
      <c r="E54" s="1"/>
      <c r="F54" s="1"/>
      <c r="G54" s="2"/>
    </row>
    <row r="55" ht="15.75" customHeight="1">
      <c r="A55" s="1"/>
      <c r="B55" s="16" t="s">
        <v>43</v>
      </c>
      <c r="C55" s="10"/>
      <c r="D55" s="10"/>
      <c r="E55" s="10"/>
      <c r="F55" s="10"/>
      <c r="G55" s="17">
        <f>SUM(G25:G54)</f>
        <v>1522125</v>
      </c>
    </row>
    <row r="56" ht="15.75" customHeight="1">
      <c r="A56" s="1"/>
      <c r="B56" s="1"/>
      <c r="C56" s="1"/>
      <c r="D56" s="1"/>
      <c r="E56" s="1"/>
      <c r="F56" s="1"/>
      <c r="G56" s="18" t="s">
        <v>44</v>
      </c>
    </row>
    <row r="57" ht="15.75" customHeight="1">
      <c r="A57" s="1"/>
      <c r="B57" s="19" t="s">
        <v>45</v>
      </c>
      <c r="C57" s="20"/>
      <c r="D57" s="20"/>
      <c r="E57" s="20"/>
      <c r="F57" s="20"/>
      <c r="G57" s="21">
        <f>SUM(G23,G55)</f>
        <v>2070125</v>
      </c>
    </row>
    <row r="58" ht="15.75" customHeight="1">
      <c r="A58" s="1"/>
      <c r="B58" s="4" t="s">
        <v>46</v>
      </c>
      <c r="C58" s="1"/>
      <c r="D58" s="1"/>
      <c r="E58" s="1"/>
      <c r="F58" s="1"/>
      <c r="G58" s="2"/>
    </row>
    <row r="59" ht="15.75" customHeight="1">
      <c r="A59" s="35" t="s">
        <v>253</v>
      </c>
      <c r="B59" s="36"/>
      <c r="C59" s="37"/>
      <c r="D59" s="37"/>
      <c r="E59" s="37"/>
      <c r="F59" s="37"/>
      <c r="G59" s="38">
        <f>(G12-G57)</f>
        <v>2768475</v>
      </c>
    </row>
    <row r="60" ht="15.75" customHeight="1">
      <c r="A60" s="1"/>
      <c r="B60" s="4"/>
      <c r="C60" s="1"/>
      <c r="D60" s="1"/>
      <c r="E60" s="1"/>
      <c r="F60" s="1"/>
      <c r="G60" s="2"/>
    </row>
    <row r="61" ht="15.75" customHeight="1">
      <c r="A61" s="22" t="s">
        <v>254</v>
      </c>
      <c r="B61" s="1" t="s">
        <v>255</v>
      </c>
      <c r="C61" s="1"/>
      <c r="D61" s="1"/>
      <c r="E61" s="1"/>
      <c r="F61" s="1"/>
      <c r="G61" s="2"/>
    </row>
    <row r="62" ht="15.75" customHeight="1">
      <c r="A62" s="22"/>
      <c r="B62" s="1" t="s">
        <v>256</v>
      </c>
      <c r="C62" s="1"/>
      <c r="D62" s="1"/>
      <c r="E62" s="1"/>
      <c r="F62" s="1"/>
      <c r="G62" s="2">
        <v>1500000.0</v>
      </c>
    </row>
    <row r="63" ht="15.75" customHeight="1">
      <c r="A63" s="22"/>
      <c r="B63" s="1"/>
      <c r="C63" s="1"/>
      <c r="D63" s="1"/>
      <c r="E63" s="1"/>
      <c r="F63" s="1"/>
      <c r="G63" s="2"/>
    </row>
    <row r="64" ht="15.75" customHeight="1">
      <c r="A64" s="22"/>
      <c r="B64" s="1"/>
      <c r="C64" s="1"/>
      <c r="D64" s="1"/>
      <c r="E64" s="1"/>
      <c r="F64" s="1"/>
      <c r="G64" s="2"/>
    </row>
    <row r="65" ht="15.75" customHeight="1">
      <c r="A65" s="1"/>
      <c r="B65" s="27" t="s">
        <v>51</v>
      </c>
      <c r="C65" s="27"/>
      <c r="D65" s="27"/>
      <c r="E65" s="27"/>
      <c r="F65" s="27"/>
      <c r="G65" s="28">
        <v>1500000.0</v>
      </c>
    </row>
    <row r="66" ht="15.75" customHeight="1">
      <c r="A66" s="1"/>
      <c r="B66" s="1"/>
      <c r="C66" s="1"/>
      <c r="D66" s="1"/>
      <c r="E66" s="1"/>
      <c r="F66" s="1"/>
      <c r="G66" s="2"/>
    </row>
    <row r="67" ht="15.75" customHeight="1">
      <c r="A67" s="44"/>
      <c r="B67" s="45" t="s">
        <v>257</v>
      </c>
      <c r="C67" s="46"/>
      <c r="D67" s="46"/>
      <c r="E67" s="46"/>
      <c r="F67" s="46"/>
      <c r="G67" s="47">
        <f>SUM(G4,G59,-G65)</f>
        <v>10899126</v>
      </c>
    </row>
    <row r="68" ht="15.75" customHeight="1">
      <c r="A68" s="1"/>
      <c r="B68" s="1"/>
      <c r="C68" s="1"/>
      <c r="D68" s="1"/>
      <c r="E68" s="1"/>
      <c r="F68" s="1"/>
      <c r="G68" s="2"/>
    </row>
    <row r="69" ht="15.75" customHeight="1">
      <c r="A69" s="1"/>
      <c r="B69" s="32" t="s">
        <v>112</v>
      </c>
    </row>
    <row r="70" ht="15.75" customHeight="1">
      <c r="A70" s="1"/>
      <c r="B70" s="1"/>
      <c r="C70" s="1" t="s">
        <v>113</v>
      </c>
      <c r="D70" s="1"/>
      <c r="E70" s="1"/>
      <c r="F70" s="1"/>
      <c r="G70" s="1">
        <v>143000.0</v>
      </c>
    </row>
    <row r="71" ht="15.75" customHeight="1">
      <c r="A71" s="1"/>
      <c r="B71" s="1"/>
      <c r="C71" s="1" t="s">
        <v>114</v>
      </c>
      <c r="D71" s="1"/>
      <c r="E71" s="1"/>
      <c r="F71" s="1"/>
      <c r="G71" s="1">
        <v>12000.0</v>
      </c>
    </row>
    <row r="72" ht="15.75" customHeight="1">
      <c r="A72" s="1"/>
      <c r="B72" s="1"/>
      <c r="C72" s="43" t="s">
        <v>115</v>
      </c>
      <c r="D72" s="1"/>
      <c r="E72" s="1"/>
      <c r="F72" s="1"/>
      <c r="G72" s="1">
        <f>SUM(G70,G71)</f>
        <v>155000</v>
      </c>
    </row>
    <row r="73" ht="15.75" customHeight="1">
      <c r="A73" s="1"/>
      <c r="B73" s="1"/>
      <c r="C73" s="43"/>
      <c r="D73" s="1"/>
      <c r="E73" s="1"/>
      <c r="F73" s="1"/>
      <c r="G73" s="1"/>
    </row>
    <row r="74" ht="15.75" customHeight="1">
      <c r="A74" s="1"/>
      <c r="B74" s="33" t="s">
        <v>258</v>
      </c>
      <c r="C74" s="1"/>
      <c r="D74" s="1"/>
      <c r="E74" s="1"/>
      <c r="F74" s="1"/>
      <c r="G74" s="2"/>
    </row>
    <row r="75" ht="15.75" customHeight="1">
      <c r="A75" s="1"/>
      <c r="B75" s="4"/>
      <c r="C75" s="1"/>
      <c r="D75" s="1"/>
      <c r="E75" s="1"/>
      <c r="F75" s="1"/>
      <c r="G75" s="2"/>
    </row>
    <row r="76" ht="15.75" customHeight="1">
      <c r="A76" s="1"/>
      <c r="B76" s="26" t="s">
        <v>259</v>
      </c>
      <c r="C76" s="1"/>
      <c r="D76" s="1"/>
      <c r="E76" s="1"/>
      <c r="F76" s="1"/>
      <c r="G76" s="2"/>
    </row>
    <row r="77" ht="15.75" customHeight="1">
      <c r="A77" s="1"/>
      <c r="B77" s="26"/>
      <c r="C77" s="1"/>
      <c r="D77" s="1"/>
      <c r="E77" s="1"/>
      <c r="F77" s="1"/>
      <c r="G77" s="2"/>
    </row>
    <row r="78" ht="15.75" customHeight="1">
      <c r="A78" s="1"/>
      <c r="B78" s="26" t="s">
        <v>260</v>
      </c>
      <c r="C78" s="1"/>
      <c r="D78" s="1"/>
      <c r="E78" s="1"/>
      <c r="F78" s="1"/>
      <c r="G78" s="2"/>
    </row>
    <row r="79" ht="15.75" customHeight="1">
      <c r="A79" s="1"/>
      <c r="B79" s="4"/>
      <c r="C79" s="1"/>
      <c r="D79" s="1"/>
      <c r="E79" s="1"/>
      <c r="F79" s="1"/>
      <c r="G79" s="2"/>
    </row>
    <row r="80" ht="15.75" customHeight="1">
      <c r="A80" s="1"/>
      <c r="B80" s="26" t="s">
        <v>261</v>
      </c>
      <c r="C80" s="1"/>
      <c r="D80" s="1"/>
      <c r="E80" s="1"/>
      <c r="F80" s="1"/>
      <c r="G80" s="2"/>
    </row>
    <row r="81" ht="15.75" customHeight="1">
      <c r="A81" s="1"/>
      <c r="B81" s="4"/>
      <c r="C81" s="1"/>
      <c r="D81" s="1"/>
      <c r="E81" s="1"/>
      <c r="F81" s="1"/>
      <c r="G81" s="2"/>
    </row>
    <row r="82" ht="15.75" customHeight="1">
      <c r="A82" s="1"/>
      <c r="B82" s="26" t="s">
        <v>262</v>
      </c>
      <c r="C82" s="1"/>
      <c r="D82" s="1"/>
      <c r="E82" s="1"/>
      <c r="F82" s="1"/>
      <c r="G82" s="2"/>
    </row>
    <row r="83" ht="15.75" customHeight="1">
      <c r="A83" s="1"/>
      <c r="B83" s="26"/>
      <c r="C83" s="1"/>
      <c r="D83" s="1"/>
      <c r="E83" s="1"/>
      <c r="F83" s="1"/>
      <c r="G83" s="2"/>
    </row>
    <row r="84" ht="15.75" customHeight="1">
      <c r="A84" s="1"/>
      <c r="B84" s="34" t="s">
        <v>263</v>
      </c>
      <c r="C84" s="1"/>
      <c r="D84" s="1"/>
      <c r="E84" s="1"/>
      <c r="F84" s="1"/>
      <c r="G84" s="2"/>
    </row>
    <row r="85" ht="15.75" customHeight="1">
      <c r="A85" s="1"/>
      <c r="B85" s="1"/>
      <c r="C85" s="1"/>
      <c r="D85" s="1"/>
      <c r="E85" s="1"/>
      <c r="F85" s="1"/>
      <c r="G85" s="2"/>
    </row>
    <row r="86" ht="15.75" customHeight="1">
      <c r="A86" s="1"/>
      <c r="B86" s="1"/>
      <c r="C86" s="1"/>
      <c r="D86" s="1"/>
      <c r="E86" s="1"/>
      <c r="F86" s="1"/>
      <c r="G86" s="2"/>
    </row>
    <row r="87" ht="15.75" customHeight="1">
      <c r="A87" s="1"/>
      <c r="B87" s="1"/>
      <c r="C87" s="1"/>
      <c r="D87" s="1"/>
      <c r="E87" s="1"/>
      <c r="F87" s="1"/>
      <c r="G87" s="2"/>
    </row>
    <row r="88" ht="15.75" customHeight="1">
      <c r="A88" s="1"/>
      <c r="B88" s="1"/>
      <c r="C88" s="1"/>
      <c r="D88" s="1"/>
      <c r="E88" s="1"/>
      <c r="F88" s="1"/>
      <c r="G88" s="2"/>
    </row>
    <row r="89" ht="15.75" customHeight="1">
      <c r="A89" s="1"/>
      <c r="B89" s="1"/>
      <c r="C89" s="1"/>
      <c r="D89" s="1"/>
      <c r="E89" s="1"/>
      <c r="F89" s="1"/>
      <c r="G89" s="2"/>
    </row>
    <row r="90" ht="15.75" customHeight="1">
      <c r="A90" s="1"/>
      <c r="B90" s="1"/>
      <c r="C90" s="1"/>
      <c r="D90" s="1"/>
      <c r="E90" s="1"/>
      <c r="F90" s="1"/>
      <c r="G90" s="2"/>
    </row>
    <row r="91" ht="15.75" customHeight="1">
      <c r="A91" s="1"/>
      <c r="B91" s="1"/>
      <c r="C91" s="1"/>
      <c r="D91" s="1"/>
      <c r="E91" s="1"/>
      <c r="F91" s="1"/>
      <c r="G91" s="2"/>
    </row>
    <row r="92" ht="15.75" customHeight="1">
      <c r="A92" s="1"/>
      <c r="B92" s="1"/>
      <c r="C92" s="1"/>
      <c r="D92" s="1"/>
      <c r="E92" s="1"/>
      <c r="F92" s="1"/>
      <c r="G92" s="2"/>
    </row>
    <row r="93" ht="15.75" customHeight="1">
      <c r="A93" s="1"/>
      <c r="B93" s="1"/>
      <c r="C93" s="1"/>
      <c r="D93" s="1"/>
      <c r="E93" s="1"/>
      <c r="F93" s="1"/>
      <c r="G93" s="2"/>
    </row>
    <row r="94" ht="15.75" customHeight="1">
      <c r="A94" s="1"/>
      <c r="B94" s="1"/>
      <c r="C94" s="1"/>
      <c r="D94" s="1"/>
      <c r="E94" s="1"/>
      <c r="F94" s="1"/>
      <c r="G94" s="2"/>
    </row>
    <row r="95" ht="15.75" customHeight="1">
      <c r="A95" s="1"/>
      <c r="B95" s="1"/>
      <c r="C95" s="1"/>
      <c r="D95" s="1"/>
      <c r="E95" s="1"/>
      <c r="F95" s="1"/>
      <c r="G95" s="2"/>
    </row>
    <row r="96" ht="15.75" customHeight="1">
      <c r="A96" s="1"/>
      <c r="B96" s="1"/>
      <c r="C96" s="1"/>
      <c r="D96" s="1"/>
      <c r="E96" s="1"/>
      <c r="F96" s="1"/>
      <c r="G96" s="2"/>
    </row>
    <row r="97" ht="15.75" customHeight="1">
      <c r="A97" s="1"/>
      <c r="B97" s="1"/>
      <c r="C97" s="1"/>
      <c r="D97" s="1"/>
      <c r="E97" s="1"/>
      <c r="F97" s="1"/>
      <c r="G97" s="2"/>
    </row>
    <row r="98" ht="15.75" customHeight="1">
      <c r="A98" s="1"/>
      <c r="B98" s="1"/>
      <c r="C98" s="1"/>
      <c r="D98" s="1"/>
      <c r="E98" s="1"/>
      <c r="F98" s="1"/>
      <c r="G98" s="2"/>
    </row>
    <row r="99" ht="15.75" customHeight="1">
      <c r="A99" s="1"/>
      <c r="B99" s="1"/>
      <c r="C99" s="1"/>
      <c r="D99" s="1"/>
      <c r="E99" s="1"/>
      <c r="F99" s="1"/>
      <c r="G99" s="2"/>
    </row>
    <row r="100" ht="15.75" customHeight="1">
      <c r="A100" s="1"/>
      <c r="B100" s="1"/>
      <c r="C100" s="1"/>
      <c r="D100" s="1"/>
      <c r="E100" s="1"/>
      <c r="F100" s="1"/>
      <c r="G100" s="2"/>
    </row>
    <row r="101" ht="15.75" customHeight="1">
      <c r="A101" s="1"/>
      <c r="B101" s="1"/>
      <c r="C101" s="1"/>
      <c r="D101" s="1"/>
      <c r="E101" s="1"/>
      <c r="F101" s="1"/>
      <c r="G101" s="2"/>
    </row>
    <row r="102" ht="15.75" customHeight="1">
      <c r="A102" s="1"/>
      <c r="B102" s="1"/>
      <c r="C102" s="1"/>
      <c r="D102" s="1"/>
      <c r="E102" s="1"/>
      <c r="F102" s="1"/>
      <c r="G102" s="2"/>
    </row>
    <row r="103" ht="15.75" customHeight="1">
      <c r="A103" s="1"/>
      <c r="B103" s="1"/>
      <c r="C103" s="1"/>
      <c r="D103" s="1"/>
      <c r="E103" s="1"/>
      <c r="F103" s="1"/>
      <c r="G103" s="2"/>
    </row>
    <row r="104" ht="15.75" customHeight="1">
      <c r="A104" s="1"/>
      <c r="B104" s="1"/>
      <c r="C104" s="1"/>
      <c r="D104" s="1"/>
      <c r="E104" s="1"/>
      <c r="F104" s="1"/>
      <c r="G104" s="2"/>
    </row>
    <row r="105" ht="15.75" customHeight="1">
      <c r="A105" s="1"/>
      <c r="B105" s="1"/>
      <c r="C105" s="1"/>
      <c r="D105" s="1"/>
      <c r="E105" s="1"/>
      <c r="F105" s="1"/>
      <c r="G105" s="2"/>
    </row>
    <row r="106" ht="15.75" customHeight="1">
      <c r="A106" s="1"/>
      <c r="B106" s="1"/>
      <c r="C106" s="1"/>
      <c r="D106" s="1"/>
      <c r="E106" s="1"/>
      <c r="F106" s="1"/>
      <c r="G106" s="2"/>
    </row>
    <row r="107" ht="15.75" customHeight="1">
      <c r="A107" s="1"/>
      <c r="B107" s="1"/>
      <c r="C107" s="1"/>
      <c r="D107" s="1"/>
      <c r="E107" s="1"/>
      <c r="F107" s="1"/>
      <c r="G107" s="2"/>
    </row>
    <row r="108" ht="15.75" customHeight="1">
      <c r="A108" s="1"/>
      <c r="B108" s="1"/>
      <c r="C108" s="1"/>
      <c r="D108" s="1"/>
      <c r="E108" s="1"/>
      <c r="F108" s="1"/>
      <c r="G108" s="2"/>
    </row>
    <row r="109" ht="15.75" customHeight="1">
      <c r="A109" s="1"/>
      <c r="B109" s="1"/>
      <c r="C109" s="1"/>
      <c r="D109" s="1"/>
      <c r="E109" s="1"/>
      <c r="F109" s="1"/>
      <c r="G109" s="2"/>
    </row>
    <row r="110" ht="15.75" customHeight="1">
      <c r="A110" s="1"/>
      <c r="B110" s="1"/>
      <c r="C110" s="1"/>
      <c r="D110" s="1"/>
      <c r="E110" s="1"/>
      <c r="F110" s="1"/>
      <c r="G110" s="2"/>
    </row>
    <row r="111" ht="15.75" customHeight="1">
      <c r="A111" s="1"/>
      <c r="B111" s="1"/>
      <c r="C111" s="1"/>
      <c r="D111" s="1"/>
      <c r="E111" s="1"/>
      <c r="F111" s="1"/>
      <c r="G111" s="2"/>
    </row>
    <row r="112" ht="15.75" customHeight="1">
      <c r="A112" s="1"/>
      <c r="B112" s="1"/>
      <c r="C112" s="1"/>
      <c r="D112" s="1"/>
      <c r="E112" s="1"/>
      <c r="F112" s="1"/>
      <c r="G112" s="2"/>
    </row>
    <row r="113" ht="15.75" customHeight="1">
      <c r="A113" s="1"/>
      <c r="B113" s="1"/>
      <c r="C113" s="1"/>
      <c r="D113" s="1"/>
      <c r="E113" s="1"/>
      <c r="F113" s="1"/>
      <c r="G113" s="2"/>
    </row>
    <row r="114" ht="15.75" customHeight="1">
      <c r="A114" s="1"/>
      <c r="B114" s="1"/>
      <c r="C114" s="1"/>
      <c r="D114" s="1"/>
      <c r="E114" s="1"/>
      <c r="F114" s="1"/>
      <c r="G114" s="2"/>
    </row>
    <row r="115" ht="15.75" customHeight="1">
      <c r="A115" s="1"/>
      <c r="B115" s="1"/>
      <c r="C115" s="1"/>
      <c r="D115" s="1"/>
      <c r="E115" s="1"/>
      <c r="F115" s="1"/>
      <c r="G115" s="2"/>
    </row>
    <row r="116" ht="15.75" customHeight="1">
      <c r="A116" s="1"/>
      <c r="B116" s="1"/>
      <c r="C116" s="1"/>
      <c r="D116" s="1"/>
      <c r="E116" s="1"/>
      <c r="F116" s="1"/>
      <c r="G116" s="2"/>
    </row>
    <row r="117" ht="15.75" customHeight="1">
      <c r="A117" s="1"/>
      <c r="B117" s="1"/>
      <c r="C117" s="1"/>
      <c r="D117" s="1"/>
      <c r="E117" s="1"/>
      <c r="F117" s="1"/>
      <c r="G117" s="2"/>
    </row>
    <row r="118" ht="15.75" customHeight="1">
      <c r="A118" s="1"/>
      <c r="B118" s="1"/>
      <c r="C118" s="1"/>
      <c r="D118" s="1"/>
      <c r="E118" s="1"/>
      <c r="F118" s="1"/>
      <c r="G118" s="2"/>
    </row>
    <row r="119" ht="15.75" customHeight="1">
      <c r="A119" s="1"/>
      <c r="B119" s="1"/>
      <c r="C119" s="1"/>
      <c r="D119" s="1"/>
      <c r="E119" s="1"/>
      <c r="F119" s="1"/>
      <c r="G119" s="2"/>
    </row>
    <row r="120" ht="15.75" customHeight="1">
      <c r="A120" s="1"/>
      <c r="B120" s="1"/>
      <c r="C120" s="1"/>
      <c r="D120" s="1"/>
      <c r="E120" s="1"/>
      <c r="F120" s="1"/>
      <c r="G120" s="2"/>
    </row>
    <row r="121" ht="15.75" customHeight="1">
      <c r="A121" s="1"/>
      <c r="B121" s="1"/>
      <c r="C121" s="1"/>
      <c r="D121" s="1"/>
      <c r="E121" s="1"/>
      <c r="F121" s="1"/>
      <c r="G121" s="2"/>
    </row>
    <row r="122" ht="15.75" customHeight="1">
      <c r="A122" s="1"/>
      <c r="B122" s="1"/>
      <c r="C122" s="1"/>
      <c r="D122" s="1"/>
      <c r="E122" s="1"/>
      <c r="F122" s="1"/>
      <c r="G122" s="2"/>
    </row>
    <row r="123" ht="15.75" customHeight="1">
      <c r="A123" s="1"/>
      <c r="B123" s="1"/>
      <c r="C123" s="1"/>
      <c r="D123" s="1"/>
      <c r="E123" s="1"/>
      <c r="F123" s="1"/>
      <c r="G123" s="2"/>
    </row>
    <row r="124" ht="15.75" customHeight="1">
      <c r="A124" s="1"/>
      <c r="B124" s="1"/>
      <c r="C124" s="1"/>
      <c r="D124" s="1"/>
      <c r="E124" s="1"/>
      <c r="F124" s="1"/>
      <c r="G124" s="2"/>
    </row>
    <row r="125" ht="15.75" customHeight="1">
      <c r="A125" s="1"/>
      <c r="B125" s="1"/>
      <c r="C125" s="1"/>
      <c r="D125" s="1"/>
      <c r="E125" s="1"/>
      <c r="F125" s="1"/>
      <c r="G125" s="2"/>
    </row>
    <row r="126" ht="15.75" customHeight="1">
      <c r="A126" s="1"/>
      <c r="B126" s="1"/>
      <c r="C126" s="1"/>
      <c r="D126" s="1"/>
      <c r="E126" s="1"/>
      <c r="F126" s="1"/>
      <c r="G126" s="2"/>
    </row>
    <row r="127" ht="15.75" customHeight="1">
      <c r="A127" s="1"/>
      <c r="B127" s="1"/>
      <c r="C127" s="1"/>
      <c r="D127" s="1"/>
      <c r="E127" s="1"/>
      <c r="F127" s="1"/>
      <c r="G127" s="2"/>
    </row>
    <row r="128" ht="15.75" customHeight="1">
      <c r="A128" s="1"/>
      <c r="B128" s="1"/>
      <c r="C128" s="1"/>
      <c r="D128" s="1"/>
      <c r="E128" s="1"/>
      <c r="F128" s="1"/>
      <c r="G128" s="2"/>
    </row>
    <row r="129" ht="15.75" customHeight="1">
      <c r="A129" s="1"/>
      <c r="B129" s="1"/>
      <c r="C129" s="1"/>
      <c r="D129" s="1"/>
      <c r="E129" s="1"/>
      <c r="F129" s="1"/>
      <c r="G129" s="2"/>
    </row>
    <row r="130" ht="15.75" customHeight="1">
      <c r="A130" s="1"/>
      <c r="B130" s="1"/>
      <c r="C130" s="1"/>
      <c r="D130" s="1"/>
      <c r="E130" s="1"/>
      <c r="F130" s="1"/>
      <c r="G130" s="2"/>
    </row>
    <row r="131" ht="15.75" customHeight="1">
      <c r="A131" s="1"/>
      <c r="B131" s="1"/>
      <c r="C131" s="1"/>
      <c r="D131" s="1"/>
      <c r="E131" s="1"/>
      <c r="F131" s="1"/>
      <c r="G131" s="2"/>
    </row>
    <row r="132" ht="15.75" customHeight="1">
      <c r="A132" s="1"/>
      <c r="B132" s="1"/>
      <c r="C132" s="1"/>
      <c r="D132" s="1"/>
      <c r="E132" s="1"/>
      <c r="F132" s="1"/>
      <c r="G132" s="2"/>
    </row>
    <row r="133" ht="15.75" customHeight="1">
      <c r="A133" s="1"/>
      <c r="B133" s="1"/>
      <c r="C133" s="1"/>
      <c r="D133" s="1"/>
      <c r="E133" s="1"/>
      <c r="F133" s="1"/>
      <c r="G133" s="2"/>
    </row>
    <row r="134" ht="15.75" customHeight="1">
      <c r="A134" s="1"/>
      <c r="B134" s="1"/>
      <c r="C134" s="1"/>
      <c r="D134" s="1"/>
      <c r="E134" s="1"/>
      <c r="F134" s="1"/>
      <c r="G134" s="2"/>
    </row>
    <row r="135" ht="15.75" customHeight="1">
      <c r="A135" s="1"/>
      <c r="B135" s="1"/>
      <c r="C135" s="1"/>
      <c r="D135" s="1"/>
      <c r="E135" s="1"/>
      <c r="F135" s="1"/>
      <c r="G135" s="2"/>
    </row>
    <row r="136" ht="15.75" customHeight="1">
      <c r="A136" s="1"/>
      <c r="B136" s="1"/>
      <c r="C136" s="1"/>
      <c r="D136" s="1"/>
      <c r="E136" s="1"/>
      <c r="F136" s="1"/>
      <c r="G136" s="2"/>
    </row>
    <row r="137" ht="15.75" customHeight="1">
      <c r="A137" s="1"/>
      <c r="B137" s="1"/>
      <c r="C137" s="1"/>
      <c r="D137" s="1"/>
      <c r="E137" s="1"/>
      <c r="F137" s="1"/>
      <c r="G137" s="2"/>
    </row>
    <row r="138" ht="15.75" customHeight="1">
      <c r="A138" s="1"/>
      <c r="B138" s="1"/>
      <c r="C138" s="1"/>
      <c r="D138" s="1"/>
      <c r="E138" s="1"/>
      <c r="F138" s="1"/>
      <c r="G138" s="2"/>
    </row>
    <row r="139" ht="15.75" customHeight="1">
      <c r="A139" s="1"/>
      <c r="B139" s="1"/>
      <c r="C139" s="1"/>
      <c r="D139" s="1"/>
      <c r="E139" s="1"/>
      <c r="F139" s="1"/>
      <c r="G139" s="2"/>
    </row>
    <row r="140" ht="15.75" customHeight="1">
      <c r="A140" s="1"/>
      <c r="B140" s="1"/>
      <c r="C140" s="1"/>
      <c r="D140" s="1"/>
      <c r="E140" s="1"/>
      <c r="F140" s="1"/>
      <c r="G140" s="2"/>
    </row>
    <row r="141" ht="15.75" customHeight="1">
      <c r="A141" s="1"/>
      <c r="B141" s="1"/>
      <c r="C141" s="1"/>
      <c r="D141" s="1"/>
      <c r="E141" s="1"/>
      <c r="F141" s="1"/>
      <c r="G141" s="2"/>
    </row>
    <row r="142" ht="15.75" customHeight="1">
      <c r="A142" s="1"/>
      <c r="B142" s="1"/>
      <c r="C142" s="1"/>
      <c r="D142" s="1"/>
      <c r="E142" s="1"/>
      <c r="F142" s="1"/>
      <c r="G142" s="2"/>
    </row>
    <row r="143" ht="15.75" customHeight="1">
      <c r="A143" s="1"/>
      <c r="B143" s="1"/>
      <c r="C143" s="1"/>
      <c r="D143" s="1"/>
      <c r="E143" s="1"/>
      <c r="F143" s="1"/>
      <c r="G143" s="2"/>
    </row>
    <row r="144" ht="15.75" customHeight="1">
      <c r="A144" s="1"/>
      <c r="B144" s="1"/>
      <c r="C144" s="1"/>
      <c r="D144" s="1"/>
      <c r="E144" s="1"/>
      <c r="F144" s="1"/>
      <c r="G144" s="2"/>
    </row>
    <row r="145" ht="15.75" customHeight="1">
      <c r="A145" s="1"/>
      <c r="B145" s="1"/>
      <c r="C145" s="1"/>
      <c r="D145" s="1"/>
      <c r="E145" s="1"/>
      <c r="F145" s="1"/>
      <c r="G145" s="2"/>
    </row>
    <row r="146" ht="15.75" customHeight="1">
      <c r="A146" s="1"/>
      <c r="B146" s="1"/>
      <c r="C146" s="1"/>
      <c r="D146" s="1"/>
      <c r="E146" s="1"/>
      <c r="F146" s="1"/>
      <c r="G146" s="2"/>
    </row>
    <row r="147" ht="15.75" customHeight="1">
      <c r="A147" s="1"/>
      <c r="B147" s="1"/>
      <c r="C147" s="1"/>
      <c r="D147" s="1"/>
      <c r="E147" s="1"/>
      <c r="F147" s="1"/>
      <c r="G147" s="2"/>
    </row>
    <row r="148" ht="15.75" customHeight="1">
      <c r="A148" s="1"/>
      <c r="B148" s="1"/>
      <c r="C148" s="1"/>
      <c r="D148" s="1"/>
      <c r="E148" s="1"/>
      <c r="F148" s="1"/>
      <c r="G148" s="2"/>
    </row>
    <row r="149" ht="15.75" customHeight="1">
      <c r="A149" s="1"/>
      <c r="B149" s="1"/>
      <c r="C149" s="1"/>
      <c r="D149" s="1"/>
      <c r="E149" s="1"/>
      <c r="F149" s="1"/>
      <c r="G149" s="2"/>
    </row>
    <row r="150" ht="15.75" customHeight="1">
      <c r="A150" s="1"/>
      <c r="B150" s="1"/>
      <c r="C150" s="1"/>
      <c r="D150" s="1"/>
      <c r="E150" s="1"/>
      <c r="F150" s="1"/>
      <c r="G150" s="2"/>
    </row>
    <row r="151" ht="15.75" customHeight="1">
      <c r="A151" s="1"/>
      <c r="B151" s="1"/>
      <c r="C151" s="1"/>
      <c r="D151" s="1"/>
      <c r="E151" s="1"/>
      <c r="F151" s="1"/>
      <c r="G151" s="2"/>
    </row>
    <row r="152" ht="15.75" customHeight="1">
      <c r="A152" s="1"/>
      <c r="B152" s="1"/>
      <c r="C152" s="1"/>
      <c r="D152" s="1"/>
      <c r="E152" s="1"/>
      <c r="F152" s="1"/>
      <c r="G152" s="2"/>
    </row>
    <row r="153" ht="15.75" customHeight="1">
      <c r="A153" s="1"/>
      <c r="B153" s="1"/>
      <c r="C153" s="1"/>
      <c r="D153" s="1"/>
      <c r="E153" s="1"/>
      <c r="F153" s="1"/>
      <c r="G153" s="2"/>
    </row>
    <row r="154" ht="15.75" customHeight="1">
      <c r="A154" s="1"/>
      <c r="B154" s="1"/>
      <c r="C154" s="1"/>
      <c r="D154" s="1"/>
      <c r="E154" s="1"/>
      <c r="F154" s="1"/>
      <c r="G154" s="2"/>
    </row>
    <row r="155" ht="15.75" customHeight="1">
      <c r="A155" s="1"/>
      <c r="B155" s="1"/>
      <c r="C155" s="1"/>
      <c r="D155" s="1"/>
      <c r="E155" s="1"/>
      <c r="F155" s="1"/>
      <c r="G155" s="2"/>
    </row>
    <row r="156" ht="15.75" customHeight="1">
      <c r="A156" s="1"/>
      <c r="B156" s="1"/>
      <c r="C156" s="1"/>
      <c r="D156" s="1"/>
      <c r="E156" s="1"/>
      <c r="F156" s="1"/>
      <c r="G156" s="2"/>
    </row>
    <row r="157" ht="15.75" customHeight="1">
      <c r="A157" s="1"/>
      <c r="B157" s="1"/>
      <c r="C157" s="1"/>
      <c r="D157" s="1"/>
      <c r="E157" s="1"/>
      <c r="F157" s="1"/>
      <c r="G157" s="2"/>
    </row>
    <row r="158" ht="15.75" customHeight="1">
      <c r="A158" s="1"/>
      <c r="B158" s="1"/>
      <c r="C158" s="1"/>
      <c r="D158" s="1"/>
      <c r="E158" s="1"/>
      <c r="F158" s="1"/>
      <c r="G158" s="2"/>
    </row>
    <row r="159" ht="15.75" customHeight="1">
      <c r="A159" s="1"/>
      <c r="B159" s="1"/>
      <c r="C159" s="1"/>
      <c r="D159" s="1"/>
      <c r="E159" s="1"/>
      <c r="F159" s="1"/>
      <c r="G159" s="2"/>
    </row>
    <row r="160" ht="15.75" customHeight="1">
      <c r="A160" s="1"/>
      <c r="B160" s="1"/>
      <c r="C160" s="1"/>
      <c r="D160" s="1"/>
      <c r="E160" s="1"/>
      <c r="F160" s="1"/>
      <c r="G160" s="2"/>
    </row>
    <row r="161" ht="15.75" customHeight="1">
      <c r="A161" s="1"/>
      <c r="B161" s="1"/>
      <c r="C161" s="1"/>
      <c r="D161" s="1"/>
      <c r="E161" s="1"/>
      <c r="F161" s="1"/>
      <c r="G161" s="2"/>
    </row>
    <row r="162" ht="15.75" customHeight="1">
      <c r="A162" s="1"/>
      <c r="B162" s="1"/>
      <c r="C162" s="1"/>
      <c r="D162" s="1"/>
      <c r="E162" s="1"/>
      <c r="F162" s="1"/>
      <c r="G162" s="2"/>
    </row>
    <row r="163" ht="15.75" customHeight="1">
      <c r="A163" s="1"/>
      <c r="B163" s="1"/>
      <c r="C163" s="1"/>
      <c r="D163" s="1"/>
      <c r="E163" s="1"/>
      <c r="F163" s="1"/>
      <c r="G163" s="2"/>
    </row>
    <row r="164" ht="15.75" customHeight="1">
      <c r="A164" s="1"/>
      <c r="B164" s="1"/>
      <c r="C164" s="1"/>
      <c r="D164" s="1"/>
      <c r="E164" s="1"/>
      <c r="F164" s="1"/>
      <c r="G164" s="2"/>
    </row>
    <row r="165" ht="15.75" customHeight="1">
      <c r="A165" s="1"/>
      <c r="B165" s="1"/>
      <c r="C165" s="1"/>
      <c r="D165" s="1"/>
      <c r="E165" s="1"/>
      <c r="F165" s="1"/>
      <c r="G165" s="2"/>
    </row>
    <row r="166" ht="15.75" customHeight="1">
      <c r="A166" s="1"/>
      <c r="B166" s="1"/>
      <c r="C166" s="1"/>
      <c r="D166" s="1"/>
      <c r="E166" s="1"/>
      <c r="F166" s="1"/>
      <c r="G166" s="2"/>
    </row>
    <row r="167" ht="15.75" customHeight="1">
      <c r="A167" s="1"/>
      <c r="B167" s="1"/>
      <c r="C167" s="1"/>
      <c r="D167" s="1"/>
      <c r="E167" s="1"/>
      <c r="F167" s="1"/>
      <c r="G167" s="2"/>
    </row>
    <row r="168" ht="15.75" customHeight="1">
      <c r="A168" s="1"/>
      <c r="B168" s="1"/>
      <c r="C168" s="1"/>
      <c r="D168" s="1"/>
      <c r="E168" s="1"/>
      <c r="F168" s="1"/>
      <c r="G168" s="2"/>
    </row>
    <row r="169" ht="15.75" customHeight="1">
      <c r="A169" s="1"/>
      <c r="B169" s="1"/>
      <c r="C169" s="1"/>
      <c r="D169" s="1"/>
      <c r="E169" s="1"/>
      <c r="F169" s="1"/>
      <c r="G169" s="2"/>
    </row>
    <row r="170" ht="15.75" customHeight="1">
      <c r="A170" s="1"/>
      <c r="B170" s="1"/>
      <c r="C170" s="1"/>
      <c r="D170" s="1"/>
      <c r="E170" s="1"/>
      <c r="F170" s="1"/>
      <c r="G170" s="2"/>
    </row>
    <row r="171" ht="15.75" customHeight="1">
      <c r="A171" s="1"/>
      <c r="B171" s="1"/>
      <c r="C171" s="1"/>
      <c r="D171" s="1"/>
      <c r="E171" s="1"/>
      <c r="F171" s="1"/>
      <c r="G171" s="2"/>
    </row>
    <row r="172" ht="15.75" customHeight="1">
      <c r="A172" s="1"/>
      <c r="B172" s="1"/>
      <c r="C172" s="1"/>
      <c r="D172" s="1"/>
      <c r="E172" s="1"/>
      <c r="F172" s="1"/>
      <c r="G172" s="2"/>
    </row>
    <row r="173" ht="15.75" customHeight="1">
      <c r="A173" s="1"/>
      <c r="B173" s="1"/>
      <c r="C173" s="1"/>
      <c r="D173" s="1"/>
      <c r="E173" s="1"/>
      <c r="F173" s="1"/>
      <c r="G173" s="2"/>
    </row>
    <row r="174" ht="15.75" customHeight="1">
      <c r="A174" s="1"/>
      <c r="B174" s="1"/>
      <c r="C174" s="1"/>
      <c r="D174" s="1"/>
      <c r="E174" s="1"/>
      <c r="F174" s="1"/>
      <c r="G174" s="2"/>
    </row>
    <row r="175" ht="15.75" customHeight="1">
      <c r="A175" s="1"/>
      <c r="B175" s="1"/>
      <c r="C175" s="1"/>
      <c r="D175" s="1"/>
      <c r="E175" s="1"/>
      <c r="F175" s="1"/>
      <c r="G175" s="2"/>
    </row>
    <row r="176" ht="15.75" customHeight="1">
      <c r="A176" s="1"/>
      <c r="B176" s="1"/>
      <c r="C176" s="1"/>
      <c r="D176" s="1"/>
      <c r="E176" s="1"/>
      <c r="F176" s="1"/>
      <c r="G176" s="2"/>
    </row>
    <row r="177" ht="15.75" customHeight="1">
      <c r="A177" s="1"/>
      <c r="B177" s="1"/>
      <c r="C177" s="1"/>
      <c r="D177" s="1"/>
      <c r="E177" s="1"/>
      <c r="F177" s="1"/>
      <c r="G177" s="2"/>
    </row>
    <row r="178" ht="15.75" customHeight="1">
      <c r="A178" s="1"/>
      <c r="B178" s="1"/>
      <c r="C178" s="1"/>
      <c r="D178" s="1"/>
      <c r="E178" s="1"/>
      <c r="F178" s="1"/>
      <c r="G178" s="2"/>
    </row>
    <row r="179" ht="15.75" customHeight="1">
      <c r="A179" s="1"/>
      <c r="B179" s="1"/>
      <c r="C179" s="1"/>
      <c r="D179" s="1"/>
      <c r="E179" s="1"/>
      <c r="F179" s="1"/>
      <c r="G179" s="2"/>
    </row>
    <row r="180" ht="15.75" customHeight="1">
      <c r="A180" s="1"/>
      <c r="B180" s="1"/>
      <c r="C180" s="1"/>
      <c r="D180" s="1"/>
      <c r="E180" s="1"/>
      <c r="F180" s="1"/>
      <c r="G180" s="2"/>
    </row>
    <row r="181" ht="15.75" customHeight="1">
      <c r="A181" s="1"/>
      <c r="B181" s="1"/>
      <c r="C181" s="1"/>
      <c r="D181" s="1"/>
      <c r="E181" s="1"/>
      <c r="F181" s="1"/>
      <c r="G181" s="2"/>
    </row>
    <row r="182" ht="15.75" customHeight="1">
      <c r="A182" s="1"/>
      <c r="B182" s="1"/>
      <c r="C182" s="1"/>
      <c r="D182" s="1"/>
      <c r="E182" s="1"/>
      <c r="F182" s="1"/>
      <c r="G182" s="2"/>
    </row>
    <row r="183" ht="15.75" customHeight="1">
      <c r="A183" s="1"/>
      <c r="B183" s="1"/>
      <c r="C183" s="1"/>
      <c r="D183" s="1"/>
      <c r="E183" s="1"/>
      <c r="F183" s="1"/>
      <c r="G183" s="2"/>
    </row>
    <row r="184" ht="15.75" customHeight="1">
      <c r="A184" s="1"/>
      <c r="B184" s="1"/>
      <c r="C184" s="1"/>
      <c r="D184" s="1"/>
      <c r="E184" s="1"/>
      <c r="F184" s="1"/>
      <c r="G184" s="2"/>
    </row>
    <row r="185" ht="15.75" customHeight="1">
      <c r="A185" s="1"/>
      <c r="B185" s="1"/>
      <c r="C185" s="1"/>
      <c r="D185" s="1"/>
      <c r="E185" s="1"/>
      <c r="F185" s="1"/>
      <c r="G185" s="2"/>
    </row>
    <row r="186" ht="15.75" customHeight="1">
      <c r="A186" s="1"/>
      <c r="B186" s="1"/>
      <c r="C186" s="1"/>
      <c r="D186" s="1"/>
      <c r="E186" s="1"/>
      <c r="F186" s="1"/>
      <c r="G186" s="2"/>
    </row>
    <row r="187" ht="15.75" customHeight="1">
      <c r="A187" s="1"/>
      <c r="B187" s="1"/>
      <c r="C187" s="1"/>
      <c r="D187" s="1"/>
      <c r="E187" s="1"/>
      <c r="F187" s="1"/>
      <c r="G187" s="2"/>
    </row>
    <row r="188" ht="15.75" customHeight="1">
      <c r="A188" s="1"/>
      <c r="B188" s="1"/>
      <c r="C188" s="1"/>
      <c r="D188" s="1"/>
      <c r="E188" s="1"/>
      <c r="F188" s="1"/>
      <c r="G188" s="2"/>
    </row>
    <row r="189" ht="15.75" customHeight="1">
      <c r="A189" s="1"/>
      <c r="B189" s="1"/>
      <c r="C189" s="1"/>
      <c r="D189" s="1"/>
      <c r="E189" s="1"/>
      <c r="F189" s="1"/>
      <c r="G189" s="2"/>
    </row>
    <row r="190" ht="15.75" customHeight="1">
      <c r="A190" s="1"/>
      <c r="B190" s="1"/>
      <c r="C190" s="1"/>
      <c r="D190" s="1"/>
      <c r="E190" s="1"/>
      <c r="F190" s="1"/>
      <c r="G190" s="2"/>
    </row>
    <row r="191" ht="15.75" customHeight="1">
      <c r="A191" s="1"/>
      <c r="B191" s="1"/>
      <c r="C191" s="1"/>
      <c r="D191" s="1"/>
      <c r="E191" s="1"/>
      <c r="F191" s="1"/>
      <c r="G191" s="2"/>
    </row>
    <row r="192" ht="15.75" customHeight="1">
      <c r="A192" s="1"/>
      <c r="B192" s="1"/>
      <c r="C192" s="1"/>
      <c r="D192" s="1"/>
      <c r="E192" s="1"/>
      <c r="F192" s="1"/>
      <c r="G192" s="2"/>
    </row>
    <row r="193" ht="15.75" customHeight="1">
      <c r="A193" s="1"/>
      <c r="B193" s="1"/>
      <c r="C193" s="1"/>
      <c r="D193" s="1"/>
      <c r="E193" s="1"/>
      <c r="F193" s="1"/>
      <c r="G193" s="2"/>
    </row>
    <row r="194" ht="15.75" customHeight="1">
      <c r="A194" s="1"/>
      <c r="B194" s="1"/>
      <c r="C194" s="1"/>
      <c r="D194" s="1"/>
      <c r="E194" s="1"/>
      <c r="F194" s="1"/>
      <c r="G194" s="2"/>
    </row>
    <row r="195" ht="15.75" customHeight="1">
      <c r="A195" s="1"/>
      <c r="B195" s="1"/>
      <c r="C195" s="1"/>
      <c r="D195" s="1"/>
      <c r="E195" s="1"/>
      <c r="F195" s="1"/>
      <c r="G195" s="2"/>
    </row>
    <row r="196" ht="15.75" customHeight="1">
      <c r="A196" s="1"/>
      <c r="B196" s="1"/>
      <c r="C196" s="1"/>
      <c r="D196" s="1"/>
      <c r="E196" s="1"/>
      <c r="F196" s="1"/>
      <c r="G196" s="2"/>
    </row>
    <row r="197" ht="15.75" customHeight="1">
      <c r="A197" s="1"/>
      <c r="B197" s="1"/>
      <c r="C197" s="1"/>
      <c r="D197" s="1"/>
      <c r="E197" s="1"/>
      <c r="F197" s="1"/>
      <c r="G197" s="2"/>
    </row>
    <row r="198" ht="15.75" customHeight="1">
      <c r="A198" s="1"/>
      <c r="B198" s="1"/>
      <c r="C198" s="1"/>
      <c r="D198" s="1"/>
      <c r="E198" s="1"/>
      <c r="F198" s="1"/>
      <c r="G198" s="2"/>
    </row>
    <row r="199" ht="15.75" customHeight="1">
      <c r="A199" s="1"/>
      <c r="B199" s="1"/>
      <c r="C199" s="1"/>
      <c r="D199" s="1"/>
      <c r="E199" s="1"/>
      <c r="F199" s="1"/>
      <c r="G199" s="2"/>
    </row>
    <row r="200" ht="15.75" customHeight="1">
      <c r="A200" s="1"/>
      <c r="B200" s="1"/>
      <c r="C200" s="1"/>
      <c r="D200" s="1"/>
      <c r="E200" s="1"/>
      <c r="F200" s="1"/>
      <c r="G200" s="2"/>
    </row>
    <row r="201" ht="15.75" customHeight="1">
      <c r="A201" s="1"/>
      <c r="B201" s="1"/>
      <c r="C201" s="1"/>
      <c r="D201" s="1"/>
      <c r="E201" s="1"/>
      <c r="F201" s="1"/>
      <c r="G201" s="2"/>
    </row>
    <row r="202" ht="15.75" customHeight="1">
      <c r="A202" s="1"/>
      <c r="B202" s="1"/>
      <c r="C202" s="1"/>
      <c r="D202" s="1"/>
      <c r="E202" s="1"/>
      <c r="F202" s="1"/>
      <c r="G202" s="2"/>
    </row>
    <row r="203" ht="15.75" customHeight="1">
      <c r="A203" s="1"/>
      <c r="B203" s="1"/>
      <c r="C203" s="1"/>
      <c r="D203" s="1"/>
      <c r="E203" s="1"/>
      <c r="F203" s="1"/>
      <c r="G203" s="2"/>
    </row>
    <row r="204" ht="15.75" customHeight="1">
      <c r="A204" s="1"/>
      <c r="B204" s="1"/>
      <c r="C204" s="1"/>
      <c r="D204" s="1"/>
      <c r="E204" s="1"/>
      <c r="F204" s="1"/>
      <c r="G204" s="2"/>
    </row>
    <row r="205" ht="15.75" customHeight="1">
      <c r="A205" s="1"/>
      <c r="B205" s="1"/>
      <c r="C205" s="1"/>
      <c r="D205" s="1"/>
      <c r="E205" s="1"/>
      <c r="F205" s="1"/>
      <c r="G205" s="2"/>
    </row>
    <row r="206" ht="15.75" customHeight="1">
      <c r="A206" s="1"/>
      <c r="B206" s="1"/>
      <c r="C206" s="1"/>
      <c r="D206" s="1"/>
      <c r="E206" s="1"/>
      <c r="F206" s="1"/>
      <c r="G206" s="2"/>
    </row>
    <row r="207" ht="15.75" customHeight="1">
      <c r="A207" s="1"/>
      <c r="B207" s="1"/>
      <c r="C207" s="1"/>
      <c r="D207" s="1"/>
      <c r="E207" s="1"/>
      <c r="F207" s="1"/>
      <c r="G207" s="2"/>
    </row>
    <row r="208" ht="15.75" customHeight="1">
      <c r="A208" s="1"/>
      <c r="B208" s="1"/>
      <c r="C208" s="1"/>
      <c r="D208" s="1"/>
      <c r="E208" s="1"/>
      <c r="F208" s="1"/>
      <c r="G208" s="2"/>
    </row>
    <row r="209" ht="15.75" customHeight="1">
      <c r="A209" s="1"/>
      <c r="B209" s="1"/>
      <c r="C209" s="1"/>
      <c r="D209" s="1"/>
      <c r="E209" s="1"/>
      <c r="F209" s="1"/>
      <c r="G209" s="2"/>
    </row>
    <row r="210" ht="15.75" customHeight="1">
      <c r="A210" s="1"/>
      <c r="B210" s="1"/>
      <c r="C210" s="1"/>
      <c r="D210" s="1"/>
      <c r="E210" s="1"/>
      <c r="F210" s="1"/>
      <c r="G210" s="2"/>
    </row>
    <row r="211" ht="15.75" customHeight="1">
      <c r="A211" s="1"/>
      <c r="B211" s="1"/>
      <c r="C211" s="1"/>
      <c r="D211" s="1"/>
      <c r="E211" s="1"/>
      <c r="F211" s="1"/>
      <c r="G211" s="2"/>
    </row>
    <row r="212" ht="15.75" customHeight="1">
      <c r="A212" s="1"/>
      <c r="B212" s="1"/>
      <c r="C212" s="1"/>
      <c r="D212" s="1"/>
      <c r="E212" s="1"/>
      <c r="F212" s="1"/>
      <c r="G212" s="2"/>
    </row>
    <row r="213" ht="15.75" customHeight="1">
      <c r="A213" s="1"/>
      <c r="B213" s="1"/>
      <c r="C213" s="1"/>
      <c r="D213" s="1"/>
      <c r="E213" s="1"/>
      <c r="F213" s="1"/>
      <c r="G213" s="2"/>
    </row>
    <row r="214" ht="15.75" customHeight="1">
      <c r="A214" s="1"/>
      <c r="B214" s="1"/>
      <c r="C214" s="1"/>
      <c r="D214" s="1"/>
      <c r="E214" s="1"/>
      <c r="F214" s="1"/>
      <c r="G214" s="2"/>
    </row>
    <row r="215" ht="15.75" customHeight="1">
      <c r="A215" s="1"/>
      <c r="B215" s="1"/>
      <c r="C215" s="1"/>
      <c r="D215" s="1"/>
      <c r="E215" s="1"/>
      <c r="F215" s="1"/>
      <c r="G215" s="2"/>
    </row>
    <row r="216" ht="15.75" customHeight="1">
      <c r="A216" s="1"/>
      <c r="B216" s="1"/>
      <c r="C216" s="1"/>
      <c r="D216" s="1"/>
      <c r="E216" s="1"/>
      <c r="F216" s="1"/>
      <c r="G216" s="2"/>
    </row>
    <row r="217" ht="15.75" customHeight="1">
      <c r="A217" s="1"/>
      <c r="B217" s="1"/>
      <c r="C217" s="1"/>
      <c r="D217" s="1"/>
      <c r="E217" s="1"/>
      <c r="F217" s="1"/>
      <c r="G217" s="2"/>
    </row>
    <row r="218" ht="15.75" customHeight="1">
      <c r="A218" s="1"/>
      <c r="B218" s="1"/>
      <c r="C218" s="1"/>
      <c r="D218" s="1"/>
      <c r="E218" s="1"/>
      <c r="F218" s="1"/>
      <c r="G218" s="2"/>
    </row>
    <row r="219" ht="15.75" customHeight="1">
      <c r="A219" s="1"/>
      <c r="B219" s="1"/>
      <c r="C219" s="1"/>
      <c r="D219" s="1"/>
      <c r="E219" s="1"/>
      <c r="F219" s="1"/>
      <c r="G219" s="2"/>
    </row>
    <row r="220" ht="15.75" customHeight="1">
      <c r="A220" s="1"/>
      <c r="B220" s="1"/>
      <c r="C220" s="1"/>
      <c r="D220" s="1"/>
      <c r="E220" s="1"/>
      <c r="F220" s="1"/>
      <c r="G220" s="2"/>
    </row>
    <row r="221" ht="15.75" customHeight="1">
      <c r="A221" s="1"/>
      <c r="B221" s="1"/>
      <c r="C221" s="1"/>
      <c r="D221" s="1"/>
      <c r="E221" s="1"/>
      <c r="F221" s="1"/>
      <c r="G221" s="2"/>
    </row>
    <row r="222" ht="15.75" customHeight="1">
      <c r="A222" s="1"/>
      <c r="B222" s="1"/>
      <c r="C222" s="1"/>
      <c r="D222" s="1"/>
      <c r="E222" s="1"/>
      <c r="F222" s="1"/>
      <c r="G222" s="2"/>
    </row>
    <row r="223" ht="15.75" customHeight="1">
      <c r="A223" s="1"/>
      <c r="B223" s="1"/>
      <c r="C223" s="1"/>
      <c r="D223" s="1"/>
      <c r="E223" s="1"/>
      <c r="F223" s="1"/>
      <c r="G223" s="2"/>
    </row>
    <row r="224" ht="15.75" customHeight="1">
      <c r="A224" s="1"/>
      <c r="B224" s="1"/>
      <c r="C224" s="1"/>
      <c r="D224" s="1"/>
      <c r="E224" s="1"/>
      <c r="F224" s="1"/>
      <c r="G224" s="2"/>
    </row>
    <row r="225" ht="15.75" customHeight="1">
      <c r="A225" s="1"/>
      <c r="B225" s="1"/>
      <c r="C225" s="1"/>
      <c r="D225" s="1"/>
      <c r="E225" s="1"/>
      <c r="F225" s="1"/>
      <c r="G225" s="2"/>
    </row>
    <row r="226" ht="15.75" customHeight="1">
      <c r="A226" s="1"/>
      <c r="B226" s="1"/>
      <c r="C226" s="1"/>
      <c r="D226" s="1"/>
      <c r="E226" s="1"/>
      <c r="F226" s="1"/>
      <c r="G226" s="2"/>
    </row>
    <row r="227" ht="15.75" customHeight="1">
      <c r="A227" s="1"/>
      <c r="B227" s="1"/>
      <c r="C227" s="1"/>
      <c r="D227" s="1"/>
      <c r="E227" s="1"/>
      <c r="F227" s="1"/>
      <c r="G227" s="2"/>
    </row>
    <row r="228" ht="15.75" customHeight="1">
      <c r="A228" s="1"/>
      <c r="B228" s="1"/>
      <c r="C228" s="1"/>
      <c r="D228" s="1"/>
      <c r="E228" s="1"/>
      <c r="F228" s="1"/>
      <c r="G228" s="2"/>
    </row>
    <row r="229" ht="15.75" customHeight="1">
      <c r="A229" s="1"/>
      <c r="B229" s="1"/>
      <c r="C229" s="1"/>
      <c r="D229" s="1"/>
      <c r="E229" s="1"/>
      <c r="F229" s="1"/>
      <c r="G229" s="2"/>
    </row>
    <row r="230" ht="15.75" customHeight="1">
      <c r="A230" s="1"/>
      <c r="B230" s="1"/>
      <c r="C230" s="1"/>
      <c r="D230" s="1"/>
      <c r="E230" s="1"/>
      <c r="F230" s="1"/>
      <c r="G230" s="2"/>
    </row>
    <row r="231" ht="15.75" customHeight="1">
      <c r="A231" s="1"/>
      <c r="B231" s="1"/>
      <c r="C231" s="1"/>
      <c r="D231" s="1"/>
      <c r="E231" s="1"/>
      <c r="F231" s="1"/>
      <c r="G231" s="2"/>
    </row>
    <row r="232" ht="15.75" customHeight="1">
      <c r="A232" s="1"/>
      <c r="B232" s="1"/>
      <c r="C232" s="1"/>
      <c r="D232" s="1"/>
      <c r="E232" s="1"/>
      <c r="F232" s="1"/>
      <c r="G232" s="2"/>
    </row>
    <row r="233" ht="15.75" customHeight="1">
      <c r="A233" s="1"/>
      <c r="B233" s="1"/>
      <c r="C233" s="1"/>
      <c r="D233" s="1"/>
      <c r="E233" s="1"/>
      <c r="F233" s="1"/>
      <c r="G233" s="2"/>
    </row>
    <row r="234" ht="15.75" customHeight="1">
      <c r="A234" s="1"/>
      <c r="B234" s="1"/>
      <c r="C234" s="1"/>
      <c r="D234" s="1"/>
      <c r="E234" s="1"/>
      <c r="F234" s="1"/>
      <c r="G234" s="2"/>
    </row>
    <row r="235" ht="15.75" customHeight="1">
      <c r="A235" s="1"/>
      <c r="B235" s="1"/>
      <c r="C235" s="1"/>
      <c r="D235" s="1"/>
      <c r="E235" s="1"/>
      <c r="F235" s="1"/>
      <c r="G235" s="2"/>
    </row>
    <row r="236" ht="15.75" customHeight="1">
      <c r="A236" s="1"/>
      <c r="B236" s="1"/>
      <c r="C236" s="1"/>
      <c r="D236" s="1"/>
      <c r="E236" s="1"/>
      <c r="F236" s="1"/>
      <c r="G236" s="2"/>
    </row>
    <row r="237" ht="15.75" customHeight="1">
      <c r="A237" s="1"/>
      <c r="B237" s="1"/>
      <c r="C237" s="1"/>
      <c r="D237" s="1"/>
      <c r="E237" s="1"/>
      <c r="F237" s="1"/>
      <c r="G237" s="2"/>
    </row>
    <row r="238" ht="15.75" customHeight="1">
      <c r="A238" s="1"/>
      <c r="B238" s="1"/>
      <c r="C238" s="1"/>
      <c r="D238" s="1"/>
      <c r="E238" s="1"/>
      <c r="F238" s="1"/>
      <c r="G238" s="2"/>
    </row>
    <row r="239" ht="15.75" customHeight="1">
      <c r="A239" s="1"/>
      <c r="B239" s="1"/>
      <c r="C239" s="1"/>
      <c r="D239" s="1"/>
      <c r="E239" s="1"/>
      <c r="F239" s="1"/>
      <c r="G239" s="2"/>
    </row>
    <row r="240" ht="15.75" customHeight="1">
      <c r="A240" s="1"/>
      <c r="B240" s="1"/>
      <c r="C240" s="1"/>
      <c r="D240" s="1"/>
      <c r="E240" s="1"/>
      <c r="F240" s="1"/>
      <c r="G240" s="2"/>
    </row>
    <row r="241" ht="15.75" customHeight="1">
      <c r="A241" s="1"/>
      <c r="B241" s="1"/>
      <c r="C241" s="1"/>
      <c r="D241" s="1"/>
      <c r="E241" s="1"/>
      <c r="F241" s="1"/>
      <c r="G241" s="2"/>
    </row>
    <row r="242" ht="15.75" customHeight="1">
      <c r="A242" s="1"/>
      <c r="B242" s="1"/>
      <c r="C242" s="1"/>
      <c r="D242" s="1"/>
      <c r="E242" s="1"/>
      <c r="F242" s="1"/>
      <c r="G242" s="2"/>
    </row>
    <row r="243" ht="15.75" customHeight="1">
      <c r="A243" s="1"/>
      <c r="B243" s="1"/>
      <c r="C243" s="1"/>
      <c r="D243" s="1"/>
      <c r="E243" s="1"/>
      <c r="F243" s="1"/>
      <c r="G243" s="2"/>
    </row>
    <row r="244" ht="15.75" customHeight="1">
      <c r="A244" s="1"/>
      <c r="B244" s="1"/>
      <c r="C244" s="1"/>
      <c r="D244" s="1"/>
      <c r="E244" s="1"/>
      <c r="F244" s="1"/>
      <c r="G244" s="2"/>
    </row>
    <row r="245" ht="15.75" customHeight="1">
      <c r="A245" s="1"/>
      <c r="B245" s="1"/>
      <c r="C245" s="1"/>
      <c r="D245" s="1"/>
      <c r="E245" s="1"/>
      <c r="F245" s="1"/>
      <c r="G245" s="2"/>
    </row>
    <row r="246" ht="15.75" customHeight="1">
      <c r="A246" s="1"/>
      <c r="B246" s="1"/>
      <c r="C246" s="1"/>
      <c r="D246" s="1"/>
      <c r="E246" s="1"/>
      <c r="F246" s="1"/>
      <c r="G246" s="2"/>
    </row>
    <row r="247" ht="15.75" customHeight="1">
      <c r="A247" s="1"/>
      <c r="B247" s="1"/>
      <c r="C247" s="1"/>
      <c r="D247" s="1"/>
      <c r="E247" s="1"/>
      <c r="F247" s="1"/>
      <c r="G247" s="2"/>
    </row>
    <row r="248" ht="15.75" customHeight="1">
      <c r="A248" s="1"/>
      <c r="B248" s="1"/>
      <c r="C248" s="1"/>
      <c r="D248" s="1"/>
      <c r="E248" s="1"/>
      <c r="F248" s="1"/>
      <c r="G248" s="2"/>
    </row>
    <row r="249" ht="15.75" customHeight="1">
      <c r="A249" s="1"/>
      <c r="B249" s="1"/>
      <c r="C249" s="1"/>
      <c r="D249" s="1"/>
      <c r="E249" s="1"/>
      <c r="F249" s="1"/>
      <c r="G249" s="2"/>
    </row>
    <row r="250" ht="15.75" customHeight="1">
      <c r="A250" s="1"/>
      <c r="B250" s="1"/>
      <c r="C250" s="1"/>
      <c r="D250" s="1"/>
      <c r="E250" s="1"/>
      <c r="F250" s="1"/>
      <c r="G250" s="2"/>
    </row>
    <row r="251" ht="15.75" customHeight="1">
      <c r="A251" s="1"/>
      <c r="B251" s="1"/>
      <c r="C251" s="1"/>
      <c r="D251" s="1"/>
      <c r="E251" s="1"/>
      <c r="F251" s="1"/>
      <c r="G251" s="2"/>
    </row>
    <row r="252" ht="15.75" customHeight="1">
      <c r="A252" s="1"/>
      <c r="B252" s="1"/>
      <c r="C252" s="1"/>
      <c r="D252" s="1"/>
      <c r="E252" s="1"/>
      <c r="F252" s="1"/>
      <c r="G252" s="2"/>
    </row>
    <row r="253" ht="15.75" customHeight="1">
      <c r="A253" s="1"/>
      <c r="B253" s="1"/>
      <c r="C253" s="1"/>
      <c r="D253" s="1"/>
      <c r="E253" s="1"/>
      <c r="F253" s="1"/>
      <c r="G253" s="2"/>
    </row>
    <row r="254" ht="15.75" customHeight="1">
      <c r="A254" s="1"/>
      <c r="B254" s="1"/>
      <c r="C254" s="1"/>
      <c r="D254" s="1"/>
      <c r="E254" s="1"/>
      <c r="F254" s="1"/>
      <c r="G254" s="2"/>
    </row>
    <row r="255" ht="15.75" customHeight="1">
      <c r="A255" s="1"/>
      <c r="B255" s="1"/>
      <c r="C255" s="1"/>
      <c r="D255" s="1"/>
      <c r="E255" s="1"/>
      <c r="F255" s="1"/>
      <c r="G255" s="2"/>
    </row>
    <row r="256" ht="15.75" customHeight="1">
      <c r="A256" s="1"/>
      <c r="B256" s="1"/>
      <c r="C256" s="1"/>
      <c r="D256" s="1"/>
      <c r="E256" s="1"/>
      <c r="F256" s="1"/>
      <c r="G256" s="2"/>
    </row>
    <row r="257" ht="15.75" customHeight="1">
      <c r="A257" s="1"/>
      <c r="B257" s="1"/>
      <c r="C257" s="1"/>
      <c r="D257" s="1"/>
      <c r="E257" s="1"/>
      <c r="F257" s="1"/>
      <c r="G257" s="2"/>
    </row>
    <row r="258" ht="15.75" customHeight="1">
      <c r="A258" s="1"/>
      <c r="B258" s="1"/>
      <c r="C258" s="1"/>
      <c r="D258" s="1"/>
      <c r="E258" s="1"/>
      <c r="F258" s="1"/>
      <c r="G258" s="2"/>
    </row>
    <row r="259" ht="15.75" customHeight="1">
      <c r="A259" s="1"/>
      <c r="B259" s="1"/>
      <c r="C259" s="1"/>
      <c r="D259" s="1"/>
      <c r="E259" s="1"/>
      <c r="F259" s="1"/>
      <c r="G259" s="2"/>
    </row>
    <row r="260" ht="15.75" customHeight="1">
      <c r="A260" s="1"/>
      <c r="B260" s="1"/>
      <c r="C260" s="1"/>
      <c r="D260" s="1"/>
      <c r="E260" s="1"/>
      <c r="F260" s="1"/>
      <c r="G260" s="2"/>
    </row>
    <row r="261" ht="15.75" customHeight="1">
      <c r="A261" s="1"/>
      <c r="B261" s="1"/>
      <c r="C261" s="1"/>
      <c r="D261" s="1"/>
      <c r="E261" s="1"/>
      <c r="F261" s="1"/>
      <c r="G261" s="2"/>
    </row>
    <row r="262" ht="15.75" customHeight="1">
      <c r="A262" s="1"/>
      <c r="B262" s="1"/>
      <c r="C262" s="1"/>
      <c r="D262" s="1"/>
      <c r="E262" s="1"/>
      <c r="F262" s="1"/>
      <c r="G262" s="2"/>
    </row>
    <row r="263" ht="15.75" customHeight="1">
      <c r="A263" s="1"/>
      <c r="B263" s="1"/>
      <c r="C263" s="1"/>
      <c r="D263" s="1"/>
      <c r="E263" s="1"/>
      <c r="F263" s="1"/>
      <c r="G263" s="2"/>
    </row>
    <row r="264" ht="15.75" customHeight="1">
      <c r="A264" s="1"/>
      <c r="B264" s="1"/>
      <c r="C264" s="1"/>
      <c r="D264" s="1"/>
      <c r="E264" s="1"/>
      <c r="F264" s="1"/>
      <c r="G264" s="2"/>
    </row>
    <row r="265" ht="15.75" customHeight="1">
      <c r="A265" s="1"/>
      <c r="B265" s="1"/>
      <c r="C265" s="1"/>
      <c r="D265" s="1"/>
      <c r="E265" s="1"/>
      <c r="F265" s="1"/>
      <c r="G265" s="2"/>
    </row>
    <row r="266" ht="15.75" customHeight="1">
      <c r="A266" s="1"/>
      <c r="B266" s="1"/>
      <c r="C266" s="1"/>
      <c r="D266" s="1"/>
      <c r="E266" s="1"/>
      <c r="F266" s="1"/>
      <c r="G266" s="2"/>
    </row>
    <row r="267" ht="15.75" customHeight="1">
      <c r="A267" s="1"/>
      <c r="B267" s="1"/>
      <c r="C267" s="1"/>
      <c r="D267" s="1"/>
      <c r="E267" s="1"/>
      <c r="F267" s="1"/>
      <c r="G267" s="2"/>
    </row>
    <row r="268" ht="15.75" customHeight="1">
      <c r="A268" s="1"/>
      <c r="B268" s="1"/>
      <c r="C268" s="1"/>
      <c r="D268" s="1"/>
      <c r="E268" s="1"/>
      <c r="F268" s="1"/>
      <c r="G268" s="2"/>
    </row>
    <row r="269" ht="15.75" customHeight="1">
      <c r="A269" s="1"/>
      <c r="B269" s="1"/>
      <c r="C269" s="1"/>
      <c r="D269" s="1"/>
      <c r="E269" s="1"/>
      <c r="F269" s="1"/>
      <c r="G269" s="2"/>
    </row>
    <row r="270" ht="15.75" customHeight="1">
      <c r="A270" s="1"/>
      <c r="B270" s="1"/>
      <c r="C270" s="1"/>
      <c r="D270" s="1"/>
      <c r="E270" s="1"/>
      <c r="F270" s="1"/>
      <c r="G270" s="2"/>
    </row>
    <row r="271" ht="15.75" customHeight="1">
      <c r="A271" s="1"/>
      <c r="B271" s="1"/>
      <c r="C271" s="1"/>
      <c r="D271" s="1"/>
      <c r="E271" s="1"/>
      <c r="F271" s="1"/>
      <c r="G271" s="2"/>
    </row>
    <row r="272" ht="15.75" customHeight="1">
      <c r="A272" s="1"/>
      <c r="B272" s="1"/>
      <c r="C272" s="1"/>
      <c r="D272" s="1"/>
      <c r="E272" s="1"/>
      <c r="F272" s="1"/>
      <c r="G272" s="2"/>
    </row>
    <row r="273" ht="15.75" customHeight="1">
      <c r="A273" s="1"/>
      <c r="B273" s="1"/>
      <c r="C273" s="1"/>
      <c r="D273" s="1"/>
      <c r="E273" s="1"/>
      <c r="F273" s="1"/>
      <c r="G273" s="2"/>
    </row>
    <row r="274" ht="15.75" customHeight="1">
      <c r="A274" s="1"/>
      <c r="B274" s="1"/>
      <c r="C274" s="1"/>
      <c r="D274" s="1"/>
      <c r="E274" s="1"/>
      <c r="F274" s="1"/>
      <c r="G274" s="2"/>
    </row>
    <row r="275" ht="15.75" customHeight="1">
      <c r="A275" s="1"/>
      <c r="B275" s="1"/>
      <c r="C275" s="1"/>
      <c r="D275" s="1"/>
      <c r="E275" s="1"/>
      <c r="F275" s="1"/>
      <c r="G275" s="2"/>
    </row>
    <row r="276" ht="15.75" customHeight="1">
      <c r="A276" s="1"/>
      <c r="B276" s="1"/>
      <c r="C276" s="1"/>
      <c r="D276" s="1"/>
      <c r="E276" s="1"/>
      <c r="F276" s="1"/>
      <c r="G276" s="2"/>
    </row>
    <row r="277" ht="15.75" customHeight="1">
      <c r="A277" s="1"/>
      <c r="B277" s="1"/>
      <c r="C277" s="1"/>
      <c r="D277" s="1"/>
      <c r="E277" s="1"/>
      <c r="F277" s="1"/>
      <c r="G277" s="2"/>
    </row>
    <row r="278" ht="15.75" customHeight="1">
      <c r="A278" s="1"/>
      <c r="B278" s="1"/>
      <c r="C278" s="1"/>
      <c r="D278" s="1"/>
      <c r="E278" s="1"/>
      <c r="F278" s="1"/>
      <c r="G278" s="2"/>
    </row>
    <row r="279" ht="15.75" customHeight="1">
      <c r="A279" s="1"/>
      <c r="B279" s="1"/>
      <c r="C279" s="1"/>
      <c r="D279" s="1"/>
      <c r="E279" s="1"/>
      <c r="F279" s="1"/>
      <c r="G279" s="2"/>
    </row>
    <row r="280" ht="15.75" customHeight="1">
      <c r="A280" s="1"/>
      <c r="B280" s="1"/>
      <c r="C280" s="1"/>
      <c r="D280" s="1"/>
      <c r="E280" s="1"/>
      <c r="F280" s="1"/>
      <c r="G280" s="2"/>
    </row>
    <row r="281" ht="15.75" customHeight="1">
      <c r="A281" s="1"/>
      <c r="B281" s="1"/>
      <c r="C281" s="1"/>
      <c r="D281" s="1"/>
      <c r="E281" s="1"/>
      <c r="F281" s="1"/>
      <c r="G281" s="2"/>
    </row>
    <row r="282" ht="15.75" customHeight="1">
      <c r="A282" s="1"/>
      <c r="B282" s="1"/>
      <c r="C282" s="1"/>
      <c r="D282" s="1"/>
      <c r="E282" s="1"/>
      <c r="F282" s="1"/>
      <c r="G282" s="2"/>
    </row>
    <row r="283" ht="15.75" customHeight="1">
      <c r="A283" s="1"/>
      <c r="B283" s="1"/>
      <c r="C283" s="1"/>
      <c r="D283" s="1"/>
      <c r="E283" s="1"/>
      <c r="F283" s="1"/>
      <c r="G283" s="2"/>
    </row>
    <row r="284" ht="15.75" customHeight="1">
      <c r="A284" s="1"/>
      <c r="B284" s="1"/>
      <c r="C284" s="1"/>
      <c r="D284" s="1"/>
      <c r="E284" s="1"/>
      <c r="F284" s="1"/>
      <c r="G284" s="2"/>
    </row>
    <row r="285" ht="15.75" customHeight="1">
      <c r="A285" s="1"/>
      <c r="B285" s="1"/>
      <c r="C285" s="1"/>
      <c r="D285" s="1"/>
      <c r="E285" s="1"/>
      <c r="F285" s="1"/>
      <c r="G285" s="2"/>
    </row>
    <row r="286" ht="15.75" customHeight="1">
      <c r="A286" s="1"/>
      <c r="B286" s="1"/>
      <c r="C286" s="1"/>
      <c r="D286" s="1"/>
      <c r="E286" s="1"/>
      <c r="F286" s="1"/>
      <c r="G286" s="2"/>
    </row>
    <row r="287" ht="15.75" customHeight="1">
      <c r="A287" s="1"/>
      <c r="B287" s="1"/>
      <c r="C287" s="1"/>
      <c r="D287" s="1"/>
      <c r="E287" s="1"/>
      <c r="F287" s="1"/>
      <c r="G287" s="2"/>
    </row>
    <row r="288" ht="15.75" customHeight="1">
      <c r="A288" s="1"/>
      <c r="B288" s="1"/>
      <c r="C288" s="1"/>
      <c r="D288" s="1"/>
      <c r="E288" s="1"/>
      <c r="F288" s="1"/>
      <c r="G288" s="2"/>
    </row>
    <row r="289" ht="15.75" customHeight="1">
      <c r="A289" s="1"/>
      <c r="B289" s="1"/>
      <c r="C289" s="1"/>
      <c r="D289" s="1"/>
      <c r="E289" s="1"/>
      <c r="F289" s="1"/>
      <c r="G289" s="2"/>
    </row>
    <row r="290" ht="15.75" customHeight="1">
      <c r="A290" s="1"/>
      <c r="B290" s="1"/>
      <c r="C290" s="1"/>
      <c r="D290" s="1"/>
      <c r="E290" s="1"/>
      <c r="F290" s="1"/>
      <c r="G290" s="2"/>
    </row>
    <row r="291" ht="15.75" customHeight="1">
      <c r="A291" s="1"/>
      <c r="B291" s="1"/>
      <c r="C291" s="1"/>
      <c r="D291" s="1"/>
      <c r="E291" s="1"/>
      <c r="F291" s="1"/>
      <c r="G291" s="2"/>
    </row>
    <row r="292" ht="15.75" customHeight="1">
      <c r="A292" s="1"/>
      <c r="B292" s="1"/>
      <c r="C292" s="1"/>
      <c r="D292" s="1"/>
      <c r="E292" s="1"/>
      <c r="F292" s="1"/>
      <c r="G292" s="2"/>
    </row>
    <row r="293" ht="15.75" customHeight="1">
      <c r="A293" s="1"/>
      <c r="B293" s="1"/>
      <c r="C293" s="1"/>
      <c r="D293" s="1"/>
      <c r="E293" s="1"/>
      <c r="F293" s="1"/>
      <c r="G293" s="2"/>
    </row>
    <row r="294" ht="15.75" customHeight="1">
      <c r="A294" s="1"/>
      <c r="B294" s="1"/>
      <c r="C294" s="1"/>
      <c r="D294" s="1"/>
      <c r="E294" s="1"/>
      <c r="F294" s="1"/>
      <c r="G294" s="2"/>
    </row>
    <row r="295" ht="15.75" customHeight="1">
      <c r="A295" s="1"/>
      <c r="B295" s="1"/>
      <c r="C295" s="1"/>
      <c r="D295" s="1"/>
      <c r="E295" s="1"/>
      <c r="F295" s="1"/>
      <c r="G295" s="2"/>
    </row>
    <row r="296" ht="15.75" customHeight="1">
      <c r="A296" s="1"/>
      <c r="B296" s="1"/>
      <c r="C296" s="1"/>
      <c r="D296" s="1"/>
      <c r="E296" s="1"/>
      <c r="F296" s="1"/>
      <c r="G296" s="2"/>
    </row>
    <row r="297" ht="15.75" customHeight="1">
      <c r="A297" s="1"/>
      <c r="B297" s="1"/>
      <c r="C297" s="1"/>
      <c r="D297" s="1"/>
      <c r="E297" s="1"/>
      <c r="F297" s="1"/>
      <c r="G297" s="2"/>
    </row>
    <row r="298" ht="15.75" customHeight="1">
      <c r="A298" s="1"/>
      <c r="B298" s="1"/>
      <c r="C298" s="1"/>
      <c r="D298" s="1"/>
      <c r="E298" s="1"/>
      <c r="F298" s="1"/>
      <c r="G298" s="2"/>
    </row>
    <row r="299" ht="15.75" customHeight="1">
      <c r="A299" s="1"/>
      <c r="B299" s="1"/>
      <c r="C299" s="1"/>
      <c r="D299" s="1"/>
      <c r="E299" s="1"/>
      <c r="F299" s="1"/>
      <c r="G299" s="2"/>
    </row>
    <row r="300" ht="15.75" customHeight="1">
      <c r="A300" s="1"/>
      <c r="B300" s="1"/>
      <c r="C300" s="1"/>
      <c r="D300" s="1"/>
      <c r="E300" s="1"/>
      <c r="F300" s="1"/>
      <c r="G300" s="2"/>
    </row>
    <row r="301" ht="15.75" customHeight="1">
      <c r="A301" s="1"/>
      <c r="B301" s="1"/>
      <c r="C301" s="1"/>
      <c r="D301" s="1"/>
      <c r="E301" s="1"/>
      <c r="F301" s="1"/>
      <c r="G301" s="2"/>
    </row>
    <row r="302" ht="15.75" customHeight="1">
      <c r="A302" s="1"/>
      <c r="B302" s="1"/>
      <c r="C302" s="1"/>
      <c r="D302" s="1"/>
      <c r="E302" s="1"/>
      <c r="F302" s="1"/>
      <c r="G302" s="2"/>
    </row>
    <row r="303" ht="15.75" customHeight="1">
      <c r="A303" s="1"/>
      <c r="B303" s="1"/>
      <c r="C303" s="1"/>
      <c r="D303" s="1"/>
      <c r="E303" s="1"/>
      <c r="F303" s="1"/>
      <c r="G303" s="2"/>
    </row>
    <row r="304" ht="15.75" customHeight="1">
      <c r="A304" s="1"/>
      <c r="B304" s="1"/>
      <c r="C304" s="1"/>
      <c r="D304" s="1"/>
      <c r="E304" s="1"/>
      <c r="F304" s="1"/>
      <c r="G304" s="2"/>
    </row>
    <row r="305" ht="15.75" customHeight="1">
      <c r="A305" s="1"/>
      <c r="B305" s="1"/>
      <c r="C305" s="1"/>
      <c r="D305" s="1"/>
      <c r="E305" s="1"/>
      <c r="F305" s="1"/>
      <c r="G305" s="2"/>
    </row>
    <row r="306" ht="15.75" customHeight="1">
      <c r="A306" s="1"/>
      <c r="B306" s="1"/>
      <c r="C306" s="1"/>
      <c r="D306" s="1"/>
      <c r="E306" s="1"/>
      <c r="F306" s="1"/>
      <c r="G306" s="2"/>
    </row>
    <row r="307" ht="15.75" customHeight="1">
      <c r="A307" s="1"/>
      <c r="B307" s="1"/>
      <c r="C307" s="1"/>
      <c r="D307" s="1"/>
      <c r="E307" s="1"/>
      <c r="F307" s="1"/>
      <c r="G307" s="2"/>
    </row>
    <row r="308" ht="15.75" customHeight="1">
      <c r="A308" s="1"/>
      <c r="B308" s="1"/>
      <c r="C308" s="1"/>
      <c r="D308" s="1"/>
      <c r="E308" s="1"/>
      <c r="F308" s="1"/>
      <c r="G308" s="2"/>
    </row>
    <row r="309" ht="15.75" customHeight="1">
      <c r="A309" s="1"/>
      <c r="B309" s="1"/>
      <c r="C309" s="1"/>
      <c r="D309" s="1"/>
      <c r="E309" s="1"/>
      <c r="F309" s="1"/>
      <c r="G309" s="2"/>
    </row>
    <row r="310" ht="15.75" customHeight="1">
      <c r="A310" s="1"/>
      <c r="B310" s="1"/>
      <c r="C310" s="1"/>
      <c r="D310" s="1"/>
      <c r="E310" s="1"/>
      <c r="F310" s="1"/>
      <c r="G310" s="2"/>
    </row>
    <row r="311" ht="15.75" customHeight="1">
      <c r="A311" s="1"/>
      <c r="B311" s="1"/>
      <c r="C311" s="1"/>
      <c r="D311" s="1"/>
      <c r="E311" s="1"/>
      <c r="F311" s="1"/>
      <c r="G311" s="2"/>
    </row>
    <row r="312" ht="15.75" customHeight="1">
      <c r="A312" s="1"/>
      <c r="B312" s="1"/>
      <c r="C312" s="1"/>
      <c r="D312" s="1"/>
      <c r="E312" s="1"/>
      <c r="F312" s="1"/>
      <c r="G312" s="2"/>
    </row>
    <row r="313" ht="15.75" customHeight="1">
      <c r="A313" s="1"/>
      <c r="B313" s="1"/>
      <c r="C313" s="1"/>
      <c r="D313" s="1"/>
      <c r="E313" s="1"/>
      <c r="F313" s="1"/>
      <c r="G313" s="2"/>
    </row>
    <row r="314" ht="15.75" customHeight="1">
      <c r="A314" s="1"/>
      <c r="B314" s="1"/>
      <c r="C314" s="1"/>
      <c r="D314" s="1"/>
      <c r="E314" s="1"/>
      <c r="F314" s="1"/>
      <c r="G314" s="2"/>
    </row>
    <row r="315" ht="15.75" customHeight="1">
      <c r="A315" s="1"/>
      <c r="B315" s="1"/>
      <c r="C315" s="1"/>
      <c r="D315" s="1"/>
      <c r="E315" s="1"/>
      <c r="F315" s="1"/>
      <c r="G315" s="2"/>
    </row>
    <row r="316" ht="15.75" customHeight="1">
      <c r="A316" s="1"/>
      <c r="B316" s="1"/>
      <c r="C316" s="1"/>
      <c r="D316" s="1"/>
      <c r="E316" s="1"/>
      <c r="F316" s="1"/>
      <c r="G316" s="2"/>
    </row>
    <row r="317" ht="15.75" customHeight="1">
      <c r="A317" s="1"/>
      <c r="B317" s="1"/>
      <c r="C317" s="1"/>
      <c r="D317" s="1"/>
      <c r="E317" s="1"/>
      <c r="F317" s="1"/>
      <c r="G317" s="2"/>
    </row>
    <row r="318" ht="15.75" customHeight="1">
      <c r="A318" s="1"/>
      <c r="B318" s="1"/>
      <c r="C318" s="1"/>
      <c r="D318" s="1"/>
      <c r="E318" s="1"/>
      <c r="F318" s="1"/>
      <c r="G318" s="2"/>
    </row>
    <row r="319" ht="15.75" customHeight="1">
      <c r="A319" s="1"/>
      <c r="B319" s="1"/>
      <c r="C319" s="1"/>
      <c r="D319" s="1"/>
      <c r="E319" s="1"/>
      <c r="F319" s="1"/>
      <c r="G319" s="2"/>
    </row>
    <row r="320" ht="15.75" customHeight="1">
      <c r="A320" s="1"/>
      <c r="B320" s="1"/>
      <c r="C320" s="1"/>
      <c r="D320" s="1"/>
      <c r="E320" s="1"/>
      <c r="F320" s="1"/>
      <c r="G320" s="2"/>
    </row>
    <row r="321" ht="15.75" customHeight="1">
      <c r="A321" s="1"/>
      <c r="B321" s="1"/>
      <c r="C321" s="1"/>
      <c r="D321" s="1"/>
      <c r="E321" s="1"/>
      <c r="F321" s="1"/>
      <c r="G321" s="2"/>
    </row>
    <row r="322" ht="15.75" customHeight="1">
      <c r="A322" s="1"/>
      <c r="B322" s="1"/>
      <c r="C322" s="1"/>
      <c r="D322" s="1"/>
      <c r="E322" s="1"/>
      <c r="F322" s="1"/>
      <c r="G322" s="2"/>
    </row>
    <row r="323" ht="15.75" customHeight="1">
      <c r="A323" s="1"/>
      <c r="B323" s="1"/>
      <c r="C323" s="1"/>
      <c r="D323" s="1"/>
      <c r="E323" s="1"/>
      <c r="F323" s="1"/>
      <c r="G323" s="2"/>
    </row>
    <row r="324" ht="15.75" customHeight="1">
      <c r="A324" s="1"/>
      <c r="B324" s="1"/>
      <c r="C324" s="1"/>
      <c r="D324" s="1"/>
      <c r="E324" s="1"/>
      <c r="F324" s="1"/>
      <c r="G324" s="2"/>
    </row>
    <row r="325" ht="15.75" customHeight="1">
      <c r="A325" s="1"/>
      <c r="B325" s="1"/>
      <c r="C325" s="1"/>
      <c r="D325" s="1"/>
      <c r="E325" s="1"/>
      <c r="F325" s="1"/>
      <c r="G325" s="2"/>
    </row>
    <row r="326" ht="15.75" customHeight="1">
      <c r="A326" s="1"/>
      <c r="B326" s="1"/>
      <c r="C326" s="1"/>
      <c r="D326" s="1"/>
      <c r="E326" s="1"/>
      <c r="F326" s="1"/>
      <c r="G326" s="2"/>
    </row>
    <row r="327" ht="15.75" customHeight="1">
      <c r="A327" s="1"/>
      <c r="B327" s="1"/>
      <c r="C327" s="1"/>
      <c r="D327" s="1"/>
      <c r="E327" s="1"/>
      <c r="F327" s="1"/>
      <c r="G327" s="2"/>
    </row>
    <row r="328" ht="15.75" customHeight="1">
      <c r="A328" s="1"/>
      <c r="B328" s="1"/>
      <c r="C328" s="1"/>
      <c r="D328" s="1"/>
      <c r="E328" s="1"/>
      <c r="F328" s="1"/>
      <c r="G328" s="2"/>
    </row>
    <row r="329" ht="15.75" customHeight="1">
      <c r="A329" s="1"/>
      <c r="B329" s="1"/>
      <c r="C329" s="1"/>
      <c r="D329" s="1"/>
      <c r="E329" s="1"/>
      <c r="F329" s="1"/>
      <c r="G329" s="2"/>
    </row>
    <row r="330" ht="15.75" customHeight="1">
      <c r="A330" s="1"/>
      <c r="B330" s="1"/>
      <c r="C330" s="1"/>
      <c r="D330" s="1"/>
      <c r="E330" s="1"/>
      <c r="F330" s="1"/>
      <c r="G330" s="2"/>
    </row>
    <row r="331" ht="15.75" customHeight="1">
      <c r="A331" s="1"/>
      <c r="B331" s="1"/>
      <c r="C331" s="1"/>
      <c r="D331" s="1"/>
      <c r="E331" s="1"/>
      <c r="F331" s="1"/>
      <c r="G331" s="2"/>
    </row>
    <row r="332" ht="15.75" customHeight="1">
      <c r="A332" s="1"/>
      <c r="B332" s="1"/>
      <c r="C332" s="1"/>
      <c r="D332" s="1"/>
      <c r="E332" s="1"/>
      <c r="F332" s="1"/>
      <c r="G332" s="2"/>
    </row>
    <row r="333" ht="15.75" customHeight="1">
      <c r="A333" s="1"/>
      <c r="B333" s="1"/>
      <c r="C333" s="1"/>
      <c r="D333" s="1"/>
      <c r="E333" s="1"/>
      <c r="F333" s="1"/>
      <c r="G333" s="2"/>
    </row>
    <row r="334" ht="15.75" customHeight="1">
      <c r="A334" s="1"/>
      <c r="B334" s="1"/>
      <c r="C334" s="1"/>
      <c r="D334" s="1"/>
      <c r="E334" s="1"/>
      <c r="F334" s="1"/>
      <c r="G334" s="2"/>
    </row>
    <row r="335" ht="15.75" customHeight="1">
      <c r="A335" s="1"/>
      <c r="B335" s="1"/>
      <c r="C335" s="1"/>
      <c r="D335" s="1"/>
      <c r="E335" s="1"/>
      <c r="F335" s="1"/>
      <c r="G335" s="2"/>
    </row>
    <row r="336" ht="15.75" customHeight="1">
      <c r="A336" s="1"/>
      <c r="B336" s="1"/>
      <c r="C336" s="1"/>
      <c r="D336" s="1"/>
      <c r="E336" s="1"/>
      <c r="F336" s="1"/>
      <c r="G336" s="2"/>
    </row>
    <row r="337" ht="15.75" customHeight="1">
      <c r="A337" s="1"/>
      <c r="B337" s="1"/>
      <c r="C337" s="1"/>
      <c r="D337" s="1"/>
      <c r="E337" s="1"/>
      <c r="F337" s="1"/>
      <c r="G337" s="2"/>
    </row>
    <row r="338" ht="15.75" customHeight="1">
      <c r="A338" s="1"/>
      <c r="B338" s="1"/>
      <c r="C338" s="1"/>
      <c r="D338" s="1"/>
      <c r="E338" s="1"/>
      <c r="F338" s="1"/>
      <c r="G338" s="2"/>
    </row>
    <row r="339" ht="15.75" customHeight="1">
      <c r="A339" s="1"/>
      <c r="B339" s="1"/>
      <c r="C339" s="1"/>
      <c r="D339" s="1"/>
      <c r="E339" s="1"/>
      <c r="F339" s="1"/>
      <c r="G339" s="2"/>
    </row>
    <row r="340" ht="15.75" customHeight="1">
      <c r="A340" s="1"/>
      <c r="B340" s="1"/>
      <c r="C340" s="1"/>
      <c r="D340" s="1"/>
      <c r="E340" s="1"/>
      <c r="F340" s="1"/>
      <c r="G340" s="2"/>
    </row>
    <row r="341" ht="15.75" customHeight="1">
      <c r="A341" s="1"/>
      <c r="B341" s="1"/>
      <c r="C341" s="1"/>
      <c r="D341" s="1"/>
      <c r="E341" s="1"/>
      <c r="F341" s="1"/>
      <c r="G341" s="2"/>
    </row>
    <row r="342" ht="15.75" customHeight="1">
      <c r="A342" s="1"/>
      <c r="B342" s="1"/>
      <c r="C342" s="1"/>
      <c r="D342" s="1"/>
      <c r="E342" s="1"/>
      <c r="F342" s="1"/>
      <c r="G342" s="2"/>
    </row>
    <row r="343" ht="15.75" customHeight="1">
      <c r="A343" s="1"/>
      <c r="B343" s="1"/>
      <c r="C343" s="1"/>
      <c r="D343" s="1"/>
      <c r="E343" s="1"/>
      <c r="F343" s="1"/>
      <c r="G343" s="2"/>
    </row>
    <row r="344" ht="15.75" customHeight="1">
      <c r="A344" s="1"/>
      <c r="B344" s="1"/>
      <c r="C344" s="1"/>
      <c r="D344" s="1"/>
      <c r="E344" s="1"/>
      <c r="F344" s="1"/>
      <c r="G344" s="2"/>
    </row>
    <row r="345" ht="15.75" customHeight="1">
      <c r="A345" s="1"/>
      <c r="B345" s="1"/>
      <c r="C345" s="1"/>
      <c r="D345" s="1"/>
      <c r="E345" s="1"/>
      <c r="F345" s="1"/>
      <c r="G345" s="2"/>
    </row>
    <row r="346" ht="15.75" customHeight="1">
      <c r="A346" s="1"/>
      <c r="B346" s="1"/>
      <c r="C346" s="1"/>
      <c r="D346" s="1"/>
      <c r="E346" s="1"/>
      <c r="F346" s="1"/>
      <c r="G346" s="2"/>
    </row>
    <row r="347" ht="15.75" customHeight="1">
      <c r="A347" s="1"/>
      <c r="B347" s="1"/>
      <c r="C347" s="1"/>
      <c r="D347" s="1"/>
      <c r="E347" s="1"/>
      <c r="F347" s="1"/>
      <c r="G347" s="2"/>
    </row>
    <row r="348" ht="15.75" customHeight="1">
      <c r="A348" s="1"/>
      <c r="B348" s="1"/>
      <c r="C348" s="1"/>
      <c r="D348" s="1"/>
      <c r="E348" s="1"/>
      <c r="F348" s="1"/>
      <c r="G348" s="2"/>
    </row>
    <row r="349" ht="15.75" customHeight="1">
      <c r="A349" s="1"/>
      <c r="B349" s="1"/>
      <c r="C349" s="1"/>
      <c r="D349" s="1"/>
      <c r="E349" s="1"/>
      <c r="F349" s="1"/>
      <c r="G349" s="2"/>
    </row>
    <row r="350" ht="15.75" customHeight="1">
      <c r="A350" s="1"/>
      <c r="B350" s="1"/>
      <c r="C350" s="1"/>
      <c r="D350" s="1"/>
      <c r="E350" s="1"/>
      <c r="F350" s="1"/>
      <c r="G350" s="2"/>
    </row>
    <row r="351" ht="15.75" customHeight="1">
      <c r="A351" s="1"/>
      <c r="B351" s="1"/>
      <c r="C351" s="1"/>
      <c r="D351" s="1"/>
      <c r="E351" s="1"/>
      <c r="F351" s="1"/>
      <c r="G351" s="2"/>
    </row>
    <row r="352" ht="15.75" customHeight="1">
      <c r="A352" s="1"/>
      <c r="B352" s="1"/>
      <c r="C352" s="1"/>
      <c r="D352" s="1"/>
      <c r="E352" s="1"/>
      <c r="F352" s="1"/>
      <c r="G352" s="2"/>
    </row>
    <row r="353" ht="15.75" customHeight="1">
      <c r="A353" s="1"/>
      <c r="B353" s="1"/>
      <c r="C353" s="1"/>
      <c r="D353" s="1"/>
      <c r="E353" s="1"/>
      <c r="F353" s="1"/>
      <c r="G353" s="2"/>
    </row>
    <row r="354" ht="15.75" customHeight="1">
      <c r="A354" s="1"/>
      <c r="B354" s="1"/>
      <c r="C354" s="1"/>
      <c r="D354" s="1"/>
      <c r="E354" s="1"/>
      <c r="F354" s="1"/>
      <c r="G354" s="2"/>
    </row>
    <row r="355" ht="15.75" customHeight="1">
      <c r="A355" s="1"/>
      <c r="B355" s="1"/>
      <c r="C355" s="1"/>
      <c r="D355" s="1"/>
      <c r="E355" s="1"/>
      <c r="F355" s="1"/>
      <c r="G355" s="2"/>
    </row>
    <row r="356" ht="15.75" customHeight="1">
      <c r="A356" s="1"/>
      <c r="B356" s="1"/>
      <c r="C356" s="1"/>
      <c r="D356" s="1"/>
      <c r="E356" s="1"/>
      <c r="F356" s="1"/>
      <c r="G356" s="2"/>
    </row>
    <row r="357" ht="15.75" customHeight="1">
      <c r="A357" s="1"/>
      <c r="B357" s="1"/>
      <c r="C357" s="1"/>
      <c r="D357" s="1"/>
      <c r="E357" s="1"/>
      <c r="F357" s="1"/>
      <c r="G357" s="2"/>
    </row>
    <row r="358" ht="15.75" customHeight="1">
      <c r="A358" s="1"/>
      <c r="B358" s="1"/>
      <c r="C358" s="1"/>
      <c r="D358" s="1"/>
      <c r="E358" s="1"/>
      <c r="F358" s="1"/>
      <c r="G358" s="2"/>
    </row>
    <row r="359" ht="15.75" customHeight="1">
      <c r="A359" s="1"/>
      <c r="B359" s="1"/>
      <c r="C359" s="1"/>
      <c r="D359" s="1"/>
      <c r="E359" s="1"/>
      <c r="F359" s="1"/>
      <c r="G359" s="2"/>
    </row>
    <row r="360" ht="15.75" customHeight="1">
      <c r="A360" s="1"/>
      <c r="B360" s="1"/>
      <c r="C360" s="1"/>
      <c r="D360" s="1"/>
      <c r="E360" s="1"/>
      <c r="F360" s="1"/>
      <c r="G360" s="2"/>
    </row>
    <row r="361" ht="15.75" customHeight="1">
      <c r="A361" s="1"/>
      <c r="B361" s="1"/>
      <c r="C361" s="1"/>
      <c r="D361" s="1"/>
      <c r="E361" s="1"/>
      <c r="F361" s="1"/>
      <c r="G361" s="2"/>
    </row>
    <row r="362" ht="15.75" customHeight="1">
      <c r="A362" s="1"/>
      <c r="B362" s="1"/>
      <c r="C362" s="1"/>
      <c r="D362" s="1"/>
      <c r="E362" s="1"/>
      <c r="F362" s="1"/>
      <c r="G362" s="2"/>
    </row>
    <row r="363" ht="15.75" customHeight="1">
      <c r="A363" s="1"/>
      <c r="B363" s="1"/>
      <c r="C363" s="1"/>
      <c r="D363" s="1"/>
      <c r="E363" s="1"/>
      <c r="F363" s="1"/>
      <c r="G363" s="2"/>
    </row>
    <row r="364" ht="15.75" customHeight="1">
      <c r="A364" s="1"/>
      <c r="B364" s="1"/>
      <c r="C364" s="1"/>
      <c r="D364" s="1"/>
      <c r="E364" s="1"/>
      <c r="F364" s="1"/>
      <c r="G364" s="2"/>
    </row>
    <row r="365" ht="15.75" customHeight="1">
      <c r="A365" s="1"/>
      <c r="B365" s="1"/>
      <c r="C365" s="1"/>
      <c r="D365" s="1"/>
      <c r="E365" s="1"/>
      <c r="F365" s="1"/>
      <c r="G365" s="2"/>
    </row>
    <row r="366" ht="15.75" customHeight="1">
      <c r="A366" s="1"/>
      <c r="B366" s="1"/>
      <c r="C366" s="1"/>
      <c r="D366" s="1"/>
      <c r="E366" s="1"/>
      <c r="F366" s="1"/>
      <c r="G366" s="2"/>
    </row>
    <row r="367" ht="15.75" customHeight="1">
      <c r="A367" s="1"/>
      <c r="B367" s="1"/>
      <c r="C367" s="1"/>
      <c r="D367" s="1"/>
      <c r="E367" s="1"/>
      <c r="F367" s="1"/>
      <c r="G367" s="2"/>
    </row>
    <row r="368" ht="15.75" customHeight="1">
      <c r="A368" s="1"/>
      <c r="B368" s="1"/>
      <c r="C368" s="1"/>
      <c r="D368" s="1"/>
      <c r="E368" s="1"/>
      <c r="F368" s="1"/>
      <c r="G368" s="2"/>
    </row>
    <row r="369" ht="15.75" customHeight="1">
      <c r="A369" s="1"/>
      <c r="B369" s="1"/>
      <c r="C369" s="1"/>
      <c r="D369" s="1"/>
      <c r="E369" s="1"/>
      <c r="F369" s="1"/>
      <c r="G369" s="2"/>
    </row>
    <row r="370" ht="15.75" customHeight="1">
      <c r="A370" s="1"/>
      <c r="B370" s="1"/>
      <c r="C370" s="1"/>
      <c r="D370" s="1"/>
      <c r="E370" s="1"/>
      <c r="F370" s="1"/>
      <c r="G370" s="2"/>
    </row>
    <row r="371" ht="15.75" customHeight="1">
      <c r="A371" s="1"/>
      <c r="B371" s="1"/>
      <c r="C371" s="1"/>
      <c r="D371" s="1"/>
      <c r="E371" s="1"/>
      <c r="F371" s="1"/>
      <c r="G371" s="2"/>
    </row>
    <row r="372" ht="15.75" customHeight="1">
      <c r="A372" s="1"/>
      <c r="B372" s="1"/>
      <c r="C372" s="1"/>
      <c r="D372" s="1"/>
      <c r="E372" s="1"/>
      <c r="F372" s="1"/>
      <c r="G372" s="2"/>
    </row>
    <row r="373" ht="15.75" customHeight="1">
      <c r="A373" s="1"/>
      <c r="B373" s="1"/>
      <c r="C373" s="1"/>
      <c r="D373" s="1"/>
      <c r="E373" s="1"/>
      <c r="F373" s="1"/>
      <c r="G373" s="2"/>
    </row>
    <row r="374" ht="15.75" customHeight="1">
      <c r="A374" s="1"/>
      <c r="B374" s="1"/>
      <c r="C374" s="1"/>
      <c r="D374" s="1"/>
      <c r="E374" s="1"/>
      <c r="F374" s="1"/>
      <c r="G374" s="2"/>
    </row>
    <row r="375" ht="15.75" customHeight="1">
      <c r="A375" s="1"/>
      <c r="B375" s="1"/>
      <c r="C375" s="1"/>
      <c r="D375" s="1"/>
      <c r="E375" s="1"/>
      <c r="F375" s="1"/>
      <c r="G375" s="2"/>
    </row>
    <row r="376" ht="15.75" customHeight="1">
      <c r="A376" s="1"/>
      <c r="B376" s="1"/>
      <c r="C376" s="1"/>
      <c r="D376" s="1"/>
      <c r="E376" s="1"/>
      <c r="F376" s="1"/>
      <c r="G376" s="2"/>
    </row>
    <row r="377" ht="15.75" customHeight="1">
      <c r="A377" s="1"/>
      <c r="B377" s="1"/>
      <c r="C377" s="1"/>
      <c r="D377" s="1"/>
      <c r="E377" s="1"/>
      <c r="F377" s="1"/>
      <c r="G377" s="2"/>
    </row>
    <row r="378" ht="15.75" customHeight="1">
      <c r="A378" s="1"/>
      <c r="B378" s="1"/>
      <c r="C378" s="1"/>
      <c r="D378" s="1"/>
      <c r="E378" s="1"/>
      <c r="F378" s="1"/>
      <c r="G378" s="2"/>
    </row>
    <row r="379" ht="15.75" customHeight="1">
      <c r="A379" s="1"/>
      <c r="B379" s="1"/>
      <c r="C379" s="1"/>
      <c r="D379" s="1"/>
      <c r="E379" s="1"/>
      <c r="F379" s="1"/>
      <c r="G379" s="2"/>
    </row>
    <row r="380" ht="15.75" customHeight="1">
      <c r="A380" s="1"/>
      <c r="B380" s="1"/>
      <c r="C380" s="1"/>
      <c r="D380" s="1"/>
      <c r="E380" s="1"/>
      <c r="F380" s="1"/>
      <c r="G380" s="2"/>
    </row>
    <row r="381" ht="15.75" customHeight="1">
      <c r="A381" s="1"/>
      <c r="B381" s="1"/>
      <c r="C381" s="1"/>
      <c r="D381" s="1"/>
      <c r="E381" s="1"/>
      <c r="F381" s="1"/>
      <c r="G381" s="2"/>
    </row>
    <row r="382" ht="15.75" customHeight="1">
      <c r="A382" s="1"/>
      <c r="B382" s="1"/>
      <c r="C382" s="1"/>
      <c r="D382" s="1"/>
      <c r="E382" s="1"/>
      <c r="F382" s="1"/>
      <c r="G382" s="2"/>
    </row>
    <row r="383" ht="15.75" customHeight="1">
      <c r="A383" s="1"/>
      <c r="B383" s="1"/>
      <c r="C383" s="1"/>
      <c r="D383" s="1"/>
      <c r="E383" s="1"/>
      <c r="F383" s="1"/>
      <c r="G383" s="2"/>
    </row>
    <row r="384" ht="15.75" customHeight="1">
      <c r="A384" s="1"/>
      <c r="B384" s="1"/>
      <c r="C384" s="1"/>
      <c r="D384" s="1"/>
      <c r="E384" s="1"/>
      <c r="F384" s="1"/>
      <c r="G384" s="2"/>
    </row>
    <row r="385" ht="15.75" customHeight="1">
      <c r="A385" s="1"/>
      <c r="B385" s="1"/>
      <c r="C385" s="1"/>
      <c r="D385" s="1"/>
      <c r="E385" s="1"/>
      <c r="F385" s="1"/>
      <c r="G385" s="2"/>
    </row>
    <row r="386" ht="15.75" customHeight="1">
      <c r="A386" s="1"/>
      <c r="B386" s="1"/>
      <c r="C386" s="1"/>
      <c r="D386" s="1"/>
      <c r="E386" s="1"/>
      <c r="F386" s="1"/>
      <c r="G386" s="2"/>
    </row>
    <row r="387" ht="15.75" customHeight="1">
      <c r="A387" s="1"/>
      <c r="B387" s="1"/>
      <c r="C387" s="1"/>
      <c r="D387" s="1"/>
      <c r="E387" s="1"/>
      <c r="F387" s="1"/>
      <c r="G387" s="2"/>
    </row>
    <row r="388" ht="15.75" customHeight="1">
      <c r="A388" s="1"/>
      <c r="B388" s="1"/>
      <c r="C388" s="1"/>
      <c r="D388" s="1"/>
      <c r="E388" s="1"/>
      <c r="F388" s="1"/>
      <c r="G388" s="2"/>
    </row>
    <row r="389" ht="15.75" customHeight="1">
      <c r="A389" s="1"/>
      <c r="B389" s="1"/>
      <c r="C389" s="1"/>
      <c r="D389" s="1"/>
      <c r="E389" s="1"/>
      <c r="F389" s="1"/>
      <c r="G389" s="2"/>
    </row>
    <row r="390" ht="15.75" customHeight="1">
      <c r="A390" s="1"/>
      <c r="B390" s="1"/>
      <c r="C390" s="1"/>
      <c r="D390" s="1"/>
      <c r="E390" s="1"/>
      <c r="F390" s="1"/>
      <c r="G390" s="2"/>
    </row>
    <row r="391" ht="15.75" customHeight="1">
      <c r="A391" s="1"/>
      <c r="B391" s="1"/>
      <c r="C391" s="1"/>
      <c r="D391" s="1"/>
      <c r="E391" s="1"/>
      <c r="F391" s="1"/>
      <c r="G391" s="2"/>
    </row>
    <row r="392" ht="15.75" customHeight="1">
      <c r="A392" s="1"/>
      <c r="B392" s="1"/>
      <c r="C392" s="1"/>
      <c r="D392" s="1"/>
      <c r="E392" s="1"/>
      <c r="F392" s="1"/>
      <c r="G392" s="2"/>
    </row>
    <row r="393" ht="15.75" customHeight="1">
      <c r="A393" s="1"/>
      <c r="B393" s="1"/>
      <c r="C393" s="1"/>
      <c r="D393" s="1"/>
      <c r="E393" s="1"/>
      <c r="F393" s="1"/>
      <c r="G393" s="2"/>
    </row>
    <row r="394" ht="15.75" customHeight="1">
      <c r="A394" s="1"/>
      <c r="B394" s="1"/>
      <c r="C394" s="1"/>
      <c r="D394" s="1"/>
      <c r="E394" s="1"/>
      <c r="F394" s="1"/>
      <c r="G394" s="2"/>
    </row>
    <row r="395" ht="15.75" customHeight="1">
      <c r="A395" s="1"/>
      <c r="B395" s="1"/>
      <c r="C395" s="1"/>
      <c r="D395" s="1"/>
      <c r="E395" s="1"/>
      <c r="F395" s="1"/>
      <c r="G395" s="2"/>
    </row>
    <row r="396" ht="15.75" customHeight="1">
      <c r="A396" s="1"/>
      <c r="B396" s="1"/>
      <c r="C396" s="1"/>
      <c r="D396" s="1"/>
      <c r="E396" s="1"/>
      <c r="F396" s="1"/>
      <c r="G396" s="2"/>
    </row>
    <row r="397" ht="15.75" customHeight="1">
      <c r="A397" s="1"/>
      <c r="B397" s="1"/>
      <c r="C397" s="1"/>
      <c r="D397" s="1"/>
      <c r="E397" s="1"/>
      <c r="F397" s="1"/>
      <c r="G397" s="2"/>
    </row>
    <row r="398" ht="15.75" customHeight="1">
      <c r="A398" s="1"/>
      <c r="B398" s="1"/>
      <c r="C398" s="1"/>
      <c r="D398" s="1"/>
      <c r="E398" s="1"/>
      <c r="F398" s="1"/>
      <c r="G398" s="2"/>
    </row>
    <row r="399" ht="15.75" customHeight="1">
      <c r="A399" s="1"/>
      <c r="B399" s="1"/>
      <c r="C399" s="1"/>
      <c r="D399" s="1"/>
      <c r="E399" s="1"/>
      <c r="F399" s="1"/>
      <c r="G399" s="2"/>
    </row>
    <row r="400" ht="15.75" customHeight="1">
      <c r="A400" s="1"/>
      <c r="B400" s="1"/>
      <c r="C400" s="1"/>
      <c r="D400" s="1"/>
      <c r="E400" s="1"/>
      <c r="F400" s="1"/>
      <c r="G400" s="2"/>
    </row>
    <row r="401" ht="15.75" customHeight="1">
      <c r="A401" s="1"/>
      <c r="B401" s="1"/>
      <c r="C401" s="1"/>
      <c r="D401" s="1"/>
      <c r="E401" s="1"/>
      <c r="F401" s="1"/>
      <c r="G401" s="2"/>
    </row>
    <row r="402" ht="15.75" customHeight="1">
      <c r="A402" s="1"/>
      <c r="B402" s="1"/>
      <c r="C402" s="1"/>
      <c r="D402" s="1"/>
      <c r="E402" s="1"/>
      <c r="F402" s="1"/>
      <c r="G402" s="2"/>
    </row>
    <row r="403" ht="15.75" customHeight="1">
      <c r="A403" s="1"/>
      <c r="B403" s="1"/>
      <c r="C403" s="1"/>
      <c r="D403" s="1"/>
      <c r="E403" s="1"/>
      <c r="F403" s="1"/>
      <c r="G403" s="2"/>
    </row>
    <row r="404" ht="15.75" customHeight="1">
      <c r="A404" s="1"/>
      <c r="B404" s="1"/>
      <c r="C404" s="1"/>
      <c r="D404" s="1"/>
      <c r="E404" s="1"/>
      <c r="F404" s="1"/>
      <c r="G404" s="2"/>
    </row>
    <row r="405" ht="15.75" customHeight="1">
      <c r="A405" s="1"/>
      <c r="B405" s="1"/>
      <c r="C405" s="1"/>
      <c r="D405" s="1"/>
      <c r="E405" s="1"/>
      <c r="F405" s="1"/>
      <c r="G405" s="2"/>
    </row>
    <row r="406" ht="15.75" customHeight="1">
      <c r="A406" s="1"/>
      <c r="B406" s="1"/>
      <c r="C406" s="1"/>
      <c r="D406" s="1"/>
      <c r="E406" s="1"/>
      <c r="F406" s="1"/>
      <c r="G406" s="2"/>
    </row>
    <row r="407" ht="15.75" customHeight="1">
      <c r="A407" s="1"/>
      <c r="B407" s="1"/>
      <c r="C407" s="1"/>
      <c r="D407" s="1"/>
      <c r="E407" s="1"/>
      <c r="F407" s="1"/>
      <c r="G407" s="2"/>
    </row>
    <row r="408" ht="15.75" customHeight="1">
      <c r="A408" s="1"/>
      <c r="B408" s="1"/>
      <c r="C408" s="1"/>
      <c r="D408" s="1"/>
      <c r="E408" s="1"/>
      <c r="F408" s="1"/>
      <c r="G408" s="2"/>
    </row>
    <row r="409" ht="15.75" customHeight="1">
      <c r="A409" s="1"/>
      <c r="B409" s="1"/>
      <c r="C409" s="1"/>
      <c r="D409" s="1"/>
      <c r="E409" s="1"/>
      <c r="F409" s="1"/>
      <c r="G409" s="2"/>
    </row>
    <row r="410" ht="15.75" customHeight="1">
      <c r="A410" s="1"/>
      <c r="B410" s="1"/>
      <c r="C410" s="1"/>
      <c r="D410" s="1"/>
      <c r="E410" s="1"/>
      <c r="F410" s="1"/>
      <c r="G410" s="2"/>
    </row>
    <row r="411" ht="15.75" customHeight="1">
      <c r="A411" s="1"/>
      <c r="B411" s="1"/>
      <c r="C411" s="1"/>
      <c r="D411" s="1"/>
      <c r="E411" s="1"/>
      <c r="F411" s="1"/>
      <c r="G411" s="2"/>
    </row>
    <row r="412" ht="15.75" customHeight="1">
      <c r="A412" s="1"/>
      <c r="B412" s="1"/>
      <c r="C412" s="1"/>
      <c r="D412" s="1"/>
      <c r="E412" s="1"/>
      <c r="F412" s="1"/>
      <c r="G412" s="2"/>
    </row>
    <row r="413" ht="15.75" customHeight="1">
      <c r="A413" s="1"/>
      <c r="B413" s="1"/>
      <c r="C413" s="1"/>
      <c r="D413" s="1"/>
      <c r="E413" s="1"/>
      <c r="F413" s="1"/>
      <c r="G413" s="2"/>
    </row>
    <row r="414" ht="15.75" customHeight="1">
      <c r="A414" s="1"/>
      <c r="B414" s="1"/>
      <c r="C414" s="1"/>
      <c r="D414" s="1"/>
      <c r="E414" s="1"/>
      <c r="F414" s="1"/>
      <c r="G414" s="2"/>
    </row>
    <row r="415" ht="15.75" customHeight="1">
      <c r="A415" s="1"/>
      <c r="B415" s="1"/>
      <c r="C415" s="1"/>
      <c r="D415" s="1"/>
      <c r="E415" s="1"/>
      <c r="F415" s="1"/>
      <c r="G415" s="2"/>
    </row>
    <row r="416" ht="15.75" customHeight="1">
      <c r="A416" s="1"/>
      <c r="B416" s="1"/>
      <c r="C416" s="1"/>
      <c r="D416" s="1"/>
      <c r="E416" s="1"/>
      <c r="F416" s="1"/>
      <c r="G416" s="2"/>
    </row>
    <row r="417" ht="15.75" customHeight="1">
      <c r="A417" s="1"/>
      <c r="B417" s="1"/>
      <c r="C417" s="1"/>
      <c r="D417" s="1"/>
      <c r="E417" s="1"/>
      <c r="F417" s="1"/>
      <c r="G417" s="2"/>
    </row>
    <row r="418" ht="15.75" customHeight="1">
      <c r="A418" s="1"/>
      <c r="B418" s="1"/>
      <c r="C418" s="1"/>
      <c r="D418" s="1"/>
      <c r="E418" s="1"/>
      <c r="F418" s="1"/>
      <c r="G418" s="2"/>
    </row>
    <row r="419" ht="15.75" customHeight="1">
      <c r="A419" s="1"/>
      <c r="B419" s="1"/>
      <c r="C419" s="1"/>
      <c r="D419" s="1"/>
      <c r="E419" s="1"/>
      <c r="F419" s="1"/>
      <c r="G419" s="2"/>
    </row>
    <row r="420" ht="15.75" customHeight="1">
      <c r="A420" s="1"/>
      <c r="B420" s="1"/>
      <c r="C420" s="1"/>
      <c r="D420" s="1"/>
      <c r="E420" s="1"/>
      <c r="F420" s="1"/>
      <c r="G420" s="2"/>
    </row>
    <row r="421" ht="15.75" customHeight="1">
      <c r="A421" s="1"/>
      <c r="B421" s="1"/>
      <c r="C421" s="1"/>
      <c r="D421" s="1"/>
      <c r="E421" s="1"/>
      <c r="F421" s="1"/>
      <c r="G421" s="2"/>
    </row>
    <row r="422" ht="15.75" customHeight="1">
      <c r="A422" s="1"/>
      <c r="B422" s="1"/>
      <c r="C422" s="1"/>
      <c r="D422" s="1"/>
      <c r="E422" s="1"/>
      <c r="F422" s="1"/>
      <c r="G422" s="2"/>
    </row>
    <row r="423" ht="15.75" customHeight="1">
      <c r="A423" s="1"/>
      <c r="B423" s="1"/>
      <c r="C423" s="1"/>
      <c r="D423" s="1"/>
      <c r="E423" s="1"/>
      <c r="F423" s="1"/>
      <c r="G423" s="2"/>
    </row>
    <row r="424" ht="15.75" customHeight="1">
      <c r="A424" s="1"/>
      <c r="B424" s="1"/>
      <c r="C424" s="1"/>
      <c r="D424" s="1"/>
      <c r="E424" s="1"/>
      <c r="F424" s="1"/>
      <c r="G424" s="2"/>
    </row>
    <row r="425" ht="15.75" customHeight="1">
      <c r="A425" s="1"/>
      <c r="B425" s="1"/>
      <c r="C425" s="1"/>
      <c r="D425" s="1"/>
      <c r="E425" s="1"/>
      <c r="F425" s="1"/>
      <c r="G425" s="2"/>
    </row>
    <row r="426" ht="15.75" customHeight="1">
      <c r="A426" s="1"/>
      <c r="B426" s="1"/>
      <c r="C426" s="1"/>
      <c r="D426" s="1"/>
      <c r="E426" s="1"/>
      <c r="F426" s="1"/>
      <c r="G426" s="2"/>
    </row>
    <row r="427" ht="15.75" customHeight="1">
      <c r="A427" s="1"/>
      <c r="B427" s="1"/>
      <c r="C427" s="1"/>
      <c r="D427" s="1"/>
      <c r="E427" s="1"/>
      <c r="F427" s="1"/>
      <c r="G427" s="2"/>
    </row>
    <row r="428" ht="15.75" customHeight="1">
      <c r="A428" s="1"/>
      <c r="B428" s="1"/>
      <c r="C428" s="1"/>
      <c r="D428" s="1"/>
      <c r="E428" s="1"/>
      <c r="F428" s="1"/>
      <c r="G428" s="2"/>
    </row>
    <row r="429" ht="15.75" customHeight="1">
      <c r="A429" s="1"/>
      <c r="B429" s="1"/>
      <c r="C429" s="1"/>
      <c r="D429" s="1"/>
      <c r="E429" s="1"/>
      <c r="F429" s="1"/>
      <c r="G429" s="2"/>
    </row>
    <row r="430" ht="15.75" customHeight="1">
      <c r="A430" s="1"/>
      <c r="B430" s="1"/>
      <c r="C430" s="1"/>
      <c r="D430" s="1"/>
      <c r="E430" s="1"/>
      <c r="F430" s="1"/>
      <c r="G430" s="2"/>
    </row>
    <row r="431" ht="15.75" customHeight="1">
      <c r="A431" s="1"/>
      <c r="B431" s="1"/>
      <c r="C431" s="1"/>
      <c r="D431" s="1"/>
      <c r="E431" s="1"/>
      <c r="F431" s="1"/>
      <c r="G431" s="2"/>
    </row>
    <row r="432" ht="15.75" customHeight="1">
      <c r="A432" s="1"/>
      <c r="B432" s="1"/>
      <c r="C432" s="1"/>
      <c r="D432" s="1"/>
      <c r="E432" s="1"/>
      <c r="F432" s="1"/>
      <c r="G432" s="2"/>
    </row>
    <row r="433" ht="15.75" customHeight="1">
      <c r="A433" s="1"/>
      <c r="B433" s="1"/>
      <c r="C433" s="1"/>
      <c r="D433" s="1"/>
      <c r="E433" s="1"/>
      <c r="F433" s="1"/>
      <c r="G433" s="2"/>
    </row>
    <row r="434" ht="15.75" customHeight="1">
      <c r="A434" s="1"/>
      <c r="B434" s="1"/>
      <c r="C434" s="1"/>
      <c r="D434" s="1"/>
      <c r="E434" s="1"/>
      <c r="F434" s="1"/>
      <c r="G434" s="2"/>
    </row>
    <row r="435" ht="15.75" customHeight="1">
      <c r="A435" s="1"/>
      <c r="B435" s="1"/>
      <c r="C435" s="1"/>
      <c r="D435" s="1"/>
      <c r="E435" s="1"/>
      <c r="F435" s="1"/>
      <c r="G435" s="2"/>
    </row>
    <row r="436" ht="15.75" customHeight="1">
      <c r="A436" s="1"/>
      <c r="B436" s="1"/>
      <c r="C436" s="1"/>
      <c r="D436" s="1"/>
      <c r="E436" s="1"/>
      <c r="F436" s="1"/>
      <c r="G436" s="2"/>
    </row>
    <row r="437" ht="15.75" customHeight="1">
      <c r="A437" s="1"/>
      <c r="B437" s="1"/>
      <c r="C437" s="1"/>
      <c r="D437" s="1"/>
      <c r="E437" s="1"/>
      <c r="F437" s="1"/>
      <c r="G437" s="2"/>
    </row>
    <row r="438" ht="15.75" customHeight="1">
      <c r="A438" s="1"/>
      <c r="B438" s="1"/>
      <c r="C438" s="1"/>
      <c r="D438" s="1"/>
      <c r="E438" s="1"/>
      <c r="F438" s="1"/>
      <c r="G438" s="2"/>
    </row>
    <row r="439" ht="15.75" customHeight="1">
      <c r="A439" s="1"/>
      <c r="B439" s="1"/>
      <c r="C439" s="1"/>
      <c r="D439" s="1"/>
      <c r="E439" s="1"/>
      <c r="F439" s="1"/>
      <c r="G439" s="2"/>
    </row>
    <row r="440" ht="15.75" customHeight="1">
      <c r="A440" s="1"/>
      <c r="B440" s="1"/>
      <c r="C440" s="1"/>
      <c r="D440" s="1"/>
      <c r="E440" s="1"/>
      <c r="F440" s="1"/>
      <c r="G440" s="2"/>
    </row>
    <row r="441" ht="15.75" customHeight="1">
      <c r="A441" s="1"/>
      <c r="B441" s="1"/>
      <c r="C441" s="1"/>
      <c r="D441" s="1"/>
      <c r="E441" s="1"/>
      <c r="F441" s="1"/>
      <c r="G441" s="2"/>
    </row>
    <row r="442" ht="15.75" customHeight="1">
      <c r="A442" s="1"/>
      <c r="B442" s="1"/>
      <c r="C442" s="1"/>
      <c r="D442" s="1"/>
      <c r="E442" s="1"/>
      <c r="F442" s="1"/>
      <c r="G442" s="2"/>
    </row>
    <row r="443" ht="15.75" customHeight="1">
      <c r="A443" s="1"/>
      <c r="B443" s="1"/>
      <c r="C443" s="1"/>
      <c r="D443" s="1"/>
      <c r="E443" s="1"/>
      <c r="F443" s="1"/>
      <c r="G443" s="2"/>
    </row>
    <row r="444" ht="15.75" customHeight="1">
      <c r="A444" s="1"/>
      <c r="B444" s="1"/>
      <c r="C444" s="1"/>
      <c r="D444" s="1"/>
      <c r="E444" s="1"/>
      <c r="F444" s="1"/>
      <c r="G444" s="2"/>
    </row>
    <row r="445" ht="15.75" customHeight="1">
      <c r="A445" s="1"/>
      <c r="B445" s="1"/>
      <c r="C445" s="1"/>
      <c r="D445" s="1"/>
      <c r="E445" s="1"/>
      <c r="F445" s="1"/>
      <c r="G445" s="2"/>
    </row>
    <row r="446" ht="15.75" customHeight="1">
      <c r="A446" s="1"/>
      <c r="B446" s="1"/>
      <c r="C446" s="1"/>
      <c r="D446" s="1"/>
      <c r="E446" s="1"/>
      <c r="F446" s="1"/>
      <c r="G446" s="2"/>
    </row>
    <row r="447" ht="15.75" customHeight="1">
      <c r="A447" s="1"/>
      <c r="B447" s="1"/>
      <c r="C447" s="1"/>
      <c r="D447" s="1"/>
      <c r="E447" s="1"/>
      <c r="F447" s="1"/>
      <c r="G447" s="2"/>
    </row>
    <row r="448" ht="15.75" customHeight="1">
      <c r="A448" s="1"/>
      <c r="B448" s="1"/>
      <c r="C448" s="1"/>
      <c r="D448" s="1"/>
      <c r="E448" s="1"/>
      <c r="F448" s="1"/>
      <c r="G448" s="2"/>
    </row>
    <row r="449" ht="15.75" customHeight="1">
      <c r="A449" s="1"/>
      <c r="B449" s="1"/>
      <c r="C449" s="1"/>
      <c r="D449" s="1"/>
      <c r="E449" s="1"/>
      <c r="F449" s="1"/>
      <c r="G449" s="2"/>
    </row>
    <row r="450" ht="15.75" customHeight="1">
      <c r="A450" s="1"/>
      <c r="B450" s="1"/>
      <c r="C450" s="1"/>
      <c r="D450" s="1"/>
      <c r="E450" s="1"/>
      <c r="F450" s="1"/>
      <c r="G450" s="2"/>
    </row>
    <row r="451" ht="15.75" customHeight="1">
      <c r="A451" s="1"/>
      <c r="B451" s="1"/>
      <c r="C451" s="1"/>
      <c r="D451" s="1"/>
      <c r="E451" s="1"/>
      <c r="F451" s="1"/>
      <c r="G451" s="2"/>
    </row>
    <row r="452" ht="15.75" customHeight="1">
      <c r="A452" s="1"/>
      <c r="B452" s="1"/>
      <c r="C452" s="1"/>
      <c r="D452" s="1"/>
      <c r="E452" s="1"/>
      <c r="F452" s="1"/>
      <c r="G452" s="2"/>
    </row>
    <row r="453" ht="15.75" customHeight="1">
      <c r="A453" s="1"/>
      <c r="B453" s="1"/>
      <c r="C453" s="1"/>
      <c r="D453" s="1"/>
      <c r="E453" s="1"/>
      <c r="F453" s="1"/>
      <c r="G453" s="2"/>
    </row>
    <row r="454" ht="15.75" customHeight="1">
      <c r="A454" s="1"/>
      <c r="B454" s="1"/>
      <c r="C454" s="1"/>
      <c r="D454" s="1"/>
      <c r="E454" s="1"/>
      <c r="F454" s="1"/>
      <c r="G454" s="2"/>
    </row>
    <row r="455" ht="15.75" customHeight="1">
      <c r="A455" s="1"/>
      <c r="B455" s="1"/>
      <c r="C455" s="1"/>
      <c r="D455" s="1"/>
      <c r="E455" s="1"/>
      <c r="F455" s="1"/>
      <c r="G455" s="2"/>
    </row>
    <row r="456" ht="15.75" customHeight="1">
      <c r="A456" s="1"/>
      <c r="B456" s="1"/>
      <c r="C456" s="1"/>
      <c r="D456" s="1"/>
      <c r="E456" s="1"/>
      <c r="F456" s="1"/>
      <c r="G456" s="2"/>
    </row>
    <row r="457" ht="15.75" customHeight="1">
      <c r="A457" s="1"/>
      <c r="B457" s="1"/>
      <c r="C457" s="1"/>
      <c r="D457" s="1"/>
      <c r="E457" s="1"/>
      <c r="F457" s="1"/>
      <c r="G457" s="2"/>
    </row>
    <row r="458" ht="15.75" customHeight="1">
      <c r="A458" s="1"/>
      <c r="B458" s="1"/>
      <c r="C458" s="1"/>
      <c r="D458" s="1"/>
      <c r="E458" s="1"/>
      <c r="F458" s="1"/>
      <c r="G458" s="2"/>
    </row>
    <row r="459" ht="15.75" customHeight="1">
      <c r="A459" s="1"/>
      <c r="B459" s="1"/>
      <c r="C459" s="1"/>
      <c r="D459" s="1"/>
      <c r="E459" s="1"/>
      <c r="F459" s="1"/>
      <c r="G459" s="2"/>
    </row>
    <row r="460" ht="15.75" customHeight="1">
      <c r="A460" s="1"/>
      <c r="B460" s="1"/>
      <c r="C460" s="1"/>
      <c r="D460" s="1"/>
      <c r="E460" s="1"/>
      <c r="F460" s="1"/>
      <c r="G460" s="2"/>
    </row>
    <row r="461" ht="15.75" customHeight="1">
      <c r="A461" s="1"/>
      <c r="B461" s="1"/>
      <c r="C461" s="1"/>
      <c r="D461" s="1"/>
      <c r="E461" s="1"/>
      <c r="F461" s="1"/>
      <c r="G461" s="2"/>
    </row>
    <row r="462" ht="15.75" customHeight="1">
      <c r="A462" s="1"/>
      <c r="B462" s="1"/>
      <c r="C462" s="1"/>
      <c r="D462" s="1"/>
      <c r="E462" s="1"/>
      <c r="F462" s="1"/>
      <c r="G462" s="2"/>
    </row>
    <row r="463" ht="15.75" customHeight="1">
      <c r="A463" s="1"/>
      <c r="B463" s="1"/>
      <c r="C463" s="1"/>
      <c r="D463" s="1"/>
      <c r="E463" s="1"/>
      <c r="F463" s="1"/>
      <c r="G463" s="2"/>
    </row>
    <row r="464" ht="15.75" customHeight="1">
      <c r="A464" s="1"/>
      <c r="B464" s="1"/>
      <c r="C464" s="1"/>
      <c r="D464" s="1"/>
      <c r="E464" s="1"/>
      <c r="F464" s="1"/>
      <c r="G464" s="2"/>
    </row>
    <row r="465" ht="15.75" customHeight="1">
      <c r="A465" s="1"/>
      <c r="B465" s="1"/>
      <c r="C465" s="1"/>
      <c r="D465" s="1"/>
      <c r="E465" s="1"/>
      <c r="F465" s="1"/>
      <c r="G465" s="2"/>
    </row>
    <row r="466" ht="15.75" customHeight="1">
      <c r="A466" s="1"/>
      <c r="B466" s="1"/>
      <c r="C466" s="1"/>
      <c r="D466" s="1"/>
      <c r="E466" s="1"/>
      <c r="F466" s="1"/>
      <c r="G466" s="2"/>
    </row>
    <row r="467" ht="15.75" customHeight="1">
      <c r="A467" s="1"/>
      <c r="B467" s="1"/>
      <c r="C467" s="1"/>
      <c r="D467" s="1"/>
      <c r="E467" s="1"/>
      <c r="F467" s="1"/>
      <c r="G467" s="2"/>
    </row>
    <row r="468" ht="15.75" customHeight="1">
      <c r="A468" s="1"/>
      <c r="B468" s="1"/>
      <c r="C468" s="1"/>
      <c r="D468" s="1"/>
      <c r="E468" s="1"/>
      <c r="F468" s="1"/>
      <c r="G468" s="2"/>
    </row>
    <row r="469" ht="15.75" customHeight="1">
      <c r="A469" s="1"/>
      <c r="B469" s="1"/>
      <c r="C469" s="1"/>
      <c r="D469" s="1"/>
      <c r="E469" s="1"/>
      <c r="F469" s="1"/>
      <c r="G469" s="2"/>
    </row>
    <row r="470" ht="15.75" customHeight="1">
      <c r="A470" s="1"/>
      <c r="B470" s="1"/>
      <c r="C470" s="1"/>
      <c r="D470" s="1"/>
      <c r="E470" s="1"/>
      <c r="F470" s="1"/>
      <c r="G470" s="2"/>
    </row>
    <row r="471" ht="15.75" customHeight="1">
      <c r="A471" s="1"/>
      <c r="B471" s="1"/>
      <c r="C471" s="1"/>
      <c r="D471" s="1"/>
      <c r="E471" s="1"/>
      <c r="F471" s="1"/>
      <c r="G471" s="2"/>
    </row>
    <row r="472" ht="15.75" customHeight="1">
      <c r="A472" s="1"/>
      <c r="B472" s="1"/>
      <c r="C472" s="1"/>
      <c r="D472" s="1"/>
      <c r="E472" s="1"/>
      <c r="F472" s="1"/>
      <c r="G472" s="2"/>
    </row>
    <row r="473" ht="15.75" customHeight="1">
      <c r="A473" s="1"/>
      <c r="B473" s="1"/>
      <c r="C473" s="1"/>
      <c r="D473" s="1"/>
      <c r="E473" s="1"/>
      <c r="F473" s="1"/>
      <c r="G473" s="2"/>
    </row>
    <row r="474" ht="15.75" customHeight="1">
      <c r="A474" s="1"/>
      <c r="B474" s="1"/>
      <c r="C474" s="1"/>
      <c r="D474" s="1"/>
      <c r="E474" s="1"/>
      <c r="F474" s="1"/>
      <c r="G474" s="2"/>
    </row>
    <row r="475" ht="15.75" customHeight="1">
      <c r="A475" s="1"/>
      <c r="B475" s="1"/>
      <c r="C475" s="1"/>
      <c r="D475" s="1"/>
      <c r="E475" s="1"/>
      <c r="F475" s="1"/>
      <c r="G475" s="2"/>
    </row>
    <row r="476" ht="15.75" customHeight="1">
      <c r="A476" s="1"/>
      <c r="B476" s="1"/>
      <c r="C476" s="1"/>
      <c r="D476" s="1"/>
      <c r="E476" s="1"/>
      <c r="F476" s="1"/>
      <c r="G476" s="2"/>
    </row>
    <row r="477" ht="15.75" customHeight="1">
      <c r="A477" s="1"/>
      <c r="B477" s="1"/>
      <c r="C477" s="1"/>
      <c r="D477" s="1"/>
      <c r="E477" s="1"/>
      <c r="F477" s="1"/>
      <c r="G477" s="2"/>
    </row>
    <row r="478" ht="15.75" customHeight="1">
      <c r="A478" s="1"/>
      <c r="B478" s="1"/>
      <c r="C478" s="1"/>
      <c r="D478" s="1"/>
      <c r="E478" s="1"/>
      <c r="F478" s="1"/>
      <c r="G478" s="2"/>
    </row>
    <row r="479" ht="15.75" customHeight="1">
      <c r="A479" s="1"/>
      <c r="B479" s="1"/>
      <c r="C479" s="1"/>
      <c r="D479" s="1"/>
      <c r="E479" s="1"/>
      <c r="F479" s="1"/>
      <c r="G479" s="2"/>
    </row>
    <row r="480" ht="15.75" customHeight="1">
      <c r="A480" s="1"/>
      <c r="B480" s="1"/>
      <c r="C480" s="1"/>
      <c r="D480" s="1"/>
      <c r="E480" s="1"/>
      <c r="F480" s="1"/>
      <c r="G480" s="2"/>
    </row>
    <row r="481" ht="15.75" customHeight="1">
      <c r="A481" s="1"/>
      <c r="B481" s="1"/>
      <c r="C481" s="1"/>
      <c r="D481" s="1"/>
      <c r="E481" s="1"/>
      <c r="F481" s="1"/>
      <c r="G481" s="2"/>
    </row>
    <row r="482" ht="15.75" customHeight="1">
      <c r="A482" s="1"/>
      <c r="B482" s="1"/>
      <c r="C482" s="1"/>
      <c r="D482" s="1"/>
      <c r="E482" s="1"/>
      <c r="F482" s="1"/>
      <c r="G482" s="2"/>
    </row>
    <row r="483" ht="15.75" customHeight="1">
      <c r="A483" s="1"/>
      <c r="B483" s="1"/>
      <c r="C483" s="1"/>
      <c r="D483" s="1"/>
      <c r="E483" s="1"/>
      <c r="F483" s="1"/>
      <c r="G483" s="2"/>
    </row>
    <row r="484" ht="15.75" customHeight="1">
      <c r="A484" s="1"/>
      <c r="B484" s="1"/>
      <c r="C484" s="1"/>
      <c r="D484" s="1"/>
      <c r="E484" s="1"/>
      <c r="F484" s="1"/>
      <c r="G484" s="2"/>
    </row>
    <row r="485" ht="15.75" customHeight="1">
      <c r="A485" s="1"/>
      <c r="B485" s="1"/>
      <c r="C485" s="1"/>
      <c r="D485" s="1"/>
      <c r="E485" s="1"/>
      <c r="F485" s="1"/>
      <c r="G485" s="2"/>
    </row>
    <row r="486" ht="15.75" customHeight="1">
      <c r="A486" s="1"/>
      <c r="B486" s="1"/>
      <c r="C486" s="1"/>
      <c r="D486" s="1"/>
      <c r="E486" s="1"/>
      <c r="F486" s="1"/>
      <c r="G486" s="2"/>
    </row>
    <row r="487" ht="15.75" customHeight="1">
      <c r="A487" s="1"/>
      <c r="B487" s="1"/>
      <c r="C487" s="1"/>
      <c r="D487" s="1"/>
      <c r="E487" s="1"/>
      <c r="F487" s="1"/>
      <c r="G487" s="2"/>
    </row>
    <row r="488" ht="15.75" customHeight="1">
      <c r="A488" s="1"/>
      <c r="B488" s="1"/>
      <c r="C488" s="1"/>
      <c r="D488" s="1"/>
      <c r="E488" s="1"/>
      <c r="F488" s="1"/>
      <c r="G488" s="2"/>
    </row>
    <row r="489" ht="15.75" customHeight="1">
      <c r="A489" s="1"/>
      <c r="B489" s="1"/>
      <c r="C489" s="1"/>
      <c r="D489" s="1"/>
      <c r="E489" s="1"/>
      <c r="F489" s="1"/>
      <c r="G489" s="2"/>
    </row>
    <row r="490" ht="15.75" customHeight="1">
      <c r="A490" s="1"/>
      <c r="B490" s="1"/>
      <c r="C490" s="1"/>
      <c r="D490" s="1"/>
      <c r="E490" s="1"/>
      <c r="F490" s="1"/>
      <c r="G490" s="2"/>
    </row>
    <row r="491" ht="15.75" customHeight="1">
      <c r="A491" s="1"/>
      <c r="B491" s="1"/>
      <c r="C491" s="1"/>
      <c r="D491" s="1"/>
      <c r="E491" s="1"/>
      <c r="F491" s="1"/>
      <c r="G491" s="2"/>
    </row>
    <row r="492" ht="15.75" customHeight="1">
      <c r="A492" s="1"/>
      <c r="B492" s="1"/>
      <c r="C492" s="1"/>
      <c r="D492" s="1"/>
      <c r="E492" s="1"/>
      <c r="F492" s="1"/>
      <c r="G492" s="2"/>
    </row>
    <row r="493" ht="15.75" customHeight="1">
      <c r="A493" s="1"/>
      <c r="B493" s="1"/>
      <c r="C493" s="1"/>
      <c r="D493" s="1"/>
      <c r="E493" s="1"/>
      <c r="F493" s="1"/>
      <c r="G493" s="2"/>
    </row>
    <row r="494" ht="15.75" customHeight="1">
      <c r="A494" s="1"/>
      <c r="B494" s="1"/>
      <c r="C494" s="1"/>
      <c r="D494" s="1"/>
      <c r="E494" s="1"/>
      <c r="F494" s="1"/>
      <c r="G494" s="2"/>
    </row>
    <row r="495" ht="15.75" customHeight="1">
      <c r="A495" s="1"/>
      <c r="B495" s="1"/>
      <c r="C495" s="1"/>
      <c r="D495" s="1"/>
      <c r="E495" s="1"/>
      <c r="F495" s="1"/>
      <c r="G495" s="2"/>
    </row>
    <row r="496" ht="15.75" customHeight="1">
      <c r="A496" s="1"/>
      <c r="B496" s="1"/>
      <c r="C496" s="1"/>
      <c r="D496" s="1"/>
      <c r="E496" s="1"/>
      <c r="F496" s="1"/>
      <c r="G496" s="2"/>
    </row>
    <row r="497" ht="15.75" customHeight="1">
      <c r="A497" s="1"/>
      <c r="B497" s="1"/>
      <c r="C497" s="1"/>
      <c r="D497" s="1"/>
      <c r="E497" s="1"/>
      <c r="F497" s="1"/>
      <c r="G497" s="2"/>
    </row>
    <row r="498" ht="15.75" customHeight="1">
      <c r="A498" s="1"/>
      <c r="B498" s="1"/>
      <c r="C498" s="1"/>
      <c r="D498" s="1"/>
      <c r="E498" s="1"/>
      <c r="F498" s="1"/>
      <c r="G498" s="2"/>
    </row>
    <row r="499" ht="15.75" customHeight="1">
      <c r="A499" s="1"/>
      <c r="B499" s="1"/>
      <c r="C499" s="1"/>
      <c r="D499" s="1"/>
      <c r="E499" s="1"/>
      <c r="F499" s="1"/>
      <c r="G499" s="2"/>
    </row>
    <row r="500" ht="15.75" customHeight="1">
      <c r="A500" s="1"/>
      <c r="B500" s="1"/>
      <c r="C500" s="1"/>
      <c r="D500" s="1"/>
      <c r="E500" s="1"/>
      <c r="F500" s="1"/>
      <c r="G500" s="2"/>
    </row>
    <row r="501" ht="15.75" customHeight="1">
      <c r="A501" s="1"/>
      <c r="B501" s="1"/>
      <c r="C501" s="1"/>
      <c r="D501" s="1"/>
      <c r="E501" s="1"/>
      <c r="F501" s="1"/>
      <c r="G501" s="2"/>
    </row>
    <row r="502" ht="15.75" customHeight="1">
      <c r="A502" s="1"/>
      <c r="B502" s="1"/>
      <c r="C502" s="1"/>
      <c r="D502" s="1"/>
      <c r="E502" s="1"/>
      <c r="F502" s="1"/>
      <c r="G502" s="2"/>
    </row>
    <row r="503" ht="15.75" customHeight="1">
      <c r="A503" s="1"/>
      <c r="B503" s="1"/>
      <c r="C503" s="1"/>
      <c r="D503" s="1"/>
      <c r="E503" s="1"/>
      <c r="F503" s="1"/>
      <c r="G503" s="2"/>
    </row>
    <row r="504" ht="15.75" customHeight="1">
      <c r="A504" s="1"/>
      <c r="B504" s="1"/>
      <c r="C504" s="1"/>
      <c r="D504" s="1"/>
      <c r="E504" s="1"/>
      <c r="F504" s="1"/>
      <c r="G504" s="2"/>
    </row>
    <row r="505" ht="15.75" customHeight="1">
      <c r="A505" s="1"/>
      <c r="B505" s="1"/>
      <c r="C505" s="1"/>
      <c r="D505" s="1"/>
      <c r="E505" s="1"/>
      <c r="F505" s="1"/>
      <c r="G505" s="2"/>
    </row>
    <row r="506" ht="15.75" customHeight="1">
      <c r="A506" s="1"/>
      <c r="B506" s="1"/>
      <c r="C506" s="1"/>
      <c r="D506" s="1"/>
      <c r="E506" s="1"/>
      <c r="F506" s="1"/>
      <c r="G506" s="2"/>
    </row>
    <row r="507" ht="15.75" customHeight="1">
      <c r="A507" s="1"/>
      <c r="B507" s="1"/>
      <c r="C507" s="1"/>
      <c r="D507" s="1"/>
      <c r="E507" s="1"/>
      <c r="F507" s="1"/>
      <c r="G507" s="2"/>
    </row>
    <row r="508" ht="15.75" customHeight="1">
      <c r="A508" s="1"/>
      <c r="B508" s="1"/>
      <c r="C508" s="1"/>
      <c r="D508" s="1"/>
      <c r="E508" s="1"/>
      <c r="F508" s="1"/>
      <c r="G508" s="2"/>
    </row>
    <row r="509" ht="15.75" customHeight="1">
      <c r="A509" s="1"/>
      <c r="B509" s="1"/>
      <c r="C509" s="1"/>
      <c r="D509" s="1"/>
      <c r="E509" s="1"/>
      <c r="F509" s="1"/>
      <c r="G509" s="2"/>
    </row>
    <row r="510" ht="15.75" customHeight="1">
      <c r="A510" s="1"/>
      <c r="B510" s="1"/>
      <c r="C510" s="1"/>
      <c r="D510" s="1"/>
      <c r="E510" s="1"/>
      <c r="F510" s="1"/>
      <c r="G510" s="2"/>
    </row>
    <row r="511" ht="15.75" customHeight="1">
      <c r="A511" s="1"/>
      <c r="B511" s="1"/>
      <c r="C511" s="1"/>
      <c r="D511" s="1"/>
      <c r="E511" s="1"/>
      <c r="F511" s="1"/>
      <c r="G511" s="2"/>
    </row>
    <row r="512" ht="15.75" customHeight="1">
      <c r="A512" s="1"/>
      <c r="B512" s="1"/>
      <c r="C512" s="1"/>
      <c r="D512" s="1"/>
      <c r="E512" s="1"/>
      <c r="F512" s="1"/>
      <c r="G512" s="2"/>
    </row>
    <row r="513" ht="15.75" customHeight="1">
      <c r="A513" s="1"/>
      <c r="B513" s="1"/>
      <c r="C513" s="1"/>
      <c r="D513" s="1"/>
      <c r="E513" s="1"/>
      <c r="F513" s="1"/>
      <c r="G513" s="2"/>
    </row>
    <row r="514" ht="15.75" customHeight="1">
      <c r="A514" s="1"/>
      <c r="B514" s="1"/>
      <c r="C514" s="1"/>
      <c r="D514" s="1"/>
      <c r="E514" s="1"/>
      <c r="F514" s="1"/>
      <c r="G514" s="2"/>
    </row>
    <row r="515" ht="15.75" customHeight="1">
      <c r="A515" s="1"/>
      <c r="B515" s="1"/>
      <c r="C515" s="1"/>
      <c r="D515" s="1"/>
      <c r="E515" s="1"/>
      <c r="F515" s="1"/>
      <c r="G515" s="2"/>
    </row>
    <row r="516" ht="15.75" customHeight="1">
      <c r="A516" s="1"/>
      <c r="B516" s="1"/>
      <c r="C516" s="1"/>
      <c r="D516" s="1"/>
      <c r="E516" s="1"/>
      <c r="F516" s="1"/>
      <c r="G516" s="2"/>
    </row>
    <row r="517" ht="15.75" customHeight="1">
      <c r="A517" s="1"/>
      <c r="B517" s="1"/>
      <c r="C517" s="1"/>
      <c r="D517" s="1"/>
      <c r="E517" s="1"/>
      <c r="F517" s="1"/>
      <c r="G517" s="2"/>
    </row>
    <row r="518" ht="15.75" customHeight="1">
      <c r="A518" s="1"/>
      <c r="B518" s="1"/>
      <c r="C518" s="1"/>
      <c r="D518" s="1"/>
      <c r="E518" s="1"/>
      <c r="F518" s="1"/>
      <c r="G518" s="2"/>
    </row>
    <row r="519" ht="15.75" customHeight="1">
      <c r="A519" s="1"/>
      <c r="B519" s="1"/>
      <c r="C519" s="1"/>
      <c r="D519" s="1"/>
      <c r="E519" s="1"/>
      <c r="F519" s="1"/>
      <c r="G519" s="2"/>
    </row>
    <row r="520" ht="15.75" customHeight="1">
      <c r="A520" s="1"/>
      <c r="B520" s="1"/>
      <c r="C520" s="1"/>
      <c r="D520" s="1"/>
      <c r="E520" s="1"/>
      <c r="F520" s="1"/>
      <c r="G520" s="2"/>
    </row>
    <row r="521" ht="15.75" customHeight="1">
      <c r="A521" s="1"/>
      <c r="B521" s="1"/>
      <c r="C521" s="1"/>
      <c r="D521" s="1"/>
      <c r="E521" s="1"/>
      <c r="F521" s="1"/>
      <c r="G521" s="2"/>
    </row>
    <row r="522" ht="15.75" customHeight="1">
      <c r="A522" s="1"/>
      <c r="B522" s="1"/>
      <c r="C522" s="1"/>
      <c r="D522" s="1"/>
      <c r="E522" s="1"/>
      <c r="F522" s="1"/>
      <c r="G522" s="2"/>
    </row>
    <row r="523" ht="15.75" customHeight="1">
      <c r="A523" s="1"/>
      <c r="B523" s="1"/>
      <c r="C523" s="1"/>
      <c r="D523" s="1"/>
      <c r="E523" s="1"/>
      <c r="F523" s="1"/>
      <c r="G523" s="2"/>
    </row>
    <row r="524" ht="15.75" customHeight="1">
      <c r="A524" s="1"/>
      <c r="B524" s="1"/>
      <c r="C524" s="1"/>
      <c r="D524" s="1"/>
      <c r="E524" s="1"/>
      <c r="F524" s="1"/>
      <c r="G524" s="2"/>
    </row>
    <row r="525" ht="15.75" customHeight="1">
      <c r="A525" s="1"/>
      <c r="B525" s="1"/>
      <c r="C525" s="1"/>
      <c r="D525" s="1"/>
      <c r="E525" s="1"/>
      <c r="F525" s="1"/>
      <c r="G525" s="2"/>
    </row>
    <row r="526" ht="15.75" customHeight="1">
      <c r="A526" s="1"/>
      <c r="B526" s="1"/>
      <c r="C526" s="1"/>
      <c r="D526" s="1"/>
      <c r="E526" s="1"/>
      <c r="F526" s="1"/>
      <c r="G526" s="2"/>
    </row>
    <row r="527" ht="15.75" customHeight="1">
      <c r="A527" s="1"/>
      <c r="B527" s="1"/>
      <c r="C527" s="1"/>
      <c r="D527" s="1"/>
      <c r="E527" s="1"/>
      <c r="F527" s="1"/>
      <c r="G527" s="2"/>
    </row>
    <row r="528" ht="15.75" customHeight="1">
      <c r="A528" s="1"/>
      <c r="B528" s="1"/>
      <c r="C528" s="1"/>
      <c r="D528" s="1"/>
      <c r="E528" s="1"/>
      <c r="F528" s="1"/>
      <c r="G528" s="2"/>
    </row>
    <row r="529" ht="15.75" customHeight="1">
      <c r="A529" s="1"/>
      <c r="B529" s="1"/>
      <c r="C529" s="1"/>
      <c r="D529" s="1"/>
      <c r="E529" s="1"/>
      <c r="F529" s="1"/>
      <c r="G529" s="2"/>
    </row>
    <row r="530" ht="15.75" customHeight="1">
      <c r="A530" s="1"/>
      <c r="B530" s="1"/>
      <c r="C530" s="1"/>
      <c r="D530" s="1"/>
      <c r="E530" s="1"/>
      <c r="F530" s="1"/>
      <c r="G530" s="2"/>
    </row>
    <row r="531" ht="15.75" customHeight="1">
      <c r="A531" s="1"/>
      <c r="B531" s="1"/>
      <c r="C531" s="1"/>
      <c r="D531" s="1"/>
      <c r="E531" s="1"/>
      <c r="F531" s="1"/>
      <c r="G531" s="2"/>
    </row>
    <row r="532" ht="15.75" customHeight="1">
      <c r="A532" s="1"/>
      <c r="B532" s="1"/>
      <c r="C532" s="1"/>
      <c r="D532" s="1"/>
      <c r="E532" s="1"/>
      <c r="F532" s="1"/>
      <c r="G532" s="2"/>
    </row>
    <row r="533" ht="15.75" customHeight="1">
      <c r="A533" s="1"/>
      <c r="B533" s="1"/>
      <c r="C533" s="1"/>
      <c r="D533" s="1"/>
      <c r="E533" s="1"/>
      <c r="F533" s="1"/>
      <c r="G533" s="2"/>
    </row>
    <row r="534" ht="15.75" customHeight="1">
      <c r="A534" s="1"/>
      <c r="B534" s="1"/>
      <c r="C534" s="1"/>
      <c r="D534" s="1"/>
      <c r="E534" s="1"/>
      <c r="F534" s="1"/>
      <c r="G534" s="2"/>
    </row>
    <row r="535" ht="15.75" customHeight="1">
      <c r="A535" s="1"/>
      <c r="B535" s="1"/>
      <c r="C535" s="1"/>
      <c r="D535" s="1"/>
      <c r="E535" s="1"/>
      <c r="F535" s="1"/>
      <c r="G535" s="2"/>
    </row>
    <row r="536" ht="15.75" customHeight="1">
      <c r="A536" s="1"/>
      <c r="B536" s="1"/>
      <c r="C536" s="1"/>
      <c r="D536" s="1"/>
      <c r="E536" s="1"/>
      <c r="F536" s="1"/>
      <c r="G536" s="2"/>
    </row>
    <row r="537" ht="15.75" customHeight="1">
      <c r="A537" s="1"/>
      <c r="B537" s="1"/>
      <c r="C537" s="1"/>
      <c r="D537" s="1"/>
      <c r="E537" s="1"/>
      <c r="F537" s="1"/>
      <c r="G537" s="2"/>
    </row>
    <row r="538" ht="15.75" customHeight="1">
      <c r="A538" s="1"/>
      <c r="B538" s="1"/>
      <c r="C538" s="1"/>
      <c r="D538" s="1"/>
      <c r="E538" s="1"/>
      <c r="F538" s="1"/>
      <c r="G538" s="2"/>
    </row>
    <row r="539" ht="15.75" customHeight="1">
      <c r="A539" s="1"/>
      <c r="B539" s="1"/>
      <c r="C539" s="1"/>
      <c r="D539" s="1"/>
      <c r="E539" s="1"/>
      <c r="F539" s="1"/>
      <c r="G539" s="2"/>
    </row>
    <row r="540" ht="15.75" customHeight="1">
      <c r="A540" s="1"/>
      <c r="B540" s="1"/>
      <c r="C540" s="1"/>
      <c r="D540" s="1"/>
      <c r="E540" s="1"/>
      <c r="F540" s="1"/>
      <c r="G540" s="2"/>
    </row>
    <row r="541" ht="15.75" customHeight="1">
      <c r="A541" s="1"/>
      <c r="B541" s="1"/>
      <c r="C541" s="1"/>
      <c r="D541" s="1"/>
      <c r="E541" s="1"/>
      <c r="F541" s="1"/>
      <c r="G541" s="2"/>
    </row>
    <row r="542" ht="15.75" customHeight="1">
      <c r="A542" s="1"/>
      <c r="B542" s="1"/>
      <c r="C542" s="1"/>
      <c r="D542" s="1"/>
      <c r="E542" s="1"/>
      <c r="F542" s="1"/>
      <c r="G542" s="2"/>
    </row>
    <row r="543" ht="15.75" customHeight="1">
      <c r="A543" s="1"/>
      <c r="B543" s="1"/>
      <c r="C543" s="1"/>
      <c r="D543" s="1"/>
      <c r="E543" s="1"/>
      <c r="F543" s="1"/>
      <c r="G543" s="2"/>
    </row>
    <row r="544" ht="15.75" customHeight="1">
      <c r="A544" s="1"/>
      <c r="B544" s="1"/>
      <c r="C544" s="1"/>
      <c r="D544" s="1"/>
      <c r="E544" s="1"/>
      <c r="F544" s="1"/>
      <c r="G544" s="2"/>
    </row>
    <row r="545" ht="15.75" customHeight="1">
      <c r="A545" s="1"/>
      <c r="B545" s="1"/>
      <c r="C545" s="1"/>
      <c r="D545" s="1"/>
      <c r="E545" s="1"/>
      <c r="F545" s="1"/>
      <c r="G545" s="2"/>
    </row>
    <row r="546" ht="15.75" customHeight="1">
      <c r="A546" s="1"/>
      <c r="B546" s="1"/>
      <c r="C546" s="1"/>
      <c r="D546" s="1"/>
      <c r="E546" s="1"/>
      <c r="F546" s="1"/>
      <c r="G546" s="2"/>
    </row>
    <row r="547" ht="15.75" customHeight="1">
      <c r="A547" s="1"/>
      <c r="B547" s="1"/>
      <c r="C547" s="1"/>
      <c r="D547" s="1"/>
      <c r="E547" s="1"/>
      <c r="F547" s="1"/>
      <c r="G547" s="2"/>
    </row>
    <row r="548" ht="15.75" customHeight="1">
      <c r="A548" s="1"/>
      <c r="B548" s="1"/>
      <c r="C548" s="1"/>
      <c r="D548" s="1"/>
      <c r="E548" s="1"/>
      <c r="F548" s="1"/>
      <c r="G548" s="2"/>
    </row>
    <row r="549" ht="15.75" customHeight="1">
      <c r="A549" s="1"/>
      <c r="B549" s="1"/>
      <c r="C549" s="1"/>
      <c r="D549" s="1"/>
      <c r="E549" s="1"/>
      <c r="F549" s="1"/>
      <c r="G549" s="2"/>
    </row>
    <row r="550" ht="15.75" customHeight="1">
      <c r="A550" s="1"/>
      <c r="B550" s="1"/>
      <c r="C550" s="1"/>
      <c r="D550" s="1"/>
      <c r="E550" s="1"/>
      <c r="F550" s="1"/>
      <c r="G550" s="2"/>
    </row>
    <row r="551" ht="15.75" customHeight="1">
      <c r="A551" s="1"/>
      <c r="B551" s="1"/>
      <c r="C551" s="1"/>
      <c r="D551" s="1"/>
      <c r="E551" s="1"/>
      <c r="F551" s="1"/>
      <c r="G551" s="2"/>
    </row>
    <row r="552" ht="15.75" customHeight="1">
      <c r="A552" s="1"/>
      <c r="B552" s="1"/>
      <c r="C552" s="1"/>
      <c r="D552" s="1"/>
      <c r="E552" s="1"/>
      <c r="F552" s="1"/>
      <c r="G552" s="2"/>
    </row>
    <row r="553" ht="15.75" customHeight="1">
      <c r="A553" s="1"/>
      <c r="B553" s="1"/>
      <c r="C553" s="1"/>
      <c r="D553" s="1"/>
      <c r="E553" s="1"/>
      <c r="F553" s="1"/>
      <c r="G553" s="2"/>
    </row>
    <row r="554" ht="15.75" customHeight="1">
      <c r="A554" s="1"/>
      <c r="B554" s="1"/>
      <c r="C554" s="1"/>
      <c r="D554" s="1"/>
      <c r="E554" s="1"/>
      <c r="F554" s="1"/>
      <c r="G554" s="2"/>
    </row>
    <row r="555" ht="15.75" customHeight="1">
      <c r="A555" s="1"/>
      <c r="B555" s="1"/>
      <c r="C555" s="1"/>
      <c r="D555" s="1"/>
      <c r="E555" s="1"/>
      <c r="F555" s="1"/>
      <c r="G555" s="2"/>
    </row>
    <row r="556" ht="15.75" customHeight="1">
      <c r="A556" s="1"/>
      <c r="B556" s="1"/>
      <c r="C556" s="1"/>
      <c r="D556" s="1"/>
      <c r="E556" s="1"/>
      <c r="F556" s="1"/>
      <c r="G556" s="2"/>
    </row>
    <row r="557" ht="15.75" customHeight="1">
      <c r="A557" s="1"/>
      <c r="B557" s="1"/>
      <c r="C557" s="1"/>
      <c r="D557" s="1"/>
      <c r="E557" s="1"/>
      <c r="F557" s="1"/>
      <c r="G557" s="2"/>
    </row>
    <row r="558" ht="15.75" customHeight="1">
      <c r="A558" s="1"/>
      <c r="B558" s="1"/>
      <c r="C558" s="1"/>
      <c r="D558" s="1"/>
      <c r="E558" s="1"/>
      <c r="F558" s="1"/>
      <c r="G558" s="2"/>
    </row>
    <row r="559" ht="15.75" customHeight="1">
      <c r="A559" s="1"/>
      <c r="B559" s="1"/>
      <c r="C559" s="1"/>
      <c r="D559" s="1"/>
      <c r="E559" s="1"/>
      <c r="F559" s="1"/>
      <c r="G559" s="2"/>
    </row>
    <row r="560" ht="15.75" customHeight="1">
      <c r="A560" s="1"/>
      <c r="B560" s="1"/>
      <c r="C560" s="1"/>
      <c r="D560" s="1"/>
      <c r="E560" s="1"/>
      <c r="F560" s="1"/>
      <c r="G560" s="2"/>
    </row>
    <row r="561" ht="15.75" customHeight="1">
      <c r="A561" s="1"/>
      <c r="B561" s="1"/>
      <c r="C561" s="1"/>
      <c r="D561" s="1"/>
      <c r="E561" s="1"/>
      <c r="F561" s="1"/>
      <c r="G561" s="2"/>
    </row>
    <row r="562" ht="15.75" customHeight="1">
      <c r="A562" s="1"/>
      <c r="B562" s="1"/>
      <c r="C562" s="1"/>
      <c r="D562" s="1"/>
      <c r="E562" s="1"/>
      <c r="F562" s="1"/>
      <c r="G562" s="2"/>
    </row>
    <row r="563" ht="15.75" customHeight="1">
      <c r="A563" s="1"/>
      <c r="B563" s="1"/>
      <c r="C563" s="1"/>
      <c r="D563" s="1"/>
      <c r="E563" s="1"/>
      <c r="F563" s="1"/>
      <c r="G563" s="2"/>
    </row>
    <row r="564" ht="15.75" customHeight="1">
      <c r="A564" s="1"/>
      <c r="B564" s="1"/>
      <c r="C564" s="1"/>
      <c r="D564" s="1"/>
      <c r="E564" s="1"/>
      <c r="F564" s="1"/>
      <c r="G564" s="2"/>
    </row>
    <row r="565" ht="15.75" customHeight="1">
      <c r="A565" s="1"/>
      <c r="B565" s="1"/>
      <c r="C565" s="1"/>
      <c r="D565" s="1"/>
      <c r="E565" s="1"/>
      <c r="F565" s="1"/>
      <c r="G565" s="2"/>
    </row>
    <row r="566" ht="15.75" customHeight="1">
      <c r="A566" s="1"/>
      <c r="B566" s="1"/>
      <c r="C566" s="1"/>
      <c r="D566" s="1"/>
      <c r="E566" s="1"/>
      <c r="F566" s="1"/>
      <c r="G566" s="2"/>
    </row>
    <row r="567" ht="15.75" customHeight="1">
      <c r="A567" s="1"/>
      <c r="B567" s="1"/>
      <c r="C567" s="1"/>
      <c r="D567" s="1"/>
      <c r="E567" s="1"/>
      <c r="F567" s="1"/>
      <c r="G567" s="2"/>
    </row>
    <row r="568" ht="15.75" customHeight="1">
      <c r="A568" s="1"/>
      <c r="B568" s="1"/>
      <c r="C568" s="1"/>
      <c r="D568" s="1"/>
      <c r="E568" s="1"/>
      <c r="F568" s="1"/>
      <c r="G568" s="2"/>
    </row>
    <row r="569" ht="15.75" customHeight="1">
      <c r="A569" s="1"/>
      <c r="B569" s="1"/>
      <c r="C569" s="1"/>
      <c r="D569" s="1"/>
      <c r="E569" s="1"/>
      <c r="F569" s="1"/>
      <c r="G569" s="2"/>
    </row>
    <row r="570" ht="15.75" customHeight="1">
      <c r="A570" s="1"/>
      <c r="B570" s="1"/>
      <c r="C570" s="1"/>
      <c r="D570" s="1"/>
      <c r="E570" s="1"/>
      <c r="F570" s="1"/>
      <c r="G570" s="2"/>
    </row>
    <row r="571" ht="15.75" customHeight="1">
      <c r="A571" s="1"/>
      <c r="B571" s="1"/>
      <c r="C571" s="1"/>
      <c r="D571" s="1"/>
      <c r="E571" s="1"/>
      <c r="F571" s="1"/>
      <c r="G571" s="2"/>
    </row>
    <row r="572" ht="15.75" customHeight="1">
      <c r="A572" s="1"/>
      <c r="B572" s="1"/>
      <c r="C572" s="1"/>
      <c r="D572" s="1"/>
      <c r="E572" s="1"/>
      <c r="F572" s="1"/>
      <c r="G572" s="2"/>
    </row>
    <row r="573" ht="15.75" customHeight="1">
      <c r="A573" s="1"/>
      <c r="B573" s="1"/>
      <c r="C573" s="1"/>
      <c r="D573" s="1"/>
      <c r="E573" s="1"/>
      <c r="F573" s="1"/>
      <c r="G573" s="2"/>
    </row>
    <row r="574" ht="15.75" customHeight="1">
      <c r="A574" s="1"/>
      <c r="B574" s="1"/>
      <c r="C574" s="1"/>
      <c r="D574" s="1"/>
      <c r="E574" s="1"/>
      <c r="F574" s="1"/>
      <c r="G574" s="2"/>
    </row>
    <row r="575" ht="15.75" customHeight="1">
      <c r="A575" s="1"/>
      <c r="B575" s="1"/>
      <c r="C575" s="1"/>
      <c r="D575" s="1"/>
      <c r="E575" s="1"/>
      <c r="F575" s="1"/>
      <c r="G575" s="2"/>
    </row>
    <row r="576" ht="15.75" customHeight="1">
      <c r="A576" s="1"/>
      <c r="B576" s="1"/>
      <c r="C576" s="1"/>
      <c r="D576" s="1"/>
      <c r="E576" s="1"/>
      <c r="F576" s="1"/>
      <c r="G576" s="2"/>
    </row>
    <row r="577" ht="15.75" customHeight="1">
      <c r="A577" s="1"/>
      <c r="B577" s="1"/>
      <c r="C577" s="1"/>
      <c r="D577" s="1"/>
      <c r="E577" s="1"/>
      <c r="F577" s="1"/>
      <c r="G577" s="2"/>
    </row>
    <row r="578" ht="15.75" customHeight="1">
      <c r="A578" s="1"/>
      <c r="B578" s="1"/>
      <c r="C578" s="1"/>
      <c r="D578" s="1"/>
      <c r="E578" s="1"/>
      <c r="F578" s="1"/>
      <c r="G578" s="2"/>
    </row>
    <row r="579" ht="15.75" customHeight="1">
      <c r="A579" s="1"/>
      <c r="B579" s="1"/>
      <c r="C579" s="1"/>
      <c r="D579" s="1"/>
      <c r="E579" s="1"/>
      <c r="F579" s="1"/>
      <c r="G579" s="2"/>
    </row>
    <row r="580" ht="15.75" customHeight="1">
      <c r="A580" s="1"/>
      <c r="B580" s="1"/>
      <c r="C580" s="1"/>
      <c r="D580" s="1"/>
      <c r="E580" s="1"/>
      <c r="F580" s="1"/>
      <c r="G580" s="2"/>
    </row>
    <row r="581" ht="15.75" customHeight="1">
      <c r="A581" s="1"/>
      <c r="B581" s="1"/>
      <c r="C581" s="1"/>
      <c r="D581" s="1"/>
      <c r="E581" s="1"/>
      <c r="F581" s="1"/>
      <c r="G581" s="2"/>
    </row>
    <row r="582" ht="15.75" customHeight="1">
      <c r="A582" s="1"/>
      <c r="B582" s="1"/>
      <c r="C582" s="1"/>
      <c r="D582" s="1"/>
      <c r="E582" s="1"/>
      <c r="F582" s="1"/>
      <c r="G582" s="2"/>
    </row>
    <row r="583" ht="15.75" customHeight="1">
      <c r="A583" s="1"/>
      <c r="B583" s="1"/>
      <c r="C583" s="1"/>
      <c r="D583" s="1"/>
      <c r="E583" s="1"/>
      <c r="F583" s="1"/>
      <c r="G583" s="2"/>
    </row>
    <row r="584" ht="15.75" customHeight="1">
      <c r="A584" s="1"/>
      <c r="B584" s="1"/>
      <c r="C584" s="1"/>
      <c r="D584" s="1"/>
      <c r="E584" s="1"/>
      <c r="F584" s="1"/>
      <c r="G584" s="2"/>
    </row>
    <row r="585" ht="15.75" customHeight="1">
      <c r="A585" s="1"/>
      <c r="B585" s="1"/>
      <c r="C585" s="1"/>
      <c r="D585" s="1"/>
      <c r="E585" s="1"/>
      <c r="F585" s="1"/>
      <c r="G585" s="2"/>
    </row>
    <row r="586" ht="15.75" customHeight="1">
      <c r="A586" s="1"/>
      <c r="B586" s="1"/>
      <c r="C586" s="1"/>
      <c r="D586" s="1"/>
      <c r="E586" s="1"/>
      <c r="F586" s="1"/>
      <c r="G586" s="2"/>
    </row>
    <row r="587" ht="15.75" customHeight="1">
      <c r="A587" s="1"/>
      <c r="B587" s="1"/>
      <c r="C587" s="1"/>
      <c r="D587" s="1"/>
      <c r="E587" s="1"/>
      <c r="F587" s="1"/>
      <c r="G587" s="2"/>
    </row>
    <row r="588" ht="15.75" customHeight="1">
      <c r="A588" s="1"/>
      <c r="B588" s="1"/>
      <c r="C588" s="1"/>
      <c r="D588" s="1"/>
      <c r="E588" s="1"/>
      <c r="F588" s="1"/>
      <c r="G588" s="2"/>
    </row>
    <row r="589" ht="15.75" customHeight="1">
      <c r="A589" s="1"/>
      <c r="B589" s="1"/>
      <c r="C589" s="1"/>
      <c r="D589" s="1"/>
      <c r="E589" s="1"/>
      <c r="F589" s="1"/>
      <c r="G589" s="2"/>
    </row>
    <row r="590" ht="15.75" customHeight="1">
      <c r="A590" s="1"/>
      <c r="B590" s="1"/>
      <c r="C590" s="1"/>
      <c r="D590" s="1"/>
      <c r="E590" s="1"/>
      <c r="F590" s="1"/>
      <c r="G590" s="2"/>
    </row>
    <row r="591" ht="15.75" customHeight="1">
      <c r="A591" s="1"/>
      <c r="B591" s="1"/>
      <c r="C591" s="1"/>
      <c r="D591" s="1"/>
      <c r="E591" s="1"/>
      <c r="F591" s="1"/>
      <c r="G591" s="2"/>
    </row>
    <row r="592" ht="15.75" customHeight="1">
      <c r="A592" s="1"/>
      <c r="B592" s="1"/>
      <c r="C592" s="1"/>
      <c r="D592" s="1"/>
      <c r="E592" s="1"/>
      <c r="F592" s="1"/>
      <c r="G592" s="2"/>
    </row>
    <row r="593" ht="15.75" customHeight="1">
      <c r="A593" s="1"/>
      <c r="B593" s="1"/>
      <c r="C593" s="1"/>
      <c r="D593" s="1"/>
      <c r="E593" s="1"/>
      <c r="F593" s="1"/>
      <c r="G593" s="2"/>
    </row>
    <row r="594" ht="15.75" customHeight="1">
      <c r="A594" s="1"/>
      <c r="B594" s="1"/>
      <c r="C594" s="1"/>
      <c r="D594" s="1"/>
      <c r="E594" s="1"/>
      <c r="F594" s="1"/>
      <c r="G594" s="2"/>
    </row>
    <row r="595" ht="15.75" customHeight="1">
      <c r="A595" s="1"/>
      <c r="B595" s="1"/>
      <c r="C595" s="1"/>
      <c r="D595" s="1"/>
      <c r="E595" s="1"/>
      <c r="F595" s="1"/>
      <c r="G595" s="2"/>
    </row>
    <row r="596" ht="15.75" customHeight="1">
      <c r="A596" s="1"/>
      <c r="B596" s="1"/>
      <c r="C596" s="1"/>
      <c r="D596" s="1"/>
      <c r="E596" s="1"/>
      <c r="F596" s="1"/>
      <c r="G596" s="2"/>
    </row>
    <row r="597" ht="15.75" customHeight="1">
      <c r="A597" s="1"/>
      <c r="B597" s="1"/>
      <c r="C597" s="1"/>
      <c r="D597" s="1"/>
      <c r="E597" s="1"/>
      <c r="F597" s="1"/>
      <c r="G597" s="2"/>
    </row>
    <row r="598" ht="15.75" customHeight="1">
      <c r="A598" s="1"/>
      <c r="B598" s="1"/>
      <c r="C598" s="1"/>
      <c r="D598" s="1"/>
      <c r="E598" s="1"/>
      <c r="F598" s="1"/>
      <c r="G598" s="2"/>
    </row>
    <row r="599" ht="15.75" customHeight="1">
      <c r="A599" s="1"/>
      <c r="B599" s="1"/>
      <c r="C599" s="1"/>
      <c r="D599" s="1"/>
      <c r="E599" s="1"/>
      <c r="F599" s="1"/>
      <c r="G599" s="2"/>
    </row>
    <row r="600" ht="15.75" customHeight="1">
      <c r="A600" s="1"/>
      <c r="B600" s="1"/>
      <c r="C600" s="1"/>
      <c r="D600" s="1"/>
      <c r="E600" s="1"/>
      <c r="F600" s="1"/>
      <c r="G600" s="2"/>
    </row>
    <row r="601" ht="15.75" customHeight="1">
      <c r="A601" s="1"/>
      <c r="B601" s="1"/>
      <c r="C601" s="1"/>
      <c r="D601" s="1"/>
      <c r="E601" s="1"/>
      <c r="F601" s="1"/>
      <c r="G601" s="2"/>
    </row>
    <row r="602" ht="15.75" customHeight="1">
      <c r="A602" s="1"/>
      <c r="B602" s="1"/>
      <c r="C602" s="1"/>
      <c r="D602" s="1"/>
      <c r="E602" s="1"/>
      <c r="F602" s="1"/>
      <c r="G602" s="2"/>
    </row>
    <row r="603" ht="15.75" customHeight="1">
      <c r="A603" s="1"/>
      <c r="B603" s="1"/>
      <c r="C603" s="1"/>
      <c r="D603" s="1"/>
      <c r="E603" s="1"/>
      <c r="F603" s="1"/>
      <c r="G603" s="2"/>
    </row>
    <row r="604" ht="15.75" customHeight="1">
      <c r="A604" s="1"/>
      <c r="B604" s="1"/>
      <c r="C604" s="1"/>
      <c r="D604" s="1"/>
      <c r="E604" s="1"/>
      <c r="F604" s="1"/>
      <c r="G604" s="2"/>
    </row>
    <row r="605" ht="15.75" customHeight="1">
      <c r="A605" s="1"/>
      <c r="B605" s="1"/>
      <c r="C605" s="1"/>
      <c r="D605" s="1"/>
      <c r="E605" s="1"/>
      <c r="F605" s="1"/>
      <c r="G605" s="2"/>
    </row>
    <row r="606" ht="15.75" customHeight="1">
      <c r="A606" s="1"/>
      <c r="B606" s="1"/>
      <c r="C606" s="1"/>
      <c r="D606" s="1"/>
      <c r="E606" s="1"/>
      <c r="F606" s="1"/>
      <c r="G606" s="2"/>
    </row>
    <row r="607" ht="15.75" customHeight="1">
      <c r="A607" s="1"/>
      <c r="B607" s="1"/>
      <c r="C607" s="1"/>
      <c r="D607" s="1"/>
      <c r="E607" s="1"/>
      <c r="F607" s="1"/>
      <c r="G607" s="2"/>
    </row>
    <row r="608" ht="15.75" customHeight="1">
      <c r="A608" s="1"/>
      <c r="B608" s="1"/>
      <c r="C608" s="1"/>
      <c r="D608" s="1"/>
      <c r="E608" s="1"/>
      <c r="F608" s="1"/>
      <c r="G608" s="2"/>
    </row>
    <row r="609" ht="15.75" customHeight="1">
      <c r="A609" s="1"/>
      <c r="B609" s="1"/>
      <c r="C609" s="1"/>
      <c r="D609" s="1"/>
      <c r="E609" s="1"/>
      <c r="F609" s="1"/>
      <c r="G609" s="2"/>
    </row>
    <row r="610" ht="15.75" customHeight="1">
      <c r="A610" s="1"/>
      <c r="B610" s="1"/>
      <c r="C610" s="1"/>
      <c r="D610" s="1"/>
      <c r="E610" s="1"/>
      <c r="F610" s="1"/>
      <c r="G610" s="2"/>
    </row>
    <row r="611" ht="15.75" customHeight="1">
      <c r="A611" s="1"/>
      <c r="B611" s="1"/>
      <c r="C611" s="1"/>
      <c r="D611" s="1"/>
      <c r="E611" s="1"/>
      <c r="F611" s="1"/>
      <c r="G611" s="2"/>
    </row>
    <row r="612" ht="15.75" customHeight="1">
      <c r="A612" s="1"/>
      <c r="B612" s="1"/>
      <c r="C612" s="1"/>
      <c r="D612" s="1"/>
      <c r="E612" s="1"/>
      <c r="F612" s="1"/>
      <c r="G612" s="2"/>
    </row>
    <row r="613" ht="15.75" customHeight="1">
      <c r="A613" s="1"/>
      <c r="B613" s="1"/>
      <c r="C613" s="1"/>
      <c r="D613" s="1"/>
      <c r="E613" s="1"/>
      <c r="F613" s="1"/>
      <c r="G613" s="2"/>
    </row>
    <row r="614" ht="15.75" customHeight="1">
      <c r="A614" s="1"/>
      <c r="B614" s="1"/>
      <c r="C614" s="1"/>
      <c r="D614" s="1"/>
      <c r="E614" s="1"/>
      <c r="F614" s="1"/>
      <c r="G614" s="2"/>
    </row>
    <row r="615" ht="15.75" customHeight="1">
      <c r="A615" s="1"/>
      <c r="B615" s="1"/>
      <c r="C615" s="1"/>
      <c r="D615" s="1"/>
      <c r="E615" s="1"/>
      <c r="F615" s="1"/>
      <c r="G615" s="2"/>
    </row>
    <row r="616" ht="15.75" customHeight="1">
      <c r="A616" s="1"/>
      <c r="B616" s="1"/>
      <c r="C616" s="1"/>
      <c r="D616" s="1"/>
      <c r="E616" s="1"/>
      <c r="F616" s="1"/>
      <c r="G616" s="2"/>
    </row>
    <row r="617" ht="15.75" customHeight="1">
      <c r="A617" s="1"/>
      <c r="B617" s="1"/>
      <c r="C617" s="1"/>
      <c r="D617" s="1"/>
      <c r="E617" s="1"/>
      <c r="F617" s="1"/>
      <c r="G617" s="2"/>
    </row>
    <row r="618" ht="15.75" customHeight="1">
      <c r="A618" s="1"/>
      <c r="B618" s="1"/>
      <c r="C618" s="1"/>
      <c r="D618" s="1"/>
      <c r="E618" s="1"/>
      <c r="F618" s="1"/>
      <c r="G618" s="2"/>
    </row>
    <row r="619" ht="15.75" customHeight="1">
      <c r="A619" s="1"/>
      <c r="B619" s="1"/>
      <c r="C619" s="1"/>
      <c r="D619" s="1"/>
      <c r="E619" s="1"/>
      <c r="F619" s="1"/>
      <c r="G619" s="2"/>
    </row>
    <row r="620" ht="15.75" customHeight="1">
      <c r="A620" s="1"/>
      <c r="B620" s="1"/>
      <c r="C620" s="1"/>
      <c r="D620" s="1"/>
      <c r="E620" s="1"/>
      <c r="F620" s="1"/>
      <c r="G620" s="2"/>
    </row>
    <row r="621" ht="15.75" customHeight="1">
      <c r="A621" s="1"/>
      <c r="B621" s="1"/>
      <c r="C621" s="1"/>
      <c r="D621" s="1"/>
      <c r="E621" s="1"/>
      <c r="F621" s="1"/>
      <c r="G621" s="2"/>
    </row>
    <row r="622" ht="15.75" customHeight="1">
      <c r="A622" s="1"/>
      <c r="B622" s="1"/>
      <c r="C622" s="1"/>
      <c r="D622" s="1"/>
      <c r="E622" s="1"/>
      <c r="F622" s="1"/>
      <c r="G622" s="2"/>
    </row>
    <row r="623" ht="15.75" customHeight="1">
      <c r="A623" s="1"/>
      <c r="B623" s="1"/>
      <c r="C623" s="1"/>
      <c r="D623" s="1"/>
      <c r="E623" s="1"/>
      <c r="F623" s="1"/>
      <c r="G623" s="2"/>
    </row>
    <row r="624" ht="15.75" customHeight="1">
      <c r="A624" s="1"/>
      <c r="B624" s="1"/>
      <c r="C624" s="1"/>
      <c r="D624" s="1"/>
      <c r="E624" s="1"/>
      <c r="F624" s="1"/>
      <c r="G624" s="2"/>
    </row>
    <row r="625" ht="15.75" customHeight="1">
      <c r="A625" s="1"/>
      <c r="B625" s="1"/>
      <c r="C625" s="1"/>
      <c r="D625" s="1"/>
      <c r="E625" s="1"/>
      <c r="F625" s="1"/>
      <c r="G625" s="2"/>
    </row>
    <row r="626" ht="15.75" customHeight="1">
      <c r="A626" s="1"/>
      <c r="B626" s="1"/>
      <c r="C626" s="1"/>
      <c r="D626" s="1"/>
      <c r="E626" s="1"/>
      <c r="F626" s="1"/>
      <c r="G626" s="2"/>
    </row>
    <row r="627" ht="15.75" customHeight="1">
      <c r="A627" s="1"/>
      <c r="B627" s="1"/>
      <c r="C627" s="1"/>
      <c r="D627" s="1"/>
      <c r="E627" s="1"/>
      <c r="F627" s="1"/>
      <c r="G627" s="2"/>
    </row>
    <row r="628" ht="15.75" customHeight="1">
      <c r="A628" s="1"/>
      <c r="B628" s="1"/>
      <c r="C628" s="1"/>
      <c r="D628" s="1"/>
      <c r="E628" s="1"/>
      <c r="F628" s="1"/>
      <c r="G628" s="2"/>
    </row>
    <row r="629" ht="15.75" customHeight="1">
      <c r="A629" s="1"/>
      <c r="B629" s="1"/>
      <c r="C629" s="1"/>
      <c r="D629" s="1"/>
      <c r="E629" s="1"/>
      <c r="F629" s="1"/>
      <c r="G629" s="2"/>
    </row>
    <row r="630" ht="15.75" customHeight="1">
      <c r="A630" s="1"/>
      <c r="B630" s="1"/>
      <c r="C630" s="1"/>
      <c r="D630" s="1"/>
      <c r="E630" s="1"/>
      <c r="F630" s="1"/>
      <c r="G630" s="2"/>
    </row>
    <row r="631" ht="15.75" customHeight="1">
      <c r="A631" s="1"/>
      <c r="B631" s="1"/>
      <c r="C631" s="1"/>
      <c r="D631" s="1"/>
      <c r="E631" s="1"/>
      <c r="F631" s="1"/>
      <c r="G631" s="2"/>
    </row>
    <row r="632" ht="15.75" customHeight="1">
      <c r="A632" s="1"/>
      <c r="B632" s="1"/>
      <c r="C632" s="1"/>
      <c r="D632" s="1"/>
      <c r="E632" s="1"/>
      <c r="F632" s="1"/>
      <c r="G632" s="2"/>
    </row>
    <row r="633" ht="15.75" customHeight="1">
      <c r="A633" s="1"/>
      <c r="B633" s="1"/>
      <c r="C633" s="1"/>
      <c r="D633" s="1"/>
      <c r="E633" s="1"/>
      <c r="F633" s="1"/>
      <c r="G633" s="2"/>
    </row>
    <row r="634" ht="15.75" customHeight="1">
      <c r="A634" s="1"/>
      <c r="B634" s="1"/>
      <c r="C634" s="1"/>
      <c r="D634" s="1"/>
      <c r="E634" s="1"/>
      <c r="F634" s="1"/>
      <c r="G634" s="2"/>
    </row>
    <row r="635" ht="15.75" customHeight="1">
      <c r="A635" s="1"/>
      <c r="B635" s="1"/>
      <c r="C635" s="1"/>
      <c r="D635" s="1"/>
      <c r="E635" s="1"/>
      <c r="F635" s="1"/>
      <c r="G635" s="2"/>
    </row>
    <row r="636" ht="15.75" customHeight="1">
      <c r="A636" s="1"/>
      <c r="B636" s="1"/>
      <c r="C636" s="1"/>
      <c r="D636" s="1"/>
      <c r="E636" s="1"/>
      <c r="F636" s="1"/>
      <c r="G636" s="2"/>
    </row>
    <row r="637" ht="15.75" customHeight="1">
      <c r="A637" s="1"/>
      <c r="B637" s="1"/>
      <c r="C637" s="1"/>
      <c r="D637" s="1"/>
      <c r="E637" s="1"/>
      <c r="F637" s="1"/>
      <c r="G637" s="2"/>
    </row>
    <row r="638" ht="15.75" customHeight="1">
      <c r="A638" s="1"/>
      <c r="B638" s="1"/>
      <c r="C638" s="1"/>
      <c r="D638" s="1"/>
      <c r="E638" s="1"/>
      <c r="F638" s="1"/>
      <c r="G638" s="2"/>
    </row>
    <row r="639" ht="15.75" customHeight="1">
      <c r="A639" s="1"/>
      <c r="B639" s="1"/>
      <c r="C639" s="1"/>
      <c r="D639" s="1"/>
      <c r="E639" s="1"/>
      <c r="F639" s="1"/>
      <c r="G639" s="2"/>
    </row>
    <row r="640" ht="15.75" customHeight="1">
      <c r="A640" s="1"/>
      <c r="B640" s="1"/>
      <c r="C640" s="1"/>
      <c r="D640" s="1"/>
      <c r="E640" s="1"/>
      <c r="F640" s="1"/>
      <c r="G640" s="2"/>
    </row>
    <row r="641" ht="15.75" customHeight="1">
      <c r="A641" s="1"/>
      <c r="B641" s="1"/>
      <c r="C641" s="1"/>
      <c r="D641" s="1"/>
      <c r="E641" s="1"/>
      <c r="F641" s="1"/>
      <c r="G641" s="2"/>
    </row>
    <row r="642" ht="15.75" customHeight="1">
      <c r="A642" s="1"/>
      <c r="B642" s="1"/>
      <c r="C642" s="1"/>
      <c r="D642" s="1"/>
      <c r="E642" s="1"/>
      <c r="F642" s="1"/>
      <c r="G642" s="2"/>
    </row>
    <row r="643" ht="15.75" customHeight="1">
      <c r="A643" s="1"/>
      <c r="B643" s="1"/>
      <c r="C643" s="1"/>
      <c r="D643" s="1"/>
      <c r="E643" s="1"/>
      <c r="F643" s="1"/>
      <c r="G643" s="2"/>
    </row>
    <row r="644" ht="15.75" customHeight="1">
      <c r="A644" s="1"/>
      <c r="B644" s="1"/>
      <c r="C644" s="1"/>
      <c r="D644" s="1"/>
      <c r="E644" s="1"/>
      <c r="F644" s="1"/>
      <c r="G644" s="2"/>
    </row>
    <row r="645" ht="15.75" customHeight="1">
      <c r="A645" s="1"/>
      <c r="B645" s="1"/>
      <c r="C645" s="1"/>
      <c r="D645" s="1"/>
      <c r="E645" s="1"/>
      <c r="F645" s="1"/>
      <c r="G645" s="2"/>
    </row>
    <row r="646" ht="15.75" customHeight="1">
      <c r="A646" s="1"/>
      <c r="B646" s="1"/>
      <c r="C646" s="1"/>
      <c r="D646" s="1"/>
      <c r="E646" s="1"/>
      <c r="F646" s="1"/>
      <c r="G646" s="2"/>
    </row>
    <row r="647" ht="15.75" customHeight="1">
      <c r="A647" s="1"/>
      <c r="B647" s="1"/>
      <c r="C647" s="1"/>
      <c r="D647" s="1"/>
      <c r="E647" s="1"/>
      <c r="F647" s="1"/>
      <c r="G647" s="2"/>
    </row>
    <row r="648" ht="15.75" customHeight="1">
      <c r="A648" s="1"/>
      <c r="B648" s="1"/>
      <c r="C648" s="1"/>
      <c r="D648" s="1"/>
      <c r="E648" s="1"/>
      <c r="F648" s="1"/>
      <c r="G648" s="2"/>
    </row>
    <row r="649" ht="15.75" customHeight="1">
      <c r="A649" s="1"/>
      <c r="B649" s="1"/>
      <c r="C649" s="1"/>
      <c r="D649" s="1"/>
      <c r="E649" s="1"/>
      <c r="F649" s="1"/>
      <c r="G649" s="2"/>
    </row>
    <row r="650" ht="15.75" customHeight="1">
      <c r="A650" s="1"/>
      <c r="B650" s="1"/>
      <c r="C650" s="1"/>
      <c r="D650" s="1"/>
      <c r="E650" s="1"/>
      <c r="F650" s="1"/>
      <c r="G650" s="2"/>
    </row>
    <row r="651" ht="15.75" customHeight="1">
      <c r="A651" s="1"/>
      <c r="B651" s="1"/>
      <c r="C651" s="1"/>
      <c r="D651" s="1"/>
      <c r="E651" s="1"/>
      <c r="F651" s="1"/>
      <c r="G651" s="2"/>
    </row>
    <row r="652" ht="15.75" customHeight="1">
      <c r="A652" s="1"/>
      <c r="B652" s="1"/>
      <c r="C652" s="1"/>
      <c r="D652" s="1"/>
      <c r="E652" s="1"/>
      <c r="F652" s="1"/>
      <c r="G652" s="2"/>
    </row>
    <row r="653" ht="15.75" customHeight="1">
      <c r="A653" s="1"/>
      <c r="B653" s="1"/>
      <c r="C653" s="1"/>
      <c r="D653" s="1"/>
      <c r="E653" s="1"/>
      <c r="F653" s="1"/>
      <c r="G653" s="2"/>
    </row>
    <row r="654" ht="15.75" customHeight="1">
      <c r="A654" s="1"/>
      <c r="B654" s="1"/>
      <c r="C654" s="1"/>
      <c r="D654" s="1"/>
      <c r="E654" s="1"/>
      <c r="F654" s="1"/>
      <c r="G654" s="2"/>
    </row>
    <row r="655" ht="15.75" customHeight="1">
      <c r="A655" s="1"/>
      <c r="B655" s="1"/>
      <c r="C655" s="1"/>
      <c r="D655" s="1"/>
      <c r="E655" s="1"/>
      <c r="F655" s="1"/>
      <c r="G655" s="2"/>
    </row>
    <row r="656" ht="15.75" customHeight="1">
      <c r="A656" s="1"/>
      <c r="B656" s="1"/>
      <c r="C656" s="1"/>
      <c r="D656" s="1"/>
      <c r="E656" s="1"/>
      <c r="F656" s="1"/>
      <c r="G656" s="2"/>
    </row>
    <row r="657" ht="15.75" customHeight="1">
      <c r="A657" s="1"/>
      <c r="B657" s="1"/>
      <c r="C657" s="1"/>
      <c r="D657" s="1"/>
      <c r="E657" s="1"/>
      <c r="F657" s="1"/>
      <c r="G657" s="2"/>
    </row>
    <row r="658" ht="15.75" customHeight="1">
      <c r="A658" s="1"/>
      <c r="B658" s="1"/>
      <c r="C658" s="1"/>
      <c r="D658" s="1"/>
      <c r="E658" s="1"/>
      <c r="F658" s="1"/>
      <c r="G658" s="2"/>
    </row>
    <row r="659" ht="15.75" customHeight="1">
      <c r="A659" s="1"/>
      <c r="B659" s="1"/>
      <c r="C659" s="1"/>
      <c r="D659" s="1"/>
      <c r="E659" s="1"/>
      <c r="F659" s="1"/>
      <c r="G659" s="2"/>
    </row>
    <row r="660" ht="15.75" customHeight="1">
      <c r="A660" s="1"/>
      <c r="B660" s="1"/>
      <c r="C660" s="1"/>
      <c r="D660" s="1"/>
      <c r="E660" s="1"/>
      <c r="F660" s="1"/>
      <c r="G660" s="2"/>
    </row>
    <row r="661" ht="15.75" customHeight="1">
      <c r="A661" s="1"/>
      <c r="B661" s="1"/>
      <c r="C661" s="1"/>
      <c r="D661" s="1"/>
      <c r="E661" s="1"/>
      <c r="F661" s="1"/>
      <c r="G661" s="2"/>
    </row>
    <row r="662" ht="15.75" customHeight="1">
      <c r="A662" s="1"/>
      <c r="B662" s="1"/>
      <c r="C662" s="1"/>
      <c r="D662" s="1"/>
      <c r="E662" s="1"/>
      <c r="F662" s="1"/>
      <c r="G662" s="2"/>
    </row>
    <row r="663" ht="15.75" customHeight="1">
      <c r="A663" s="1"/>
      <c r="B663" s="1"/>
      <c r="C663" s="1"/>
      <c r="D663" s="1"/>
      <c r="E663" s="1"/>
      <c r="F663" s="1"/>
      <c r="G663" s="2"/>
    </row>
    <row r="664" ht="15.75" customHeight="1">
      <c r="A664" s="1"/>
      <c r="B664" s="1"/>
      <c r="C664" s="1"/>
      <c r="D664" s="1"/>
      <c r="E664" s="1"/>
      <c r="F664" s="1"/>
      <c r="G664" s="2"/>
    </row>
    <row r="665" ht="15.75" customHeight="1">
      <c r="A665" s="1"/>
      <c r="B665" s="1"/>
      <c r="C665" s="1"/>
      <c r="D665" s="1"/>
      <c r="E665" s="1"/>
      <c r="F665" s="1"/>
      <c r="G665" s="2"/>
    </row>
    <row r="666" ht="15.75" customHeight="1">
      <c r="A666" s="1"/>
      <c r="B666" s="1"/>
      <c r="C666" s="1"/>
      <c r="D666" s="1"/>
      <c r="E666" s="1"/>
      <c r="F666" s="1"/>
      <c r="G666" s="2"/>
    </row>
    <row r="667" ht="15.75" customHeight="1">
      <c r="A667" s="1"/>
      <c r="B667" s="1"/>
      <c r="C667" s="1"/>
      <c r="D667" s="1"/>
      <c r="E667" s="1"/>
      <c r="F667" s="1"/>
      <c r="G667" s="2"/>
    </row>
    <row r="668" ht="15.75" customHeight="1">
      <c r="A668" s="1"/>
      <c r="B668" s="1"/>
      <c r="C668" s="1"/>
      <c r="D668" s="1"/>
      <c r="E668" s="1"/>
      <c r="F668" s="1"/>
      <c r="G668" s="2"/>
    </row>
    <row r="669" ht="15.75" customHeight="1">
      <c r="A669" s="1"/>
      <c r="B669" s="1"/>
      <c r="C669" s="1"/>
      <c r="D669" s="1"/>
      <c r="E669" s="1"/>
      <c r="F669" s="1"/>
      <c r="G669" s="2"/>
    </row>
    <row r="670" ht="15.75" customHeight="1">
      <c r="A670" s="1"/>
      <c r="B670" s="1"/>
      <c r="C670" s="1"/>
      <c r="D670" s="1"/>
      <c r="E670" s="1"/>
      <c r="F670" s="1"/>
      <c r="G670" s="2"/>
    </row>
    <row r="671" ht="15.75" customHeight="1">
      <c r="A671" s="1"/>
      <c r="B671" s="1"/>
      <c r="C671" s="1"/>
      <c r="D671" s="1"/>
      <c r="E671" s="1"/>
      <c r="F671" s="1"/>
      <c r="G671" s="2"/>
    </row>
    <row r="672" ht="15.75" customHeight="1">
      <c r="A672" s="1"/>
      <c r="B672" s="1"/>
      <c r="C672" s="1"/>
      <c r="D672" s="1"/>
      <c r="E672" s="1"/>
      <c r="F672" s="1"/>
      <c r="G672" s="2"/>
    </row>
    <row r="673" ht="15.75" customHeight="1">
      <c r="A673" s="1"/>
      <c r="B673" s="1"/>
      <c r="C673" s="1"/>
      <c r="D673" s="1"/>
      <c r="E673" s="1"/>
      <c r="F673" s="1"/>
      <c r="G673" s="2"/>
    </row>
    <row r="674" ht="15.75" customHeight="1">
      <c r="A674" s="1"/>
      <c r="B674" s="1"/>
      <c r="C674" s="1"/>
      <c r="D674" s="1"/>
      <c r="E674" s="1"/>
      <c r="F674" s="1"/>
      <c r="G674" s="2"/>
    </row>
    <row r="675" ht="15.75" customHeight="1">
      <c r="A675" s="1"/>
      <c r="B675" s="1"/>
      <c r="C675" s="1"/>
      <c r="D675" s="1"/>
      <c r="E675" s="1"/>
      <c r="F675" s="1"/>
      <c r="G675" s="2"/>
    </row>
    <row r="676" ht="15.75" customHeight="1">
      <c r="A676" s="1"/>
      <c r="B676" s="1"/>
      <c r="C676" s="1"/>
      <c r="D676" s="1"/>
      <c r="E676" s="1"/>
      <c r="F676" s="1"/>
      <c r="G676" s="2"/>
    </row>
    <row r="677" ht="15.75" customHeight="1">
      <c r="A677" s="1"/>
      <c r="B677" s="1"/>
      <c r="C677" s="1"/>
      <c r="D677" s="1"/>
      <c r="E677" s="1"/>
      <c r="F677" s="1"/>
      <c r="G677" s="2"/>
    </row>
    <row r="678" ht="15.75" customHeight="1">
      <c r="A678" s="1"/>
      <c r="B678" s="1"/>
      <c r="C678" s="1"/>
      <c r="D678" s="1"/>
      <c r="E678" s="1"/>
      <c r="F678" s="1"/>
      <c r="G678" s="2"/>
    </row>
    <row r="679" ht="15.75" customHeight="1">
      <c r="A679" s="1"/>
      <c r="B679" s="1"/>
      <c r="C679" s="1"/>
      <c r="D679" s="1"/>
      <c r="E679" s="1"/>
      <c r="F679" s="1"/>
      <c r="G679" s="2"/>
    </row>
    <row r="680" ht="15.75" customHeight="1">
      <c r="A680" s="1"/>
      <c r="B680" s="1"/>
      <c r="C680" s="1"/>
      <c r="D680" s="1"/>
      <c r="E680" s="1"/>
      <c r="F680" s="1"/>
      <c r="G680" s="2"/>
    </row>
    <row r="681" ht="15.75" customHeight="1">
      <c r="A681" s="1"/>
      <c r="B681" s="1"/>
      <c r="C681" s="1"/>
      <c r="D681" s="1"/>
      <c r="E681" s="1"/>
      <c r="F681" s="1"/>
      <c r="G681" s="2"/>
    </row>
    <row r="682" ht="15.75" customHeight="1">
      <c r="A682" s="1"/>
      <c r="B682" s="1"/>
      <c r="C682" s="1"/>
      <c r="D682" s="1"/>
      <c r="E682" s="1"/>
      <c r="F682" s="1"/>
      <c r="G682" s="2"/>
    </row>
    <row r="683" ht="15.75" customHeight="1">
      <c r="A683" s="1"/>
      <c r="B683" s="1"/>
      <c r="C683" s="1"/>
      <c r="D683" s="1"/>
      <c r="E683" s="1"/>
      <c r="F683" s="1"/>
      <c r="G683" s="2"/>
    </row>
    <row r="684" ht="15.75" customHeight="1">
      <c r="A684" s="1"/>
      <c r="B684" s="1"/>
      <c r="C684" s="1"/>
      <c r="D684" s="1"/>
      <c r="E684" s="1"/>
      <c r="F684" s="1"/>
      <c r="G684" s="2"/>
    </row>
    <row r="685" ht="15.75" customHeight="1">
      <c r="A685" s="1"/>
      <c r="B685" s="1"/>
      <c r="C685" s="1"/>
      <c r="D685" s="1"/>
      <c r="E685" s="1"/>
      <c r="F685" s="1"/>
      <c r="G685" s="2"/>
    </row>
    <row r="686" ht="15.75" customHeight="1">
      <c r="A686" s="1"/>
      <c r="B686" s="1"/>
      <c r="C686" s="1"/>
      <c r="D686" s="1"/>
      <c r="E686" s="1"/>
      <c r="F686" s="1"/>
      <c r="G686" s="2"/>
    </row>
    <row r="687" ht="15.75" customHeight="1">
      <c r="A687" s="1"/>
      <c r="B687" s="1"/>
      <c r="C687" s="1"/>
      <c r="D687" s="1"/>
      <c r="E687" s="1"/>
      <c r="F687" s="1"/>
      <c r="G687" s="2"/>
    </row>
    <row r="688" ht="15.75" customHeight="1">
      <c r="A688" s="1"/>
      <c r="B688" s="1"/>
      <c r="C688" s="1"/>
      <c r="D688" s="1"/>
      <c r="E688" s="1"/>
      <c r="F688" s="1"/>
      <c r="G688" s="2"/>
    </row>
    <row r="689" ht="15.75" customHeight="1">
      <c r="A689" s="1"/>
      <c r="B689" s="1"/>
      <c r="C689" s="1"/>
      <c r="D689" s="1"/>
      <c r="E689" s="1"/>
      <c r="F689" s="1"/>
      <c r="G689" s="2"/>
    </row>
    <row r="690" ht="15.75" customHeight="1">
      <c r="A690" s="1"/>
      <c r="B690" s="1"/>
      <c r="C690" s="1"/>
      <c r="D690" s="1"/>
      <c r="E690" s="1"/>
      <c r="F690" s="1"/>
      <c r="G690" s="2"/>
    </row>
    <row r="691" ht="15.75" customHeight="1">
      <c r="A691" s="1"/>
      <c r="B691" s="1"/>
      <c r="C691" s="1"/>
      <c r="D691" s="1"/>
      <c r="E691" s="1"/>
      <c r="F691" s="1"/>
      <c r="G691" s="2"/>
    </row>
    <row r="692" ht="15.75" customHeight="1">
      <c r="A692" s="1"/>
      <c r="B692" s="1"/>
      <c r="C692" s="1"/>
      <c r="D692" s="1"/>
      <c r="E692" s="1"/>
      <c r="F692" s="1"/>
      <c r="G692" s="2"/>
    </row>
    <row r="693" ht="15.75" customHeight="1">
      <c r="A693" s="1"/>
      <c r="B693" s="1"/>
      <c r="C693" s="1"/>
      <c r="D693" s="1"/>
      <c r="E693" s="1"/>
      <c r="F693" s="1"/>
      <c r="G693" s="2"/>
    </row>
    <row r="694" ht="15.75" customHeight="1">
      <c r="A694" s="1"/>
      <c r="B694" s="1"/>
      <c r="C694" s="1"/>
      <c r="D694" s="1"/>
      <c r="E694" s="1"/>
      <c r="F694" s="1"/>
      <c r="G694" s="2"/>
    </row>
    <row r="695" ht="15.75" customHeight="1">
      <c r="A695" s="1"/>
      <c r="B695" s="1"/>
      <c r="C695" s="1"/>
      <c r="D695" s="1"/>
      <c r="E695" s="1"/>
      <c r="F695" s="1"/>
      <c r="G695" s="2"/>
    </row>
    <row r="696" ht="15.75" customHeight="1">
      <c r="A696" s="1"/>
      <c r="B696" s="1"/>
      <c r="C696" s="1"/>
      <c r="D696" s="1"/>
      <c r="E696" s="1"/>
      <c r="F696" s="1"/>
      <c r="G696" s="2"/>
    </row>
    <row r="697" ht="15.75" customHeight="1">
      <c r="A697" s="1"/>
      <c r="B697" s="1"/>
      <c r="C697" s="1"/>
      <c r="D697" s="1"/>
      <c r="E697" s="1"/>
      <c r="F697" s="1"/>
      <c r="G697" s="2"/>
    </row>
    <row r="698" ht="15.75" customHeight="1">
      <c r="A698" s="1"/>
      <c r="B698" s="1"/>
      <c r="C698" s="1"/>
      <c r="D698" s="1"/>
      <c r="E698" s="1"/>
      <c r="F698" s="1"/>
      <c r="G698" s="2"/>
    </row>
    <row r="699" ht="15.75" customHeight="1">
      <c r="A699" s="1"/>
      <c r="B699" s="1"/>
      <c r="C699" s="1"/>
      <c r="D699" s="1"/>
      <c r="E699" s="1"/>
      <c r="F699" s="1"/>
      <c r="G699" s="2"/>
    </row>
    <row r="700" ht="15.75" customHeight="1">
      <c r="A700" s="1"/>
      <c r="B700" s="1"/>
      <c r="C700" s="1"/>
      <c r="D700" s="1"/>
      <c r="E700" s="1"/>
      <c r="F700" s="1"/>
      <c r="G700" s="2"/>
    </row>
    <row r="701" ht="15.75" customHeight="1">
      <c r="A701" s="1"/>
      <c r="B701" s="1"/>
      <c r="C701" s="1"/>
      <c r="D701" s="1"/>
      <c r="E701" s="1"/>
      <c r="F701" s="1"/>
      <c r="G701" s="2"/>
    </row>
    <row r="702" ht="15.75" customHeight="1">
      <c r="A702" s="1"/>
      <c r="B702" s="1"/>
      <c r="C702" s="1"/>
      <c r="D702" s="1"/>
      <c r="E702" s="1"/>
      <c r="F702" s="1"/>
      <c r="G702" s="2"/>
    </row>
    <row r="703" ht="15.75" customHeight="1">
      <c r="A703" s="1"/>
      <c r="B703" s="1"/>
      <c r="C703" s="1"/>
      <c r="D703" s="1"/>
      <c r="E703" s="1"/>
      <c r="F703" s="1"/>
      <c r="G703" s="2"/>
    </row>
    <row r="704" ht="15.75" customHeight="1">
      <c r="A704" s="1"/>
      <c r="B704" s="1"/>
      <c r="C704" s="1"/>
      <c r="D704" s="1"/>
      <c r="E704" s="1"/>
      <c r="F704" s="1"/>
      <c r="G704" s="2"/>
    </row>
    <row r="705" ht="15.75" customHeight="1">
      <c r="A705" s="1"/>
      <c r="B705" s="1"/>
      <c r="C705" s="1"/>
      <c r="D705" s="1"/>
      <c r="E705" s="1"/>
      <c r="F705" s="1"/>
      <c r="G705" s="2"/>
    </row>
    <row r="706" ht="15.75" customHeight="1">
      <c r="A706" s="1"/>
      <c r="B706" s="1"/>
      <c r="C706" s="1"/>
      <c r="D706" s="1"/>
      <c r="E706" s="1"/>
      <c r="F706" s="1"/>
      <c r="G706" s="2"/>
    </row>
    <row r="707" ht="15.75" customHeight="1">
      <c r="A707" s="1"/>
      <c r="B707" s="1"/>
      <c r="C707" s="1"/>
      <c r="D707" s="1"/>
      <c r="E707" s="1"/>
      <c r="F707" s="1"/>
      <c r="G707" s="2"/>
    </row>
    <row r="708" ht="15.75" customHeight="1">
      <c r="A708" s="1"/>
      <c r="B708" s="1"/>
      <c r="C708" s="1"/>
      <c r="D708" s="1"/>
      <c r="E708" s="1"/>
      <c r="F708" s="1"/>
      <c r="G708" s="2"/>
    </row>
    <row r="709" ht="15.75" customHeight="1">
      <c r="A709" s="1"/>
      <c r="B709" s="1"/>
      <c r="C709" s="1"/>
      <c r="D709" s="1"/>
      <c r="E709" s="1"/>
      <c r="F709" s="1"/>
      <c r="G709" s="2"/>
    </row>
    <row r="710" ht="15.75" customHeight="1">
      <c r="A710" s="1"/>
      <c r="B710" s="1"/>
      <c r="C710" s="1"/>
      <c r="D710" s="1"/>
      <c r="E710" s="1"/>
      <c r="F710" s="1"/>
      <c r="G710" s="2"/>
    </row>
    <row r="711" ht="15.75" customHeight="1">
      <c r="A711" s="1"/>
      <c r="B711" s="1"/>
      <c r="C711" s="1"/>
      <c r="D711" s="1"/>
      <c r="E711" s="1"/>
      <c r="F711" s="1"/>
      <c r="G711" s="2"/>
    </row>
    <row r="712" ht="15.75" customHeight="1">
      <c r="A712" s="1"/>
      <c r="B712" s="1"/>
      <c r="C712" s="1"/>
      <c r="D712" s="1"/>
      <c r="E712" s="1"/>
      <c r="F712" s="1"/>
      <c r="G712" s="2"/>
    </row>
    <row r="713" ht="15.75" customHeight="1">
      <c r="A713" s="1"/>
      <c r="B713" s="1"/>
      <c r="C713" s="1"/>
      <c r="D713" s="1"/>
      <c r="E713" s="1"/>
      <c r="F713" s="1"/>
      <c r="G713" s="2"/>
    </row>
    <row r="714" ht="15.75" customHeight="1">
      <c r="A714" s="1"/>
      <c r="B714" s="1"/>
      <c r="C714" s="1"/>
      <c r="D714" s="1"/>
      <c r="E714" s="1"/>
      <c r="F714" s="1"/>
      <c r="G714" s="2"/>
    </row>
    <row r="715" ht="15.75" customHeight="1">
      <c r="A715" s="1"/>
      <c r="B715" s="1"/>
      <c r="C715" s="1"/>
      <c r="D715" s="1"/>
      <c r="E715" s="1"/>
      <c r="F715" s="1"/>
      <c r="G715" s="2"/>
    </row>
    <row r="716" ht="15.75" customHeight="1">
      <c r="A716" s="1"/>
      <c r="B716" s="1"/>
      <c r="C716" s="1"/>
      <c r="D716" s="1"/>
      <c r="E716" s="1"/>
      <c r="F716" s="1"/>
      <c r="G716" s="2"/>
    </row>
    <row r="717" ht="15.75" customHeight="1">
      <c r="A717" s="1"/>
      <c r="B717" s="1"/>
      <c r="C717" s="1"/>
      <c r="D717" s="1"/>
      <c r="E717" s="1"/>
      <c r="F717" s="1"/>
      <c r="G717" s="2"/>
    </row>
    <row r="718" ht="15.75" customHeight="1">
      <c r="A718" s="1"/>
      <c r="B718" s="1"/>
      <c r="C718" s="1"/>
      <c r="D718" s="1"/>
      <c r="E718" s="1"/>
      <c r="F718" s="1"/>
      <c r="G718" s="2"/>
    </row>
    <row r="719" ht="15.75" customHeight="1">
      <c r="A719" s="1"/>
      <c r="B719" s="1"/>
      <c r="C719" s="1"/>
      <c r="D719" s="1"/>
      <c r="E719" s="1"/>
      <c r="F719" s="1"/>
      <c r="G719" s="2"/>
    </row>
    <row r="720" ht="15.75" customHeight="1">
      <c r="A720" s="1"/>
      <c r="B720" s="1"/>
      <c r="C720" s="1"/>
      <c r="D720" s="1"/>
      <c r="E720" s="1"/>
      <c r="F720" s="1"/>
      <c r="G720" s="2"/>
    </row>
    <row r="721" ht="15.75" customHeight="1">
      <c r="A721" s="1"/>
      <c r="B721" s="1"/>
      <c r="C721" s="1"/>
      <c r="D721" s="1"/>
      <c r="E721" s="1"/>
      <c r="F721" s="1"/>
      <c r="G721" s="2"/>
    </row>
    <row r="722" ht="15.75" customHeight="1">
      <c r="A722" s="1"/>
      <c r="B722" s="1"/>
      <c r="C722" s="1"/>
      <c r="D722" s="1"/>
      <c r="E722" s="1"/>
      <c r="F722" s="1"/>
      <c r="G722" s="2"/>
    </row>
    <row r="723" ht="15.75" customHeight="1">
      <c r="A723" s="1"/>
      <c r="B723" s="1"/>
      <c r="C723" s="1"/>
      <c r="D723" s="1"/>
      <c r="E723" s="1"/>
      <c r="F723" s="1"/>
      <c r="G723" s="2"/>
    </row>
    <row r="724" ht="15.75" customHeight="1">
      <c r="A724" s="1"/>
      <c r="B724" s="1"/>
      <c r="C724" s="1"/>
      <c r="D724" s="1"/>
      <c r="E724" s="1"/>
      <c r="F724" s="1"/>
      <c r="G724" s="2"/>
    </row>
    <row r="725" ht="15.75" customHeight="1">
      <c r="A725" s="1"/>
      <c r="B725" s="1"/>
      <c r="C725" s="1"/>
      <c r="D725" s="1"/>
      <c r="E725" s="1"/>
      <c r="F725" s="1"/>
      <c r="G725" s="2"/>
    </row>
    <row r="726" ht="15.75" customHeight="1">
      <c r="A726" s="1"/>
      <c r="B726" s="1"/>
      <c r="C726" s="1"/>
      <c r="D726" s="1"/>
      <c r="E726" s="1"/>
      <c r="F726" s="1"/>
      <c r="G726" s="2"/>
    </row>
    <row r="727" ht="15.75" customHeight="1">
      <c r="A727" s="1"/>
      <c r="B727" s="1"/>
      <c r="C727" s="1"/>
      <c r="D727" s="1"/>
      <c r="E727" s="1"/>
      <c r="F727" s="1"/>
      <c r="G727" s="2"/>
    </row>
    <row r="728" ht="15.75" customHeight="1">
      <c r="A728" s="1"/>
      <c r="B728" s="1"/>
      <c r="C728" s="1"/>
      <c r="D728" s="1"/>
      <c r="E728" s="1"/>
      <c r="F728" s="1"/>
      <c r="G728" s="2"/>
    </row>
    <row r="729" ht="15.75" customHeight="1">
      <c r="A729" s="1"/>
      <c r="B729" s="1"/>
      <c r="C729" s="1"/>
      <c r="D729" s="1"/>
      <c r="E729" s="1"/>
      <c r="F729" s="1"/>
      <c r="G729" s="2"/>
    </row>
    <row r="730" ht="15.75" customHeight="1">
      <c r="A730" s="1"/>
      <c r="B730" s="1"/>
      <c r="C730" s="1"/>
      <c r="D730" s="1"/>
      <c r="E730" s="1"/>
      <c r="F730" s="1"/>
      <c r="G730" s="2"/>
    </row>
    <row r="731" ht="15.75" customHeight="1">
      <c r="A731" s="1"/>
      <c r="B731" s="1"/>
      <c r="C731" s="1"/>
      <c r="D731" s="1"/>
      <c r="E731" s="1"/>
      <c r="F731" s="1"/>
      <c r="G731" s="2"/>
    </row>
    <row r="732" ht="15.75" customHeight="1">
      <c r="A732" s="1"/>
      <c r="B732" s="1"/>
      <c r="C732" s="1"/>
      <c r="D732" s="1"/>
      <c r="E732" s="1"/>
      <c r="F732" s="1"/>
      <c r="G732" s="2"/>
    </row>
    <row r="733" ht="15.75" customHeight="1">
      <c r="A733" s="1"/>
      <c r="B733" s="1"/>
      <c r="C733" s="1"/>
      <c r="D733" s="1"/>
      <c r="E733" s="1"/>
      <c r="F733" s="1"/>
      <c r="G733" s="2"/>
    </row>
    <row r="734" ht="15.75" customHeight="1">
      <c r="A734" s="1"/>
      <c r="B734" s="1"/>
      <c r="C734" s="1"/>
      <c r="D734" s="1"/>
      <c r="E734" s="1"/>
      <c r="F734" s="1"/>
      <c r="G734" s="2"/>
    </row>
    <row r="735" ht="15.75" customHeight="1">
      <c r="A735" s="1"/>
      <c r="B735" s="1"/>
      <c r="C735" s="1"/>
      <c r="D735" s="1"/>
      <c r="E735" s="1"/>
      <c r="F735" s="1"/>
      <c r="G735" s="2"/>
    </row>
    <row r="736" ht="15.75" customHeight="1">
      <c r="A736" s="1"/>
      <c r="B736" s="1"/>
      <c r="C736" s="1"/>
      <c r="D736" s="1"/>
      <c r="E736" s="1"/>
      <c r="F736" s="1"/>
      <c r="G736" s="2"/>
    </row>
    <row r="737" ht="15.75" customHeight="1">
      <c r="A737" s="1"/>
      <c r="B737" s="1"/>
      <c r="C737" s="1"/>
      <c r="D737" s="1"/>
      <c r="E737" s="1"/>
      <c r="F737" s="1"/>
      <c r="G737" s="2"/>
    </row>
    <row r="738" ht="15.75" customHeight="1">
      <c r="A738" s="1"/>
      <c r="B738" s="1"/>
      <c r="C738" s="1"/>
      <c r="D738" s="1"/>
      <c r="E738" s="1"/>
      <c r="F738" s="1"/>
      <c r="G738" s="2"/>
    </row>
    <row r="739" ht="15.75" customHeight="1">
      <c r="A739" s="1"/>
      <c r="B739" s="1"/>
      <c r="C739" s="1"/>
      <c r="D739" s="1"/>
      <c r="E739" s="1"/>
      <c r="F739" s="1"/>
      <c r="G739" s="2"/>
    </row>
    <row r="740" ht="15.75" customHeight="1">
      <c r="A740" s="1"/>
      <c r="B740" s="1"/>
      <c r="C740" s="1"/>
      <c r="D740" s="1"/>
      <c r="E740" s="1"/>
      <c r="F740" s="1"/>
      <c r="G740" s="2"/>
    </row>
    <row r="741" ht="15.75" customHeight="1">
      <c r="A741" s="1"/>
      <c r="B741" s="1"/>
      <c r="C741" s="1"/>
      <c r="D741" s="1"/>
      <c r="E741" s="1"/>
      <c r="F741" s="1"/>
      <c r="G741" s="2"/>
    </row>
    <row r="742" ht="15.75" customHeight="1">
      <c r="A742" s="1"/>
      <c r="B742" s="1"/>
      <c r="C742" s="1"/>
      <c r="D742" s="1"/>
      <c r="E742" s="1"/>
      <c r="F742" s="1"/>
      <c r="G742" s="2"/>
    </row>
    <row r="743" ht="15.75" customHeight="1">
      <c r="A743" s="1"/>
      <c r="B743" s="1"/>
      <c r="C743" s="1"/>
      <c r="D743" s="1"/>
      <c r="E743" s="1"/>
      <c r="F743" s="1"/>
      <c r="G743" s="2"/>
    </row>
    <row r="744" ht="15.75" customHeight="1">
      <c r="A744" s="1"/>
      <c r="B744" s="1"/>
      <c r="C744" s="1"/>
      <c r="D744" s="1"/>
      <c r="E744" s="1"/>
      <c r="F744" s="1"/>
      <c r="G744" s="2"/>
    </row>
    <row r="745" ht="15.75" customHeight="1">
      <c r="A745" s="1"/>
      <c r="B745" s="1"/>
      <c r="C745" s="1"/>
      <c r="D745" s="1"/>
      <c r="E745" s="1"/>
      <c r="F745" s="1"/>
      <c r="G745" s="2"/>
    </row>
    <row r="746" ht="15.75" customHeight="1">
      <c r="A746" s="1"/>
      <c r="B746" s="1"/>
      <c r="C746" s="1"/>
      <c r="D746" s="1"/>
      <c r="E746" s="1"/>
      <c r="F746" s="1"/>
      <c r="G746" s="2"/>
    </row>
    <row r="747" ht="15.75" customHeight="1">
      <c r="A747" s="1"/>
      <c r="B747" s="1"/>
      <c r="C747" s="1"/>
      <c r="D747" s="1"/>
      <c r="E747" s="1"/>
      <c r="F747" s="1"/>
      <c r="G747" s="2"/>
    </row>
    <row r="748" ht="15.75" customHeight="1">
      <c r="A748" s="1"/>
      <c r="B748" s="1"/>
      <c r="C748" s="1"/>
      <c r="D748" s="1"/>
      <c r="E748" s="1"/>
      <c r="F748" s="1"/>
      <c r="G748" s="2"/>
    </row>
    <row r="749" ht="15.75" customHeight="1">
      <c r="A749" s="1"/>
      <c r="B749" s="1"/>
      <c r="C749" s="1"/>
      <c r="D749" s="1"/>
      <c r="E749" s="1"/>
      <c r="F749" s="1"/>
      <c r="G749" s="2"/>
    </row>
    <row r="750" ht="15.75" customHeight="1">
      <c r="A750" s="1"/>
      <c r="B750" s="1"/>
      <c r="C750" s="1"/>
      <c r="D750" s="1"/>
      <c r="E750" s="1"/>
      <c r="F750" s="1"/>
      <c r="G750" s="2"/>
    </row>
    <row r="751" ht="15.75" customHeight="1">
      <c r="A751" s="1"/>
      <c r="B751" s="1"/>
      <c r="C751" s="1"/>
      <c r="D751" s="1"/>
      <c r="E751" s="1"/>
      <c r="F751" s="1"/>
      <c r="G751" s="2"/>
    </row>
    <row r="752" ht="15.75" customHeight="1">
      <c r="A752" s="1"/>
      <c r="B752" s="1"/>
      <c r="C752" s="1"/>
      <c r="D752" s="1"/>
      <c r="E752" s="1"/>
      <c r="F752" s="1"/>
      <c r="G752" s="2"/>
    </row>
    <row r="753" ht="15.75" customHeight="1">
      <c r="A753" s="1"/>
      <c r="B753" s="1"/>
      <c r="C753" s="1"/>
      <c r="D753" s="1"/>
      <c r="E753" s="1"/>
      <c r="F753" s="1"/>
      <c r="G753" s="2"/>
    </row>
    <row r="754" ht="15.75" customHeight="1">
      <c r="A754" s="1"/>
      <c r="B754" s="1"/>
      <c r="C754" s="1"/>
      <c r="D754" s="1"/>
      <c r="E754" s="1"/>
      <c r="F754" s="1"/>
      <c r="G754" s="2"/>
    </row>
    <row r="755" ht="15.75" customHeight="1">
      <c r="A755" s="1"/>
      <c r="B755" s="1"/>
      <c r="C755" s="1"/>
      <c r="D755" s="1"/>
      <c r="E755" s="1"/>
      <c r="F755" s="1"/>
      <c r="G755" s="2"/>
    </row>
    <row r="756" ht="15.75" customHeight="1">
      <c r="A756" s="1"/>
      <c r="B756" s="1"/>
      <c r="C756" s="1"/>
      <c r="D756" s="1"/>
      <c r="E756" s="1"/>
      <c r="F756" s="1"/>
      <c r="G756" s="2"/>
    </row>
    <row r="757" ht="15.75" customHeight="1">
      <c r="A757" s="1"/>
      <c r="B757" s="1"/>
      <c r="C757" s="1"/>
      <c r="D757" s="1"/>
      <c r="E757" s="1"/>
      <c r="F757" s="1"/>
      <c r="G757" s="2"/>
    </row>
    <row r="758" ht="15.75" customHeight="1">
      <c r="A758" s="1"/>
      <c r="B758" s="1"/>
      <c r="C758" s="1"/>
      <c r="D758" s="1"/>
      <c r="E758" s="1"/>
      <c r="F758" s="1"/>
      <c r="G758" s="2"/>
    </row>
    <row r="759" ht="15.75" customHeight="1">
      <c r="A759" s="1"/>
      <c r="B759" s="1"/>
      <c r="C759" s="1"/>
      <c r="D759" s="1"/>
      <c r="E759" s="1"/>
      <c r="F759" s="1"/>
      <c r="G759" s="2"/>
    </row>
    <row r="760" ht="15.75" customHeight="1">
      <c r="A760" s="1"/>
      <c r="B760" s="1"/>
      <c r="C760" s="1"/>
      <c r="D760" s="1"/>
      <c r="E760" s="1"/>
      <c r="F760" s="1"/>
      <c r="G760" s="2"/>
    </row>
    <row r="761" ht="15.75" customHeight="1">
      <c r="A761" s="1"/>
      <c r="B761" s="1"/>
      <c r="C761" s="1"/>
      <c r="D761" s="1"/>
      <c r="E761" s="1"/>
      <c r="F761" s="1"/>
      <c r="G761" s="2"/>
    </row>
    <row r="762" ht="15.75" customHeight="1">
      <c r="A762" s="1"/>
      <c r="B762" s="1"/>
      <c r="C762" s="1"/>
      <c r="D762" s="1"/>
      <c r="E762" s="1"/>
      <c r="F762" s="1"/>
      <c r="G762" s="2"/>
    </row>
    <row r="763" ht="15.75" customHeight="1">
      <c r="A763" s="1"/>
      <c r="B763" s="1"/>
      <c r="C763" s="1"/>
      <c r="D763" s="1"/>
      <c r="E763" s="1"/>
      <c r="F763" s="1"/>
      <c r="G763" s="2"/>
    </row>
    <row r="764" ht="15.75" customHeight="1">
      <c r="A764" s="1"/>
      <c r="B764" s="1"/>
      <c r="C764" s="1"/>
      <c r="D764" s="1"/>
      <c r="E764" s="1"/>
      <c r="F764" s="1"/>
      <c r="G764" s="2"/>
    </row>
    <row r="765" ht="15.75" customHeight="1">
      <c r="A765" s="1"/>
      <c r="B765" s="1"/>
      <c r="C765" s="1"/>
      <c r="D765" s="1"/>
      <c r="E765" s="1"/>
      <c r="F765" s="1"/>
      <c r="G765" s="2"/>
    </row>
    <row r="766" ht="15.75" customHeight="1">
      <c r="A766" s="1"/>
      <c r="B766" s="1"/>
      <c r="C766" s="1"/>
      <c r="D766" s="1"/>
      <c r="E766" s="1"/>
      <c r="F766" s="1"/>
      <c r="G766" s="2"/>
    </row>
    <row r="767" ht="15.75" customHeight="1">
      <c r="A767" s="1"/>
      <c r="B767" s="1"/>
      <c r="C767" s="1"/>
      <c r="D767" s="1"/>
      <c r="E767" s="1"/>
      <c r="F767" s="1"/>
      <c r="G767" s="2"/>
    </row>
    <row r="768" ht="15.75" customHeight="1">
      <c r="A768" s="1"/>
      <c r="B768" s="1"/>
      <c r="C768" s="1"/>
      <c r="D768" s="1"/>
      <c r="E768" s="1"/>
      <c r="F768" s="1"/>
      <c r="G768" s="2"/>
    </row>
    <row r="769" ht="15.75" customHeight="1">
      <c r="A769" s="1"/>
      <c r="B769" s="1"/>
      <c r="C769" s="1"/>
      <c r="D769" s="1"/>
      <c r="E769" s="1"/>
      <c r="F769" s="1"/>
      <c r="G769" s="2"/>
    </row>
    <row r="770" ht="15.75" customHeight="1">
      <c r="A770" s="1"/>
      <c r="B770" s="1"/>
      <c r="C770" s="1"/>
      <c r="D770" s="1"/>
      <c r="E770" s="1"/>
      <c r="F770" s="1"/>
      <c r="G770" s="2"/>
    </row>
    <row r="771" ht="15.75" customHeight="1">
      <c r="A771" s="1"/>
      <c r="B771" s="1"/>
      <c r="C771" s="1"/>
      <c r="D771" s="1"/>
      <c r="E771" s="1"/>
      <c r="F771" s="1"/>
      <c r="G771" s="2"/>
    </row>
    <row r="772" ht="15.75" customHeight="1">
      <c r="A772" s="1"/>
      <c r="B772" s="1"/>
      <c r="C772" s="1"/>
      <c r="D772" s="1"/>
      <c r="E772" s="1"/>
      <c r="F772" s="1"/>
      <c r="G772" s="2"/>
    </row>
    <row r="773" ht="15.75" customHeight="1">
      <c r="A773" s="1"/>
      <c r="B773" s="1"/>
      <c r="C773" s="1"/>
      <c r="D773" s="1"/>
      <c r="E773" s="1"/>
      <c r="F773" s="1"/>
      <c r="G773" s="2"/>
    </row>
    <row r="774" ht="15.75" customHeight="1">
      <c r="A774" s="1"/>
      <c r="B774" s="1"/>
      <c r="C774" s="1"/>
      <c r="D774" s="1"/>
      <c r="E774" s="1"/>
      <c r="F774" s="1"/>
      <c r="G774" s="2"/>
    </row>
    <row r="775" ht="15.75" customHeight="1">
      <c r="A775" s="1"/>
      <c r="B775" s="1"/>
      <c r="C775" s="1"/>
      <c r="D775" s="1"/>
      <c r="E775" s="1"/>
      <c r="F775" s="1"/>
      <c r="G775" s="2"/>
    </row>
    <row r="776" ht="15.75" customHeight="1">
      <c r="A776" s="1"/>
      <c r="B776" s="1"/>
      <c r="C776" s="1"/>
      <c r="D776" s="1"/>
      <c r="E776" s="1"/>
      <c r="F776" s="1"/>
      <c r="G776" s="2"/>
    </row>
    <row r="777" ht="15.75" customHeight="1">
      <c r="A777" s="1"/>
      <c r="B777" s="1"/>
      <c r="C777" s="1"/>
      <c r="D777" s="1"/>
      <c r="E777" s="1"/>
      <c r="F777" s="1"/>
      <c r="G777" s="2"/>
    </row>
    <row r="778" ht="15.75" customHeight="1">
      <c r="A778" s="1"/>
      <c r="B778" s="1"/>
      <c r="C778" s="1"/>
      <c r="D778" s="1"/>
      <c r="E778" s="1"/>
      <c r="F778" s="1"/>
      <c r="G778" s="2"/>
    </row>
    <row r="779" ht="15.75" customHeight="1">
      <c r="A779" s="1"/>
      <c r="B779" s="1"/>
      <c r="C779" s="1"/>
      <c r="D779" s="1"/>
      <c r="E779" s="1"/>
      <c r="F779" s="1"/>
      <c r="G779" s="2"/>
    </row>
    <row r="780" ht="15.75" customHeight="1">
      <c r="A780" s="1"/>
      <c r="B780" s="1"/>
      <c r="C780" s="1"/>
      <c r="D780" s="1"/>
      <c r="E780" s="1"/>
      <c r="F780" s="1"/>
      <c r="G780" s="2"/>
    </row>
    <row r="781" ht="15.75" customHeight="1">
      <c r="A781" s="1"/>
      <c r="B781" s="1"/>
      <c r="C781" s="1"/>
      <c r="D781" s="1"/>
      <c r="E781" s="1"/>
      <c r="F781" s="1"/>
      <c r="G781" s="2"/>
    </row>
    <row r="782" ht="15.75" customHeight="1">
      <c r="A782" s="1"/>
      <c r="B782" s="1"/>
      <c r="C782" s="1"/>
      <c r="D782" s="1"/>
      <c r="E782" s="1"/>
      <c r="F782" s="1"/>
      <c r="G782" s="2"/>
    </row>
    <row r="783" ht="15.75" customHeight="1">
      <c r="A783" s="1"/>
      <c r="B783" s="1"/>
      <c r="C783" s="1"/>
      <c r="D783" s="1"/>
      <c r="E783" s="1"/>
      <c r="F783" s="1"/>
      <c r="G783" s="2"/>
    </row>
    <row r="784" ht="15.75" customHeight="1">
      <c r="A784" s="1"/>
      <c r="B784" s="1"/>
      <c r="C784" s="1"/>
      <c r="D784" s="1"/>
      <c r="E784" s="1"/>
      <c r="F784" s="1"/>
      <c r="G784" s="2"/>
    </row>
    <row r="785" ht="15.75" customHeight="1">
      <c r="A785" s="1"/>
      <c r="B785" s="1"/>
      <c r="C785" s="1"/>
      <c r="D785" s="1"/>
      <c r="E785" s="1"/>
      <c r="F785" s="1"/>
      <c r="G785" s="2"/>
    </row>
    <row r="786" ht="15.75" customHeight="1">
      <c r="A786" s="1"/>
      <c r="B786" s="1"/>
      <c r="C786" s="1"/>
      <c r="D786" s="1"/>
      <c r="E786" s="1"/>
      <c r="F786" s="1"/>
      <c r="G786" s="2"/>
    </row>
    <row r="787" ht="15.75" customHeight="1">
      <c r="A787" s="1"/>
      <c r="B787" s="1"/>
      <c r="C787" s="1"/>
      <c r="D787" s="1"/>
      <c r="E787" s="1"/>
      <c r="F787" s="1"/>
      <c r="G787" s="2"/>
    </row>
    <row r="788" ht="15.75" customHeight="1">
      <c r="A788" s="1"/>
      <c r="B788" s="1"/>
      <c r="C788" s="1"/>
      <c r="D788" s="1"/>
      <c r="E788" s="1"/>
      <c r="F788" s="1"/>
      <c r="G788" s="2"/>
    </row>
    <row r="789" ht="15.75" customHeight="1">
      <c r="A789" s="1"/>
      <c r="B789" s="1"/>
      <c r="C789" s="1"/>
      <c r="D789" s="1"/>
      <c r="E789" s="1"/>
      <c r="F789" s="1"/>
      <c r="G789" s="2"/>
    </row>
    <row r="790" ht="15.75" customHeight="1">
      <c r="A790" s="1"/>
      <c r="B790" s="1"/>
      <c r="C790" s="1"/>
      <c r="D790" s="1"/>
      <c r="E790" s="1"/>
      <c r="F790" s="1"/>
      <c r="G790" s="2"/>
    </row>
    <row r="791" ht="15.75" customHeight="1">
      <c r="A791" s="1"/>
      <c r="B791" s="1"/>
      <c r="C791" s="1"/>
      <c r="D791" s="1"/>
      <c r="E791" s="1"/>
      <c r="F791" s="1"/>
      <c r="G791" s="2"/>
    </row>
    <row r="792" ht="15.75" customHeight="1">
      <c r="A792" s="1"/>
      <c r="B792" s="1"/>
      <c r="C792" s="1"/>
      <c r="D792" s="1"/>
      <c r="E792" s="1"/>
      <c r="F792" s="1"/>
      <c r="G792" s="2"/>
    </row>
    <row r="793" ht="15.75" customHeight="1">
      <c r="A793" s="1"/>
      <c r="B793" s="1"/>
      <c r="C793" s="1"/>
      <c r="D793" s="1"/>
      <c r="E793" s="1"/>
      <c r="F793" s="1"/>
      <c r="G793" s="2"/>
    </row>
    <row r="794" ht="15.75" customHeight="1">
      <c r="A794" s="1"/>
      <c r="B794" s="1"/>
      <c r="C794" s="1"/>
      <c r="D794" s="1"/>
      <c r="E794" s="1"/>
      <c r="F794" s="1"/>
      <c r="G794" s="2"/>
    </row>
    <row r="795" ht="15.75" customHeight="1">
      <c r="A795" s="1"/>
      <c r="B795" s="1"/>
      <c r="C795" s="1"/>
      <c r="D795" s="1"/>
      <c r="E795" s="1"/>
      <c r="F795" s="1"/>
      <c r="G795" s="2"/>
    </row>
    <row r="796" ht="15.75" customHeight="1">
      <c r="A796" s="1"/>
      <c r="B796" s="1"/>
      <c r="C796" s="1"/>
      <c r="D796" s="1"/>
      <c r="E796" s="1"/>
      <c r="F796" s="1"/>
      <c r="G796" s="2"/>
    </row>
    <row r="797" ht="15.75" customHeight="1">
      <c r="A797" s="1"/>
      <c r="B797" s="1"/>
      <c r="C797" s="1"/>
      <c r="D797" s="1"/>
      <c r="E797" s="1"/>
      <c r="F797" s="1"/>
      <c r="G797" s="2"/>
    </row>
    <row r="798" ht="15.75" customHeight="1">
      <c r="A798" s="1"/>
      <c r="B798" s="1"/>
      <c r="C798" s="1"/>
      <c r="D798" s="1"/>
      <c r="E798" s="1"/>
      <c r="F798" s="1"/>
      <c r="G798" s="2"/>
    </row>
    <row r="799" ht="15.75" customHeight="1">
      <c r="A799" s="1"/>
      <c r="B799" s="1"/>
      <c r="C799" s="1"/>
      <c r="D799" s="1"/>
      <c r="E799" s="1"/>
      <c r="F799" s="1"/>
      <c r="G799" s="2"/>
    </row>
    <row r="800" ht="15.75" customHeight="1">
      <c r="A800" s="1"/>
      <c r="B800" s="1"/>
      <c r="C800" s="1"/>
      <c r="D800" s="1"/>
      <c r="E800" s="1"/>
      <c r="F800" s="1"/>
      <c r="G800" s="2"/>
    </row>
    <row r="801" ht="15.75" customHeight="1">
      <c r="A801" s="1"/>
      <c r="B801" s="1"/>
      <c r="C801" s="1"/>
      <c r="D801" s="1"/>
      <c r="E801" s="1"/>
      <c r="F801" s="1"/>
      <c r="G801" s="2"/>
    </row>
    <row r="802" ht="15.75" customHeight="1">
      <c r="A802" s="1"/>
      <c r="B802" s="1"/>
      <c r="C802" s="1"/>
      <c r="D802" s="1"/>
      <c r="E802" s="1"/>
      <c r="F802" s="1"/>
      <c r="G802" s="2"/>
    </row>
    <row r="803" ht="15.75" customHeight="1">
      <c r="A803" s="1"/>
      <c r="B803" s="1"/>
      <c r="C803" s="1"/>
      <c r="D803" s="1"/>
      <c r="E803" s="1"/>
      <c r="F803" s="1"/>
      <c r="G803" s="2"/>
    </row>
    <row r="804" ht="15.75" customHeight="1">
      <c r="A804" s="1"/>
      <c r="B804" s="1"/>
      <c r="C804" s="1"/>
      <c r="D804" s="1"/>
      <c r="E804" s="1"/>
      <c r="F804" s="1"/>
      <c r="G804" s="2"/>
    </row>
    <row r="805" ht="15.75" customHeight="1">
      <c r="A805" s="1"/>
      <c r="B805" s="1"/>
      <c r="C805" s="1"/>
      <c r="D805" s="1"/>
      <c r="E805" s="1"/>
      <c r="F805" s="1"/>
      <c r="G805" s="2"/>
    </row>
    <row r="806" ht="15.75" customHeight="1">
      <c r="A806" s="1"/>
      <c r="B806" s="1"/>
      <c r="C806" s="1"/>
      <c r="D806" s="1"/>
      <c r="E806" s="1"/>
      <c r="F806" s="1"/>
      <c r="G806" s="2"/>
    </row>
    <row r="807" ht="15.75" customHeight="1">
      <c r="A807" s="1"/>
      <c r="B807" s="1"/>
      <c r="C807" s="1"/>
      <c r="D807" s="1"/>
      <c r="E807" s="1"/>
      <c r="F807" s="1"/>
      <c r="G807" s="2"/>
    </row>
    <row r="808" ht="15.75" customHeight="1">
      <c r="A808" s="1"/>
      <c r="B808" s="1"/>
      <c r="C808" s="1"/>
      <c r="D808" s="1"/>
      <c r="E808" s="1"/>
      <c r="F808" s="1"/>
      <c r="G808" s="2"/>
    </row>
    <row r="809" ht="15.75" customHeight="1">
      <c r="A809" s="1"/>
      <c r="B809" s="1"/>
      <c r="C809" s="1"/>
      <c r="D809" s="1"/>
      <c r="E809" s="1"/>
      <c r="F809" s="1"/>
      <c r="G809" s="2"/>
    </row>
    <row r="810" ht="15.75" customHeight="1">
      <c r="A810" s="1"/>
      <c r="B810" s="1"/>
      <c r="C810" s="1"/>
      <c r="D810" s="1"/>
      <c r="E810" s="1"/>
      <c r="F810" s="1"/>
      <c r="G810" s="2"/>
    </row>
    <row r="811" ht="15.75" customHeight="1">
      <c r="A811" s="1"/>
      <c r="B811" s="1"/>
      <c r="C811" s="1"/>
      <c r="D811" s="1"/>
      <c r="E811" s="1"/>
      <c r="F811" s="1"/>
      <c r="G811" s="2"/>
    </row>
    <row r="812" ht="15.75" customHeight="1">
      <c r="A812" s="1"/>
      <c r="B812" s="1"/>
      <c r="C812" s="1"/>
      <c r="D812" s="1"/>
      <c r="E812" s="1"/>
      <c r="F812" s="1"/>
      <c r="G812" s="2"/>
    </row>
    <row r="813" ht="15.75" customHeight="1">
      <c r="A813" s="1"/>
      <c r="B813" s="1"/>
      <c r="C813" s="1"/>
      <c r="D813" s="1"/>
      <c r="E813" s="1"/>
      <c r="F813" s="1"/>
      <c r="G813" s="2"/>
    </row>
    <row r="814" ht="15.75" customHeight="1">
      <c r="A814" s="1"/>
      <c r="B814" s="1"/>
      <c r="C814" s="1"/>
      <c r="D814" s="1"/>
      <c r="E814" s="1"/>
      <c r="F814" s="1"/>
      <c r="G814" s="2"/>
    </row>
    <row r="815" ht="15.75" customHeight="1">
      <c r="A815" s="1"/>
      <c r="B815" s="1"/>
      <c r="C815" s="1"/>
      <c r="D815" s="1"/>
      <c r="E815" s="1"/>
      <c r="F815" s="1"/>
      <c r="G815" s="2"/>
    </row>
    <row r="816" ht="15.75" customHeight="1">
      <c r="A816" s="1"/>
      <c r="B816" s="1"/>
      <c r="C816" s="1"/>
      <c r="D816" s="1"/>
      <c r="E816" s="1"/>
      <c r="F816" s="1"/>
      <c r="G816" s="2"/>
    </row>
    <row r="817" ht="15.75" customHeight="1">
      <c r="A817" s="1"/>
      <c r="B817" s="1"/>
      <c r="C817" s="1"/>
      <c r="D817" s="1"/>
      <c r="E817" s="1"/>
      <c r="F817" s="1"/>
      <c r="G817" s="2"/>
    </row>
    <row r="818" ht="15.75" customHeight="1">
      <c r="A818" s="1"/>
      <c r="B818" s="1"/>
      <c r="C818" s="1"/>
      <c r="D818" s="1"/>
      <c r="E818" s="1"/>
      <c r="F818" s="1"/>
      <c r="G818" s="2"/>
    </row>
    <row r="819" ht="15.75" customHeight="1">
      <c r="A819" s="1"/>
      <c r="B819" s="1"/>
      <c r="C819" s="1"/>
      <c r="D819" s="1"/>
      <c r="E819" s="1"/>
      <c r="F819" s="1"/>
      <c r="G819" s="2"/>
    </row>
    <row r="820" ht="15.75" customHeight="1">
      <c r="A820" s="1"/>
      <c r="B820" s="1"/>
      <c r="C820" s="1"/>
      <c r="D820" s="1"/>
      <c r="E820" s="1"/>
      <c r="F820" s="1"/>
      <c r="G820" s="2"/>
    </row>
    <row r="821" ht="15.75" customHeight="1">
      <c r="A821" s="1"/>
      <c r="B821" s="1"/>
      <c r="C821" s="1"/>
      <c r="D821" s="1"/>
      <c r="E821" s="1"/>
      <c r="F821" s="1"/>
      <c r="G821" s="2"/>
    </row>
    <row r="822" ht="15.75" customHeight="1">
      <c r="A822" s="1"/>
      <c r="B822" s="1"/>
      <c r="C822" s="1"/>
      <c r="D822" s="1"/>
      <c r="E822" s="1"/>
      <c r="F822" s="1"/>
      <c r="G822" s="2"/>
    </row>
    <row r="823" ht="15.75" customHeight="1">
      <c r="A823" s="1"/>
      <c r="B823" s="1"/>
      <c r="C823" s="1"/>
      <c r="D823" s="1"/>
      <c r="E823" s="1"/>
      <c r="F823" s="1"/>
      <c r="G823" s="2"/>
    </row>
    <row r="824" ht="15.75" customHeight="1">
      <c r="A824" s="1"/>
      <c r="B824" s="1"/>
      <c r="C824" s="1"/>
      <c r="D824" s="1"/>
      <c r="E824" s="1"/>
      <c r="F824" s="1"/>
      <c r="G824" s="2"/>
    </row>
    <row r="825" ht="15.75" customHeight="1">
      <c r="A825" s="1"/>
      <c r="B825" s="1"/>
      <c r="C825" s="1"/>
      <c r="D825" s="1"/>
      <c r="E825" s="1"/>
      <c r="F825" s="1"/>
      <c r="G825" s="2"/>
    </row>
    <row r="826" ht="15.75" customHeight="1">
      <c r="A826" s="1"/>
      <c r="B826" s="1"/>
      <c r="C826" s="1"/>
      <c r="D826" s="1"/>
      <c r="E826" s="1"/>
      <c r="F826" s="1"/>
      <c r="G826" s="2"/>
    </row>
    <row r="827" ht="15.75" customHeight="1">
      <c r="A827" s="1"/>
      <c r="B827" s="1"/>
      <c r="C827" s="1"/>
      <c r="D827" s="1"/>
      <c r="E827" s="1"/>
      <c r="F827" s="1"/>
      <c r="G827" s="2"/>
    </row>
    <row r="828" ht="15.75" customHeight="1">
      <c r="A828" s="1"/>
      <c r="B828" s="1"/>
      <c r="C828" s="1"/>
      <c r="D828" s="1"/>
      <c r="E828" s="1"/>
      <c r="F828" s="1"/>
      <c r="G828" s="2"/>
    </row>
    <row r="829" ht="15.75" customHeight="1">
      <c r="A829" s="1"/>
      <c r="B829" s="1"/>
      <c r="C829" s="1"/>
      <c r="D829" s="1"/>
      <c r="E829" s="1"/>
      <c r="F829" s="1"/>
      <c r="G829" s="2"/>
    </row>
    <row r="830" ht="15.75" customHeight="1">
      <c r="A830" s="1"/>
      <c r="B830" s="1"/>
      <c r="C830" s="1"/>
      <c r="D830" s="1"/>
      <c r="E830" s="1"/>
      <c r="F830" s="1"/>
      <c r="G830" s="2"/>
    </row>
    <row r="831" ht="15.75" customHeight="1">
      <c r="A831" s="1"/>
      <c r="B831" s="1"/>
      <c r="C831" s="1"/>
      <c r="D831" s="1"/>
      <c r="E831" s="1"/>
      <c r="F831" s="1"/>
      <c r="G831" s="2"/>
    </row>
    <row r="832" ht="15.75" customHeight="1">
      <c r="A832" s="1"/>
      <c r="B832" s="1"/>
      <c r="C832" s="1"/>
      <c r="D832" s="1"/>
      <c r="E832" s="1"/>
      <c r="F832" s="1"/>
      <c r="G832" s="2"/>
    </row>
    <row r="833" ht="15.75" customHeight="1">
      <c r="A833" s="1"/>
      <c r="B833" s="1"/>
      <c r="C833" s="1"/>
      <c r="D833" s="1"/>
      <c r="E833" s="1"/>
      <c r="F833" s="1"/>
      <c r="G833" s="2"/>
    </row>
    <row r="834" ht="15.75" customHeight="1">
      <c r="A834" s="1"/>
      <c r="B834" s="1"/>
      <c r="C834" s="1"/>
      <c r="D834" s="1"/>
      <c r="E834" s="1"/>
      <c r="F834" s="1"/>
      <c r="G834" s="2"/>
    </row>
    <row r="835" ht="15.75" customHeight="1">
      <c r="A835" s="1"/>
      <c r="B835" s="1"/>
      <c r="C835" s="1"/>
      <c r="D835" s="1"/>
      <c r="E835" s="1"/>
      <c r="F835" s="1"/>
      <c r="G835" s="2"/>
    </row>
    <row r="836" ht="15.75" customHeight="1">
      <c r="A836" s="1"/>
      <c r="B836" s="1"/>
      <c r="C836" s="1"/>
      <c r="D836" s="1"/>
      <c r="E836" s="1"/>
      <c r="F836" s="1"/>
      <c r="G836" s="2"/>
    </row>
    <row r="837" ht="15.75" customHeight="1">
      <c r="A837" s="1"/>
      <c r="B837" s="1"/>
      <c r="C837" s="1"/>
      <c r="D837" s="1"/>
      <c r="E837" s="1"/>
      <c r="F837" s="1"/>
      <c r="G837" s="2"/>
    </row>
    <row r="838" ht="15.75" customHeight="1">
      <c r="A838" s="1"/>
      <c r="B838" s="1"/>
      <c r="C838" s="1"/>
      <c r="D838" s="1"/>
      <c r="E838" s="1"/>
      <c r="F838" s="1"/>
      <c r="G838" s="2"/>
    </row>
    <row r="839" ht="15.75" customHeight="1">
      <c r="A839" s="1"/>
      <c r="B839" s="1"/>
      <c r="C839" s="1"/>
      <c r="D839" s="1"/>
      <c r="E839" s="1"/>
      <c r="F839" s="1"/>
      <c r="G839" s="2"/>
    </row>
    <row r="840" ht="15.75" customHeight="1">
      <c r="A840" s="1"/>
      <c r="B840" s="1"/>
      <c r="C840" s="1"/>
      <c r="D840" s="1"/>
      <c r="E840" s="1"/>
      <c r="F840" s="1"/>
      <c r="G840" s="2"/>
    </row>
    <row r="841" ht="15.75" customHeight="1">
      <c r="A841" s="1"/>
      <c r="B841" s="1"/>
      <c r="C841" s="1"/>
      <c r="D841" s="1"/>
      <c r="E841" s="1"/>
      <c r="F841" s="1"/>
      <c r="G841" s="2"/>
    </row>
    <row r="842" ht="15.75" customHeight="1">
      <c r="A842" s="1"/>
      <c r="B842" s="1"/>
      <c r="C842" s="1"/>
      <c r="D842" s="1"/>
      <c r="E842" s="1"/>
      <c r="F842" s="1"/>
      <c r="G842" s="2"/>
    </row>
    <row r="843" ht="15.75" customHeight="1">
      <c r="A843" s="1"/>
      <c r="B843" s="1"/>
      <c r="C843" s="1"/>
      <c r="D843" s="1"/>
      <c r="E843" s="1"/>
      <c r="F843" s="1"/>
      <c r="G843" s="2"/>
    </row>
    <row r="844" ht="15.75" customHeight="1">
      <c r="A844" s="1"/>
      <c r="B844" s="1"/>
      <c r="C844" s="1"/>
      <c r="D844" s="1"/>
      <c r="E844" s="1"/>
      <c r="F844" s="1"/>
      <c r="G844" s="2"/>
    </row>
    <row r="845" ht="15.75" customHeight="1">
      <c r="A845" s="1"/>
      <c r="B845" s="1"/>
      <c r="C845" s="1"/>
      <c r="D845" s="1"/>
      <c r="E845" s="1"/>
      <c r="F845" s="1"/>
      <c r="G845" s="2"/>
    </row>
    <row r="846" ht="15.75" customHeight="1">
      <c r="A846" s="1"/>
      <c r="B846" s="1"/>
      <c r="C846" s="1"/>
      <c r="D846" s="1"/>
      <c r="E846" s="1"/>
      <c r="F846" s="1"/>
      <c r="G846" s="2"/>
    </row>
    <row r="847" ht="15.75" customHeight="1">
      <c r="A847" s="1"/>
      <c r="B847" s="1"/>
      <c r="C847" s="1"/>
      <c r="D847" s="1"/>
      <c r="E847" s="1"/>
      <c r="F847" s="1"/>
      <c r="G847" s="2"/>
    </row>
    <row r="848" ht="15.75" customHeight="1">
      <c r="A848" s="1"/>
      <c r="B848" s="1"/>
      <c r="C848" s="1"/>
      <c r="D848" s="1"/>
      <c r="E848" s="1"/>
      <c r="F848" s="1"/>
      <c r="G848" s="2"/>
    </row>
    <row r="849" ht="15.75" customHeight="1">
      <c r="A849" s="1"/>
      <c r="B849" s="1"/>
      <c r="C849" s="1"/>
      <c r="D849" s="1"/>
      <c r="E849" s="1"/>
      <c r="F849" s="1"/>
      <c r="G849" s="2"/>
    </row>
    <row r="850" ht="15.75" customHeight="1">
      <c r="A850" s="1"/>
      <c r="B850" s="1"/>
      <c r="C850" s="1"/>
      <c r="D850" s="1"/>
      <c r="E850" s="1"/>
      <c r="F850" s="1"/>
      <c r="G850" s="2"/>
    </row>
    <row r="851" ht="15.75" customHeight="1">
      <c r="A851" s="1"/>
      <c r="B851" s="1"/>
      <c r="C851" s="1"/>
      <c r="D851" s="1"/>
      <c r="E851" s="1"/>
      <c r="F851" s="1"/>
      <c r="G851" s="2"/>
    </row>
    <row r="852" ht="15.75" customHeight="1">
      <c r="A852" s="1"/>
      <c r="B852" s="1"/>
      <c r="C852" s="1"/>
      <c r="D852" s="1"/>
      <c r="E852" s="1"/>
      <c r="F852" s="1"/>
      <c r="G852" s="2"/>
    </row>
    <row r="853" ht="15.75" customHeight="1">
      <c r="A853" s="1"/>
      <c r="B853" s="1"/>
      <c r="C853" s="1"/>
      <c r="D853" s="1"/>
      <c r="E853" s="1"/>
      <c r="F853" s="1"/>
      <c r="G853" s="2"/>
    </row>
    <row r="854" ht="15.75" customHeight="1">
      <c r="A854" s="1"/>
      <c r="B854" s="1"/>
      <c r="C854" s="1"/>
      <c r="D854" s="1"/>
      <c r="E854" s="1"/>
      <c r="F854" s="1"/>
      <c r="G854" s="2"/>
    </row>
    <row r="855" ht="15.75" customHeight="1">
      <c r="A855" s="1"/>
      <c r="B855" s="1"/>
      <c r="C855" s="1"/>
      <c r="D855" s="1"/>
      <c r="E855" s="1"/>
      <c r="F855" s="1"/>
      <c r="G855" s="2"/>
    </row>
    <row r="856" ht="15.75" customHeight="1">
      <c r="A856" s="1"/>
      <c r="B856" s="1"/>
      <c r="C856" s="1"/>
      <c r="D856" s="1"/>
      <c r="E856" s="1"/>
      <c r="F856" s="1"/>
      <c r="G856" s="2"/>
    </row>
    <row r="857" ht="15.75" customHeight="1">
      <c r="A857" s="1"/>
      <c r="B857" s="1"/>
      <c r="C857" s="1"/>
      <c r="D857" s="1"/>
      <c r="E857" s="1"/>
      <c r="F857" s="1"/>
      <c r="G857" s="2"/>
    </row>
    <row r="858" ht="15.75" customHeight="1">
      <c r="A858" s="1"/>
      <c r="B858" s="1"/>
      <c r="C858" s="1"/>
      <c r="D858" s="1"/>
      <c r="E858" s="1"/>
      <c r="F858" s="1"/>
      <c r="G858" s="2"/>
    </row>
    <row r="859" ht="15.75" customHeight="1">
      <c r="A859" s="1"/>
      <c r="B859" s="1"/>
      <c r="C859" s="1"/>
      <c r="D859" s="1"/>
      <c r="E859" s="1"/>
      <c r="F859" s="1"/>
      <c r="G859" s="2"/>
    </row>
    <row r="860" ht="15.75" customHeight="1">
      <c r="A860" s="1"/>
      <c r="B860" s="1"/>
      <c r="C860" s="1"/>
      <c r="D860" s="1"/>
      <c r="E860" s="1"/>
      <c r="F860" s="1"/>
      <c r="G860" s="2"/>
    </row>
    <row r="861" ht="15.75" customHeight="1">
      <c r="A861" s="1"/>
      <c r="B861" s="1"/>
      <c r="C861" s="1"/>
      <c r="D861" s="1"/>
      <c r="E861" s="1"/>
      <c r="F861" s="1"/>
      <c r="G861" s="2"/>
    </row>
    <row r="862" ht="15.75" customHeight="1">
      <c r="A862" s="1"/>
      <c r="B862" s="1"/>
      <c r="C862" s="1"/>
      <c r="D862" s="1"/>
      <c r="E862" s="1"/>
      <c r="F862" s="1"/>
      <c r="G862" s="2"/>
    </row>
    <row r="863" ht="15.75" customHeight="1">
      <c r="A863" s="1"/>
      <c r="B863" s="1"/>
      <c r="C863" s="1"/>
      <c r="D863" s="1"/>
      <c r="E863" s="1"/>
      <c r="F863" s="1"/>
      <c r="G863" s="2"/>
    </row>
    <row r="864" ht="15.75" customHeight="1">
      <c r="A864" s="1"/>
      <c r="B864" s="1"/>
      <c r="C864" s="1"/>
      <c r="D864" s="1"/>
      <c r="E864" s="1"/>
      <c r="F864" s="1"/>
      <c r="G864" s="2"/>
    </row>
    <row r="865" ht="15.75" customHeight="1">
      <c r="A865" s="1"/>
      <c r="B865" s="1"/>
      <c r="C865" s="1"/>
      <c r="D865" s="1"/>
      <c r="E865" s="1"/>
      <c r="F865" s="1"/>
      <c r="G865" s="2"/>
    </row>
    <row r="866" ht="15.75" customHeight="1">
      <c r="A866" s="1"/>
      <c r="B866" s="1"/>
      <c r="C866" s="1"/>
      <c r="D866" s="1"/>
      <c r="E866" s="1"/>
      <c r="F866" s="1"/>
      <c r="G866" s="2"/>
    </row>
    <row r="867" ht="15.75" customHeight="1">
      <c r="A867" s="1"/>
      <c r="B867" s="1"/>
      <c r="C867" s="1"/>
      <c r="D867" s="1"/>
      <c r="E867" s="1"/>
      <c r="F867" s="1"/>
      <c r="G867" s="2"/>
    </row>
    <row r="868" ht="15.75" customHeight="1">
      <c r="A868" s="1"/>
      <c r="B868" s="1"/>
      <c r="C868" s="1"/>
      <c r="D868" s="1"/>
      <c r="E868" s="1"/>
      <c r="F868" s="1"/>
      <c r="G868" s="2"/>
    </row>
    <row r="869" ht="15.75" customHeight="1">
      <c r="A869" s="1"/>
      <c r="B869" s="1"/>
      <c r="C869" s="1"/>
      <c r="D869" s="1"/>
      <c r="E869" s="1"/>
      <c r="F869" s="1"/>
      <c r="G869" s="2"/>
    </row>
    <row r="870" ht="15.75" customHeight="1">
      <c r="A870" s="1"/>
      <c r="B870" s="1"/>
      <c r="C870" s="1"/>
      <c r="D870" s="1"/>
      <c r="E870" s="1"/>
      <c r="F870" s="1"/>
      <c r="G870" s="2"/>
    </row>
    <row r="871" ht="15.75" customHeight="1">
      <c r="A871" s="1"/>
      <c r="B871" s="1"/>
      <c r="C871" s="1"/>
      <c r="D871" s="1"/>
      <c r="E871" s="1"/>
      <c r="F871" s="1"/>
      <c r="G871" s="2"/>
    </row>
    <row r="872" ht="15.75" customHeight="1">
      <c r="A872" s="1"/>
      <c r="B872" s="1"/>
      <c r="C872" s="1"/>
      <c r="D872" s="1"/>
      <c r="E872" s="1"/>
      <c r="F872" s="1"/>
      <c r="G872" s="2"/>
    </row>
    <row r="873" ht="15.75" customHeight="1">
      <c r="A873" s="1"/>
      <c r="B873" s="1"/>
      <c r="C873" s="1"/>
      <c r="D873" s="1"/>
      <c r="E873" s="1"/>
      <c r="F873" s="1"/>
      <c r="G873" s="2"/>
    </row>
    <row r="874" ht="15.75" customHeight="1">
      <c r="A874" s="1"/>
      <c r="B874" s="1"/>
      <c r="C874" s="1"/>
      <c r="D874" s="1"/>
      <c r="E874" s="1"/>
      <c r="F874" s="1"/>
      <c r="G874" s="2"/>
    </row>
    <row r="875" ht="15.75" customHeight="1">
      <c r="A875" s="1"/>
      <c r="B875" s="1"/>
      <c r="C875" s="1"/>
      <c r="D875" s="1"/>
      <c r="E875" s="1"/>
      <c r="F875" s="1"/>
      <c r="G875" s="2"/>
    </row>
    <row r="876" ht="15.75" customHeight="1">
      <c r="A876" s="1"/>
      <c r="B876" s="1"/>
      <c r="C876" s="1"/>
      <c r="D876" s="1"/>
      <c r="E876" s="1"/>
      <c r="F876" s="1"/>
      <c r="G876" s="2"/>
    </row>
    <row r="877" ht="15.75" customHeight="1">
      <c r="A877" s="1"/>
      <c r="B877" s="1"/>
      <c r="C877" s="1"/>
      <c r="D877" s="1"/>
      <c r="E877" s="1"/>
      <c r="F877" s="1"/>
      <c r="G877" s="2"/>
    </row>
    <row r="878" ht="15.75" customHeight="1">
      <c r="A878" s="1"/>
      <c r="B878" s="1"/>
      <c r="C878" s="1"/>
      <c r="D878" s="1"/>
      <c r="E878" s="1"/>
      <c r="F878" s="1"/>
      <c r="G878" s="2"/>
    </row>
    <row r="879" ht="15.75" customHeight="1">
      <c r="A879" s="1"/>
      <c r="B879" s="1"/>
      <c r="C879" s="1"/>
      <c r="D879" s="1"/>
      <c r="E879" s="1"/>
      <c r="F879" s="1"/>
      <c r="G879" s="2"/>
    </row>
    <row r="880" ht="15.75" customHeight="1">
      <c r="A880" s="1"/>
      <c r="B880" s="1"/>
      <c r="C880" s="1"/>
      <c r="D880" s="1"/>
      <c r="E880" s="1"/>
      <c r="F880" s="1"/>
      <c r="G880" s="2"/>
    </row>
    <row r="881" ht="15.75" customHeight="1">
      <c r="A881" s="1"/>
      <c r="B881" s="1"/>
      <c r="C881" s="1"/>
      <c r="D881" s="1"/>
      <c r="E881" s="1"/>
      <c r="F881" s="1"/>
      <c r="G881" s="2"/>
    </row>
    <row r="882" ht="15.75" customHeight="1">
      <c r="A882" s="1"/>
      <c r="B882" s="1"/>
      <c r="C882" s="1"/>
      <c r="D882" s="1"/>
      <c r="E882" s="1"/>
      <c r="F882" s="1"/>
      <c r="G882" s="2"/>
    </row>
    <row r="883" ht="15.75" customHeight="1">
      <c r="A883" s="1"/>
      <c r="B883" s="1"/>
      <c r="C883" s="1"/>
      <c r="D883" s="1"/>
      <c r="E883" s="1"/>
      <c r="F883" s="1"/>
      <c r="G883" s="2"/>
    </row>
    <row r="884" ht="15.75" customHeight="1">
      <c r="A884" s="1"/>
      <c r="B884" s="1"/>
      <c r="C884" s="1"/>
      <c r="D884" s="1"/>
      <c r="E884" s="1"/>
      <c r="F884" s="1"/>
      <c r="G884" s="2"/>
    </row>
    <row r="885" ht="15.75" customHeight="1">
      <c r="A885" s="1"/>
      <c r="B885" s="1"/>
      <c r="C885" s="1"/>
      <c r="D885" s="1"/>
      <c r="E885" s="1"/>
      <c r="F885" s="1"/>
      <c r="G885" s="2"/>
    </row>
    <row r="886" ht="15.75" customHeight="1">
      <c r="A886" s="1"/>
      <c r="B886" s="1"/>
      <c r="C886" s="1"/>
      <c r="D886" s="1"/>
      <c r="E886" s="1"/>
      <c r="F886" s="1"/>
      <c r="G886" s="2"/>
    </row>
    <row r="887" ht="15.75" customHeight="1">
      <c r="A887" s="1"/>
      <c r="B887" s="1"/>
      <c r="C887" s="1"/>
      <c r="D887" s="1"/>
      <c r="E887" s="1"/>
      <c r="F887" s="1"/>
      <c r="G887" s="2"/>
    </row>
    <row r="888" ht="15.75" customHeight="1">
      <c r="A888" s="1"/>
      <c r="B888" s="1"/>
      <c r="C888" s="1"/>
      <c r="D888" s="1"/>
      <c r="E888" s="1"/>
      <c r="F888" s="1"/>
      <c r="G888" s="2"/>
    </row>
    <row r="889" ht="15.75" customHeight="1">
      <c r="A889" s="1"/>
      <c r="B889" s="1"/>
      <c r="C889" s="1"/>
      <c r="D889" s="1"/>
      <c r="E889" s="1"/>
      <c r="F889" s="1"/>
      <c r="G889" s="2"/>
    </row>
    <row r="890" ht="15.75" customHeight="1">
      <c r="A890" s="1"/>
      <c r="B890" s="1"/>
      <c r="C890" s="1"/>
      <c r="D890" s="1"/>
      <c r="E890" s="1"/>
      <c r="F890" s="1"/>
      <c r="G890" s="2"/>
    </row>
    <row r="891" ht="15.75" customHeight="1">
      <c r="A891" s="1"/>
      <c r="B891" s="1"/>
      <c r="C891" s="1"/>
      <c r="D891" s="1"/>
      <c r="E891" s="1"/>
      <c r="F891" s="1"/>
      <c r="G891" s="2"/>
    </row>
    <row r="892" ht="15.75" customHeight="1">
      <c r="A892" s="1"/>
      <c r="B892" s="1"/>
      <c r="C892" s="1"/>
      <c r="D892" s="1"/>
      <c r="E892" s="1"/>
      <c r="F892" s="1"/>
      <c r="G892" s="2"/>
    </row>
    <row r="893" ht="15.75" customHeight="1">
      <c r="A893" s="1"/>
      <c r="B893" s="1"/>
      <c r="C893" s="1"/>
      <c r="D893" s="1"/>
      <c r="E893" s="1"/>
      <c r="F893" s="1"/>
      <c r="G893" s="2"/>
    </row>
    <row r="894" ht="15.75" customHeight="1">
      <c r="A894" s="1"/>
      <c r="B894" s="1"/>
      <c r="C894" s="1"/>
      <c r="D894" s="1"/>
      <c r="E894" s="1"/>
      <c r="F894" s="1"/>
      <c r="G894" s="2"/>
    </row>
    <row r="895" ht="15.75" customHeight="1">
      <c r="A895" s="1"/>
      <c r="B895" s="1"/>
      <c r="C895" s="1"/>
      <c r="D895" s="1"/>
      <c r="E895" s="1"/>
      <c r="F895" s="1"/>
      <c r="G895" s="2"/>
    </row>
    <row r="896" ht="15.75" customHeight="1">
      <c r="A896" s="1"/>
      <c r="B896" s="1"/>
      <c r="C896" s="1"/>
      <c r="D896" s="1"/>
      <c r="E896" s="1"/>
      <c r="F896" s="1"/>
      <c r="G896" s="2"/>
    </row>
    <row r="897" ht="15.75" customHeight="1">
      <c r="A897" s="1"/>
      <c r="B897" s="1"/>
      <c r="C897" s="1"/>
      <c r="D897" s="1"/>
      <c r="E897" s="1"/>
      <c r="F897" s="1"/>
      <c r="G897" s="2"/>
    </row>
    <row r="898" ht="15.75" customHeight="1">
      <c r="A898" s="1"/>
      <c r="B898" s="1"/>
      <c r="C898" s="1"/>
      <c r="D898" s="1"/>
      <c r="E898" s="1"/>
      <c r="F898" s="1"/>
      <c r="G898" s="2"/>
    </row>
    <row r="899" ht="15.75" customHeight="1">
      <c r="A899" s="1"/>
      <c r="B899" s="1"/>
      <c r="C899" s="1"/>
      <c r="D899" s="1"/>
      <c r="E899" s="1"/>
      <c r="F899" s="1"/>
      <c r="G899" s="2"/>
    </row>
    <row r="900" ht="15.75" customHeight="1">
      <c r="A900" s="1"/>
      <c r="B900" s="1"/>
      <c r="C900" s="1"/>
      <c r="D900" s="1"/>
      <c r="E900" s="1"/>
      <c r="F900" s="1"/>
      <c r="G900" s="2"/>
    </row>
    <row r="901" ht="15.75" customHeight="1">
      <c r="A901" s="1"/>
      <c r="B901" s="1"/>
      <c r="C901" s="1"/>
      <c r="D901" s="1"/>
      <c r="E901" s="1"/>
      <c r="F901" s="1"/>
      <c r="G901" s="2"/>
    </row>
    <row r="902" ht="15.75" customHeight="1">
      <c r="A902" s="1"/>
      <c r="B902" s="1"/>
      <c r="C902" s="1"/>
      <c r="D902" s="1"/>
      <c r="E902" s="1"/>
      <c r="F902" s="1"/>
      <c r="G902" s="2"/>
    </row>
    <row r="903" ht="15.75" customHeight="1">
      <c r="A903" s="1"/>
      <c r="B903" s="1"/>
      <c r="C903" s="1"/>
      <c r="D903" s="1"/>
      <c r="E903" s="1"/>
      <c r="F903" s="1"/>
      <c r="G903" s="2"/>
    </row>
    <row r="904" ht="15.75" customHeight="1">
      <c r="A904" s="1"/>
      <c r="B904" s="1"/>
      <c r="C904" s="1"/>
      <c r="D904" s="1"/>
      <c r="E904" s="1"/>
      <c r="F904" s="1"/>
      <c r="G904" s="2"/>
    </row>
    <row r="905" ht="15.75" customHeight="1">
      <c r="A905" s="1"/>
      <c r="B905" s="1"/>
      <c r="C905" s="1"/>
      <c r="D905" s="1"/>
      <c r="E905" s="1"/>
      <c r="F905" s="1"/>
      <c r="G905" s="2"/>
    </row>
    <row r="906" ht="15.75" customHeight="1">
      <c r="A906" s="1"/>
      <c r="B906" s="1"/>
      <c r="C906" s="1"/>
      <c r="D906" s="1"/>
      <c r="E906" s="1"/>
      <c r="F906" s="1"/>
      <c r="G906" s="2"/>
    </row>
    <row r="907" ht="15.75" customHeight="1">
      <c r="A907" s="1"/>
      <c r="B907" s="1"/>
      <c r="C907" s="1"/>
      <c r="D907" s="1"/>
      <c r="E907" s="1"/>
      <c r="F907" s="1"/>
      <c r="G907" s="2"/>
    </row>
    <row r="908" ht="15.75" customHeight="1">
      <c r="A908" s="1"/>
      <c r="B908" s="1"/>
      <c r="C908" s="1"/>
      <c r="D908" s="1"/>
      <c r="E908" s="1"/>
      <c r="F908" s="1"/>
      <c r="G908" s="2"/>
    </row>
    <row r="909" ht="15.75" customHeight="1">
      <c r="A909" s="1"/>
      <c r="B909" s="1"/>
      <c r="C909" s="1"/>
      <c r="D909" s="1"/>
      <c r="E909" s="1"/>
      <c r="F909" s="1"/>
      <c r="G909" s="2"/>
    </row>
    <row r="910" ht="15.75" customHeight="1">
      <c r="A910" s="1"/>
      <c r="B910" s="1"/>
      <c r="C910" s="1"/>
      <c r="D910" s="1"/>
      <c r="E910" s="1"/>
      <c r="F910" s="1"/>
      <c r="G910" s="2"/>
    </row>
    <row r="911" ht="15.75" customHeight="1">
      <c r="A911" s="1"/>
      <c r="B911" s="1"/>
      <c r="C911" s="1"/>
      <c r="D911" s="1"/>
      <c r="E911" s="1"/>
      <c r="F911" s="1"/>
      <c r="G911" s="2"/>
    </row>
    <row r="912" ht="15.75" customHeight="1">
      <c r="A912" s="1"/>
      <c r="B912" s="1"/>
      <c r="C912" s="1"/>
      <c r="D912" s="1"/>
      <c r="E912" s="1"/>
      <c r="F912" s="1"/>
      <c r="G912" s="2"/>
    </row>
    <row r="913" ht="15.75" customHeight="1">
      <c r="A913" s="1"/>
      <c r="B913" s="1"/>
      <c r="C913" s="1"/>
      <c r="D913" s="1"/>
      <c r="E913" s="1"/>
      <c r="F913" s="1"/>
      <c r="G913" s="2"/>
    </row>
    <row r="914" ht="15.75" customHeight="1">
      <c r="A914" s="1"/>
      <c r="B914" s="1"/>
      <c r="C914" s="1"/>
      <c r="D914" s="1"/>
      <c r="E914" s="1"/>
      <c r="F914" s="1"/>
      <c r="G914" s="2"/>
    </row>
    <row r="915" ht="15.75" customHeight="1">
      <c r="A915" s="1"/>
      <c r="B915" s="1"/>
      <c r="C915" s="1"/>
      <c r="D915" s="1"/>
      <c r="E915" s="1"/>
      <c r="F915" s="1"/>
      <c r="G915" s="2"/>
    </row>
    <row r="916" ht="15.75" customHeight="1">
      <c r="A916" s="1"/>
      <c r="B916" s="1"/>
      <c r="C916" s="1"/>
      <c r="D916" s="1"/>
      <c r="E916" s="1"/>
      <c r="F916" s="1"/>
      <c r="G916" s="2"/>
    </row>
    <row r="917" ht="15.75" customHeight="1">
      <c r="A917" s="1"/>
      <c r="B917" s="1"/>
      <c r="C917" s="1"/>
      <c r="D917" s="1"/>
      <c r="E917" s="1"/>
      <c r="F917" s="1"/>
      <c r="G917" s="2"/>
    </row>
    <row r="918" ht="15.75" customHeight="1">
      <c r="A918" s="1"/>
      <c r="B918" s="1"/>
      <c r="C918" s="1"/>
      <c r="D918" s="1"/>
      <c r="E918" s="1"/>
      <c r="F918" s="1"/>
      <c r="G918" s="2"/>
    </row>
    <row r="919" ht="15.75" customHeight="1">
      <c r="A919" s="1"/>
      <c r="B919" s="1"/>
      <c r="C919" s="1"/>
      <c r="D919" s="1"/>
      <c r="E919" s="1"/>
      <c r="F919" s="1"/>
      <c r="G919" s="2"/>
    </row>
    <row r="920" ht="15.75" customHeight="1">
      <c r="A920" s="1"/>
      <c r="B920" s="1"/>
      <c r="C920" s="1"/>
      <c r="D920" s="1"/>
      <c r="E920" s="1"/>
      <c r="F920" s="1"/>
      <c r="G920" s="2"/>
    </row>
    <row r="921" ht="15.75" customHeight="1">
      <c r="A921" s="1"/>
      <c r="B921" s="1"/>
      <c r="C921" s="1"/>
      <c r="D921" s="1"/>
      <c r="E921" s="1"/>
      <c r="F921" s="1"/>
      <c r="G921" s="2"/>
    </row>
    <row r="922" ht="15.75" customHeight="1">
      <c r="A922" s="1"/>
      <c r="B922" s="1"/>
      <c r="C922" s="1"/>
      <c r="D922" s="1"/>
      <c r="E922" s="1"/>
      <c r="F922" s="1"/>
      <c r="G922" s="2"/>
    </row>
    <row r="923" ht="15.75" customHeight="1">
      <c r="A923" s="1"/>
      <c r="B923" s="1"/>
      <c r="C923" s="1"/>
      <c r="D923" s="1"/>
      <c r="E923" s="1"/>
      <c r="F923" s="1"/>
      <c r="G923" s="2"/>
    </row>
    <row r="924" ht="15.75" customHeight="1">
      <c r="A924" s="1"/>
      <c r="B924" s="1"/>
      <c r="C924" s="1"/>
      <c r="D924" s="1"/>
      <c r="E924" s="1"/>
      <c r="F924" s="1"/>
      <c r="G924" s="2"/>
    </row>
    <row r="925" ht="15.75" customHeight="1">
      <c r="A925" s="1"/>
      <c r="B925" s="1"/>
      <c r="C925" s="1"/>
      <c r="D925" s="1"/>
      <c r="E925" s="1"/>
      <c r="F925" s="1"/>
      <c r="G925" s="2"/>
    </row>
    <row r="926" ht="15.75" customHeight="1">
      <c r="A926" s="1"/>
      <c r="B926" s="1"/>
      <c r="C926" s="1"/>
      <c r="D926" s="1"/>
      <c r="E926" s="1"/>
      <c r="F926" s="1"/>
      <c r="G926" s="2"/>
    </row>
    <row r="927" ht="15.75" customHeight="1">
      <c r="A927" s="1"/>
      <c r="B927" s="1"/>
      <c r="C927" s="1"/>
      <c r="D927" s="1"/>
      <c r="E927" s="1"/>
      <c r="F927" s="1"/>
      <c r="G927" s="2"/>
    </row>
    <row r="928" ht="15.75" customHeight="1">
      <c r="A928" s="1"/>
      <c r="B928" s="1"/>
      <c r="C928" s="1"/>
      <c r="D928" s="1"/>
      <c r="E928" s="1"/>
      <c r="F928" s="1"/>
      <c r="G928" s="2"/>
    </row>
    <row r="929" ht="15.75" customHeight="1">
      <c r="A929" s="1"/>
      <c r="B929" s="1"/>
      <c r="C929" s="1"/>
      <c r="D929" s="1"/>
      <c r="E929" s="1"/>
      <c r="F929" s="1"/>
      <c r="G929" s="2"/>
    </row>
    <row r="930" ht="15.75" customHeight="1">
      <c r="A930" s="1"/>
      <c r="B930" s="1"/>
      <c r="C930" s="1"/>
      <c r="D930" s="1"/>
      <c r="E930" s="1"/>
      <c r="F930" s="1"/>
      <c r="G930" s="2"/>
    </row>
    <row r="931" ht="15.75" customHeight="1">
      <c r="A931" s="1"/>
      <c r="B931" s="1"/>
      <c r="C931" s="1"/>
      <c r="D931" s="1"/>
      <c r="E931" s="1"/>
      <c r="F931" s="1"/>
      <c r="G931" s="2"/>
    </row>
    <row r="932" ht="15.75" customHeight="1">
      <c r="A932" s="1"/>
      <c r="B932" s="1"/>
      <c r="C932" s="1"/>
      <c r="D932" s="1"/>
      <c r="E932" s="1"/>
      <c r="F932" s="1"/>
      <c r="G932" s="2"/>
    </row>
    <row r="933" ht="15.75" customHeight="1">
      <c r="A933" s="1"/>
      <c r="B933" s="1"/>
      <c r="C933" s="1"/>
      <c r="D933" s="1"/>
      <c r="E933" s="1"/>
      <c r="F933" s="1"/>
      <c r="G933" s="2"/>
    </row>
    <row r="934" ht="15.75" customHeight="1">
      <c r="A934" s="1"/>
      <c r="B934" s="1"/>
      <c r="C934" s="1"/>
      <c r="D934" s="1"/>
      <c r="E934" s="1"/>
      <c r="F934" s="1"/>
      <c r="G934" s="2"/>
    </row>
    <row r="935" ht="15.75" customHeight="1">
      <c r="A935" s="1"/>
      <c r="B935" s="1"/>
      <c r="C935" s="1"/>
      <c r="D935" s="1"/>
      <c r="E935" s="1"/>
      <c r="F935" s="1"/>
      <c r="G935" s="2"/>
    </row>
    <row r="936" ht="15.75" customHeight="1">
      <c r="A936" s="1"/>
      <c r="B936" s="1"/>
      <c r="C936" s="1"/>
      <c r="D936" s="1"/>
      <c r="E936" s="1"/>
      <c r="F936" s="1"/>
      <c r="G936" s="2"/>
    </row>
    <row r="937" ht="15.75" customHeight="1">
      <c r="A937" s="1"/>
      <c r="B937" s="1"/>
      <c r="C937" s="1"/>
      <c r="D937" s="1"/>
      <c r="E937" s="1"/>
      <c r="F937" s="1"/>
      <c r="G937" s="2"/>
    </row>
    <row r="938" ht="15.75" customHeight="1">
      <c r="A938" s="1"/>
      <c r="B938" s="1"/>
      <c r="C938" s="1"/>
      <c r="D938" s="1"/>
      <c r="E938" s="1"/>
      <c r="F938" s="1"/>
      <c r="G938" s="2"/>
    </row>
    <row r="939" ht="15.75" customHeight="1">
      <c r="A939" s="1"/>
      <c r="B939" s="1"/>
      <c r="C939" s="1"/>
      <c r="D939" s="1"/>
      <c r="E939" s="1"/>
      <c r="F939" s="1"/>
      <c r="G939" s="2"/>
    </row>
    <row r="940" ht="15.75" customHeight="1">
      <c r="A940" s="1"/>
      <c r="B940" s="1"/>
      <c r="C940" s="1"/>
      <c r="D940" s="1"/>
      <c r="E940" s="1"/>
      <c r="F940" s="1"/>
      <c r="G940" s="2"/>
    </row>
    <row r="941" ht="15.75" customHeight="1">
      <c r="A941" s="1"/>
      <c r="B941" s="1"/>
      <c r="C941" s="1"/>
      <c r="D941" s="1"/>
      <c r="E941" s="1"/>
      <c r="F941" s="1"/>
      <c r="G941" s="2"/>
    </row>
    <row r="942" ht="15.75" customHeight="1">
      <c r="A942" s="1"/>
      <c r="B942" s="1"/>
      <c r="C942" s="1"/>
      <c r="D942" s="1"/>
      <c r="E942" s="1"/>
      <c r="F942" s="1"/>
      <c r="G942" s="2"/>
    </row>
    <row r="943" ht="15.75" customHeight="1">
      <c r="A943" s="1"/>
      <c r="B943" s="1"/>
      <c r="C943" s="1"/>
      <c r="D943" s="1"/>
      <c r="E943" s="1"/>
      <c r="F943" s="1"/>
      <c r="G943" s="2"/>
    </row>
    <row r="944" ht="15.75" customHeight="1">
      <c r="A944" s="1"/>
      <c r="B944" s="1"/>
      <c r="C944" s="1"/>
      <c r="D944" s="1"/>
      <c r="E944" s="1"/>
      <c r="F944" s="1"/>
      <c r="G944" s="2"/>
    </row>
    <row r="945" ht="15.75" customHeight="1">
      <c r="A945" s="1"/>
      <c r="B945" s="1"/>
      <c r="C945" s="1"/>
      <c r="D945" s="1"/>
      <c r="E945" s="1"/>
      <c r="F945" s="1"/>
      <c r="G945" s="2"/>
    </row>
    <row r="946" ht="15.75" customHeight="1">
      <c r="A946" s="1"/>
      <c r="B946" s="1"/>
      <c r="C946" s="1"/>
      <c r="D946" s="1"/>
      <c r="E946" s="1"/>
      <c r="F946" s="1"/>
      <c r="G946" s="2"/>
    </row>
    <row r="947" ht="15.75" customHeight="1">
      <c r="A947" s="1"/>
      <c r="B947" s="1"/>
      <c r="C947" s="1"/>
      <c r="D947" s="1"/>
      <c r="E947" s="1"/>
      <c r="F947" s="1"/>
      <c r="G947" s="2"/>
    </row>
    <row r="948" ht="15.75" customHeight="1">
      <c r="A948" s="1"/>
      <c r="B948" s="1"/>
      <c r="C948" s="1"/>
      <c r="D948" s="1"/>
      <c r="E948" s="1"/>
      <c r="F948" s="1"/>
      <c r="G948" s="2"/>
    </row>
    <row r="949" ht="15.75" customHeight="1">
      <c r="A949" s="1"/>
      <c r="B949" s="1"/>
      <c r="C949" s="1"/>
      <c r="D949" s="1"/>
      <c r="E949" s="1"/>
      <c r="F949" s="1"/>
      <c r="G949" s="2"/>
    </row>
    <row r="950" ht="15.75" customHeight="1">
      <c r="A950" s="1"/>
      <c r="B950" s="1"/>
      <c r="C950" s="1"/>
      <c r="D950" s="1"/>
      <c r="E950" s="1"/>
      <c r="F950" s="1"/>
      <c r="G950" s="2"/>
    </row>
    <row r="951" ht="15.75" customHeight="1">
      <c r="A951" s="1"/>
      <c r="B951" s="1"/>
      <c r="C951" s="1"/>
      <c r="D951" s="1"/>
      <c r="E951" s="1"/>
      <c r="F951" s="1"/>
      <c r="G951" s="2"/>
    </row>
    <row r="952" ht="15.75" customHeight="1">
      <c r="A952" s="1"/>
      <c r="B952" s="1"/>
      <c r="C952" s="1"/>
      <c r="D952" s="1"/>
      <c r="E952" s="1"/>
      <c r="F952" s="1"/>
      <c r="G952" s="2"/>
    </row>
    <row r="953" ht="15.75" customHeight="1">
      <c r="A953" s="1"/>
      <c r="B953" s="1"/>
      <c r="C953" s="1"/>
      <c r="D953" s="1"/>
      <c r="E953" s="1"/>
      <c r="F953" s="1"/>
      <c r="G953" s="2"/>
    </row>
    <row r="954" ht="15.75" customHeight="1">
      <c r="A954" s="1"/>
      <c r="B954" s="1"/>
      <c r="C954" s="1"/>
      <c r="D954" s="1"/>
      <c r="E954" s="1"/>
      <c r="F954" s="1"/>
      <c r="G954" s="2"/>
    </row>
    <row r="955" ht="15.75" customHeight="1">
      <c r="A955" s="1"/>
      <c r="B955" s="1"/>
      <c r="C955" s="1"/>
      <c r="D955" s="1"/>
      <c r="E955" s="1"/>
      <c r="F955" s="1"/>
      <c r="G955" s="2"/>
    </row>
    <row r="956" ht="15.75" customHeight="1">
      <c r="A956" s="1"/>
      <c r="B956" s="1"/>
      <c r="C956" s="1"/>
      <c r="D956" s="1"/>
      <c r="E956" s="1"/>
      <c r="F956" s="1"/>
      <c r="G956" s="2"/>
    </row>
    <row r="957" ht="15.75" customHeight="1">
      <c r="A957" s="1"/>
      <c r="B957" s="1"/>
      <c r="C957" s="1"/>
      <c r="D957" s="1"/>
      <c r="E957" s="1"/>
      <c r="F957" s="1"/>
      <c r="G957" s="2"/>
    </row>
    <row r="958" ht="15.75" customHeight="1">
      <c r="A958" s="1"/>
      <c r="B958" s="1"/>
      <c r="C958" s="1"/>
      <c r="D958" s="1"/>
      <c r="E958" s="1"/>
      <c r="F958" s="1"/>
      <c r="G958" s="2"/>
    </row>
    <row r="959" ht="15.75" customHeight="1">
      <c r="A959" s="1"/>
      <c r="B959" s="1"/>
      <c r="C959" s="1"/>
      <c r="D959" s="1"/>
      <c r="E959" s="1"/>
      <c r="F959" s="1"/>
      <c r="G959" s="2"/>
    </row>
    <row r="960" ht="15.75" customHeight="1">
      <c r="A960" s="1"/>
      <c r="B960" s="1"/>
      <c r="C960" s="1"/>
      <c r="D960" s="1"/>
      <c r="E960" s="1"/>
      <c r="F960" s="1"/>
      <c r="G960" s="2"/>
    </row>
    <row r="961" ht="15.75" customHeight="1">
      <c r="A961" s="1"/>
      <c r="B961" s="1"/>
      <c r="C961" s="1"/>
      <c r="D961" s="1"/>
      <c r="E961" s="1"/>
      <c r="F961" s="1"/>
      <c r="G961" s="2"/>
    </row>
    <row r="962" ht="15.75" customHeight="1">
      <c r="A962" s="1"/>
      <c r="B962" s="1"/>
      <c r="C962" s="1"/>
      <c r="D962" s="1"/>
      <c r="E962" s="1"/>
      <c r="F962" s="1"/>
      <c r="G962" s="2"/>
    </row>
    <row r="963" ht="15.75" customHeight="1">
      <c r="A963" s="1"/>
      <c r="B963" s="1"/>
      <c r="C963" s="1"/>
      <c r="D963" s="1"/>
      <c r="E963" s="1"/>
      <c r="F963" s="1"/>
      <c r="G963" s="2"/>
    </row>
    <row r="964" ht="15.75" customHeight="1">
      <c r="A964" s="1"/>
      <c r="B964" s="1"/>
      <c r="C964" s="1"/>
      <c r="D964" s="1"/>
      <c r="E964" s="1"/>
      <c r="F964" s="1"/>
      <c r="G964" s="2"/>
    </row>
    <row r="965" ht="15.75" customHeight="1">
      <c r="A965" s="1"/>
      <c r="B965" s="1"/>
      <c r="C965" s="1"/>
      <c r="D965" s="1"/>
      <c r="E965" s="1"/>
      <c r="F965" s="1"/>
      <c r="G965" s="2"/>
    </row>
    <row r="966" ht="15.75" customHeight="1">
      <c r="A966" s="1"/>
      <c r="B966" s="1"/>
      <c r="C966" s="1"/>
      <c r="D966" s="1"/>
      <c r="E966" s="1"/>
      <c r="F966" s="1"/>
      <c r="G966" s="2"/>
    </row>
    <row r="967" ht="15.75" customHeight="1">
      <c r="A967" s="1"/>
      <c r="B967" s="1"/>
      <c r="C967" s="1"/>
      <c r="D967" s="1"/>
      <c r="E967" s="1"/>
      <c r="F967" s="1"/>
      <c r="G967" s="2"/>
    </row>
    <row r="968" ht="15.75" customHeight="1">
      <c r="A968" s="1"/>
      <c r="B968" s="1"/>
      <c r="C968" s="1"/>
      <c r="D968" s="1"/>
      <c r="E968" s="1"/>
      <c r="F968" s="1"/>
      <c r="G968" s="2"/>
    </row>
    <row r="969" ht="15.75" customHeight="1">
      <c r="A969" s="1"/>
      <c r="B969" s="1"/>
      <c r="C969" s="1"/>
      <c r="D969" s="1"/>
      <c r="E969" s="1"/>
      <c r="F969" s="1"/>
      <c r="G969" s="2"/>
    </row>
    <row r="970" ht="15.75" customHeight="1">
      <c r="A970" s="1"/>
      <c r="B970" s="1"/>
      <c r="C970" s="1"/>
      <c r="D970" s="1"/>
      <c r="E970" s="1"/>
      <c r="F970" s="1"/>
      <c r="G970" s="2"/>
    </row>
    <row r="971" ht="15.75" customHeight="1">
      <c r="A971" s="1"/>
      <c r="B971" s="1"/>
      <c r="C971" s="1"/>
      <c r="D971" s="1"/>
      <c r="E971" s="1"/>
      <c r="F971" s="1"/>
      <c r="G971" s="2"/>
    </row>
    <row r="972" ht="15.75" customHeight="1">
      <c r="A972" s="1"/>
      <c r="B972" s="1"/>
      <c r="C972" s="1"/>
      <c r="D972" s="1"/>
      <c r="E972" s="1"/>
      <c r="F972" s="1"/>
      <c r="G972" s="2"/>
    </row>
    <row r="973" ht="15.75" customHeight="1">
      <c r="A973" s="1"/>
      <c r="B973" s="1"/>
      <c r="C973" s="1"/>
      <c r="D973" s="1"/>
      <c r="E973" s="1"/>
      <c r="F973" s="1"/>
      <c r="G973" s="2"/>
    </row>
    <row r="974" ht="15.75" customHeight="1">
      <c r="A974" s="1"/>
      <c r="B974" s="1"/>
      <c r="C974" s="1"/>
      <c r="D974" s="1"/>
      <c r="E974" s="1"/>
      <c r="F974" s="1"/>
      <c r="G974" s="2"/>
    </row>
    <row r="975" ht="15.75" customHeight="1">
      <c r="A975" s="1"/>
      <c r="B975" s="1"/>
      <c r="C975" s="1"/>
      <c r="D975" s="1"/>
      <c r="E975" s="1"/>
      <c r="F975" s="1"/>
      <c r="G975" s="2"/>
    </row>
    <row r="976" ht="15.75" customHeight="1">
      <c r="A976" s="1"/>
      <c r="B976" s="1"/>
      <c r="C976" s="1"/>
      <c r="D976" s="1"/>
      <c r="E976" s="1"/>
      <c r="F976" s="1"/>
      <c r="G976" s="2"/>
    </row>
    <row r="977" ht="15.75" customHeight="1">
      <c r="A977" s="1"/>
      <c r="B977" s="1"/>
      <c r="C977" s="1"/>
      <c r="D977" s="1"/>
      <c r="E977" s="1"/>
      <c r="F977" s="1"/>
      <c r="G977" s="2"/>
    </row>
    <row r="978" ht="15.75" customHeight="1">
      <c r="A978" s="1"/>
      <c r="B978" s="1"/>
      <c r="C978" s="1"/>
      <c r="D978" s="1"/>
      <c r="E978" s="1"/>
      <c r="F978" s="1"/>
      <c r="G978" s="2"/>
    </row>
    <row r="979" ht="15.75" customHeight="1">
      <c r="A979" s="1"/>
      <c r="B979" s="1"/>
      <c r="C979" s="1"/>
      <c r="D979" s="1"/>
      <c r="E979" s="1"/>
      <c r="F979" s="1"/>
      <c r="G979" s="2"/>
    </row>
    <row r="980" ht="15.75" customHeight="1">
      <c r="A980" s="1"/>
      <c r="B980" s="1"/>
      <c r="C980" s="1"/>
      <c r="D980" s="1"/>
      <c r="E980" s="1"/>
      <c r="F980" s="1"/>
      <c r="G980" s="2"/>
    </row>
    <row r="981" ht="15.75" customHeight="1">
      <c r="A981" s="1"/>
      <c r="B981" s="1"/>
      <c r="C981" s="1"/>
      <c r="D981" s="1"/>
      <c r="E981" s="1"/>
      <c r="F981" s="1"/>
      <c r="G981" s="2"/>
    </row>
    <row r="982" ht="15.75" customHeight="1">
      <c r="A982" s="1"/>
      <c r="B982" s="1"/>
      <c r="C982" s="1"/>
      <c r="D982" s="1"/>
      <c r="E982" s="1"/>
      <c r="F982" s="1"/>
      <c r="G982" s="2"/>
    </row>
    <row r="983" ht="15.75" customHeight="1">
      <c r="A983" s="1"/>
      <c r="B983" s="1"/>
      <c r="C983" s="1"/>
      <c r="D983" s="1"/>
      <c r="E983" s="1"/>
      <c r="F983" s="1"/>
      <c r="G983" s="2"/>
    </row>
    <row r="984" ht="15.75" customHeight="1">
      <c r="A984" s="1"/>
      <c r="B984" s="1"/>
      <c r="C984" s="1"/>
      <c r="D984" s="1"/>
      <c r="E984" s="1"/>
      <c r="F984" s="1"/>
      <c r="G984" s="2"/>
    </row>
    <row r="985" ht="15.75" customHeight="1">
      <c r="A985" s="1"/>
      <c r="B985" s="1"/>
      <c r="C985" s="1"/>
      <c r="D985" s="1"/>
      <c r="E985" s="1"/>
      <c r="F985" s="1"/>
      <c r="G985" s="2"/>
    </row>
    <row r="986" ht="15.75" customHeight="1">
      <c r="A986" s="1"/>
      <c r="B986" s="1"/>
      <c r="C986" s="1"/>
      <c r="D986" s="1"/>
      <c r="E986" s="1"/>
      <c r="F986" s="1"/>
      <c r="G986" s="2"/>
    </row>
    <row r="987" ht="15.75" customHeight="1">
      <c r="A987" s="1"/>
      <c r="B987" s="1"/>
      <c r="C987" s="1"/>
      <c r="D987" s="1"/>
      <c r="E987" s="1"/>
      <c r="F987" s="1"/>
      <c r="G987" s="2"/>
    </row>
    <row r="988" ht="15.75" customHeight="1">
      <c r="A988" s="1"/>
      <c r="B988" s="1"/>
      <c r="C988" s="1"/>
      <c r="D988" s="1"/>
      <c r="E988" s="1"/>
      <c r="F988" s="1"/>
      <c r="G988" s="2"/>
    </row>
    <row r="989" ht="15.75" customHeight="1">
      <c r="A989" s="1"/>
      <c r="B989" s="1"/>
      <c r="C989" s="1"/>
      <c r="D989" s="1"/>
      <c r="E989" s="1"/>
      <c r="F989" s="1"/>
      <c r="G989" s="2"/>
    </row>
    <row r="990" ht="15.75" customHeight="1">
      <c r="A990" s="1"/>
      <c r="B990" s="1"/>
      <c r="C990" s="1"/>
      <c r="D990" s="1"/>
      <c r="E990" s="1"/>
      <c r="F990" s="1"/>
      <c r="G990" s="2"/>
    </row>
    <row r="991" ht="15.75" customHeight="1">
      <c r="A991" s="1"/>
      <c r="B991" s="1"/>
      <c r="C991" s="1"/>
      <c r="D991" s="1"/>
      <c r="E991" s="1"/>
      <c r="F991" s="1"/>
      <c r="G991" s="2"/>
    </row>
    <row r="992" ht="15.75" customHeight="1">
      <c r="A992" s="1"/>
      <c r="B992" s="1"/>
      <c r="C992" s="1"/>
      <c r="D992" s="1"/>
      <c r="E992" s="1"/>
      <c r="F992" s="1"/>
      <c r="G992" s="2"/>
    </row>
    <row r="993" ht="15.75" customHeight="1">
      <c r="A993" s="1"/>
      <c r="B993" s="1"/>
      <c r="C993" s="1"/>
      <c r="D993" s="1"/>
      <c r="E993" s="1"/>
      <c r="F993" s="1"/>
      <c r="G993" s="2"/>
    </row>
    <row r="994" ht="15.75" customHeight="1">
      <c r="A994" s="1"/>
      <c r="B994" s="1"/>
      <c r="C994" s="1"/>
      <c r="D994" s="1"/>
      <c r="E994" s="1"/>
      <c r="F994" s="1"/>
      <c r="G994" s="2"/>
    </row>
    <row r="995" ht="15.75" customHeight="1">
      <c r="A995" s="1"/>
      <c r="B995" s="1"/>
      <c r="C995" s="1"/>
      <c r="D995" s="1"/>
      <c r="E995" s="1"/>
      <c r="F995" s="1"/>
      <c r="G995" s="2"/>
    </row>
    <row r="996" ht="15.75" customHeight="1">
      <c r="A996" s="1"/>
      <c r="B996" s="1"/>
      <c r="C996" s="1"/>
      <c r="D996" s="1"/>
      <c r="E996" s="1"/>
      <c r="F996" s="1"/>
      <c r="G996" s="2"/>
    </row>
    <row r="997" ht="15.75" customHeight="1">
      <c r="A997" s="1"/>
      <c r="B997" s="1"/>
      <c r="C997" s="1"/>
      <c r="D997" s="1"/>
      <c r="E997" s="1"/>
      <c r="F997" s="1"/>
      <c r="G997" s="2"/>
    </row>
    <row r="998" ht="15.75" customHeight="1">
      <c r="A998" s="1"/>
      <c r="B998" s="1"/>
      <c r="C998" s="1"/>
      <c r="D998" s="1"/>
      <c r="E998" s="1"/>
      <c r="F998" s="1"/>
      <c r="G998" s="2"/>
    </row>
    <row r="999" ht="15.75" customHeight="1">
      <c r="A999" s="1"/>
      <c r="B999" s="1"/>
      <c r="C999" s="1"/>
      <c r="D999" s="1"/>
      <c r="E999" s="1"/>
      <c r="F999" s="1"/>
      <c r="G999" s="2"/>
    </row>
    <row r="1000" ht="15.75" customHeight="1">
      <c r="A1000" s="1"/>
      <c r="B1000" s="1"/>
      <c r="C1000" s="1"/>
      <c r="D1000" s="1"/>
      <c r="E1000" s="1"/>
      <c r="F1000" s="1"/>
      <c r="G1000" s="2"/>
    </row>
  </sheetData>
  <mergeCells count="1">
    <mergeCell ref="B69:G69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8.14"/>
    <col customWidth="1" min="8" max="26" width="10.71"/>
  </cols>
  <sheetData>
    <row r="2">
      <c r="A2" s="1"/>
      <c r="B2" s="3" t="s">
        <v>264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265</v>
      </c>
      <c r="C4" s="1"/>
      <c r="D4" s="1"/>
      <c r="E4" s="1"/>
      <c r="F4" s="1"/>
      <c r="G4" s="2">
        <v>1.0899126E7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266</v>
      </c>
      <c r="B6" s="1"/>
      <c r="C6" s="1"/>
      <c r="D6" s="1"/>
      <c r="E6" s="1"/>
      <c r="F6" s="1"/>
      <c r="G6" s="2"/>
    </row>
    <row r="7">
      <c r="A7" s="1"/>
      <c r="B7" s="4" t="s">
        <v>63</v>
      </c>
      <c r="C7" s="1"/>
      <c r="D7" s="1"/>
      <c r="E7" s="1"/>
      <c r="F7" s="1"/>
      <c r="G7" s="7">
        <v>1615750.0</v>
      </c>
    </row>
    <row r="8">
      <c r="A8" s="1"/>
      <c r="B8" s="4" t="s">
        <v>64</v>
      </c>
      <c r="C8" s="1"/>
      <c r="D8" s="1"/>
      <c r="E8" s="1"/>
      <c r="F8" s="1"/>
      <c r="G8" s="7">
        <v>941200.0</v>
      </c>
    </row>
    <row r="9">
      <c r="A9" s="1"/>
      <c r="B9" s="4" t="s">
        <v>65</v>
      </c>
      <c r="C9" s="1"/>
      <c r="D9" s="1"/>
      <c r="E9" s="1"/>
      <c r="F9" s="1"/>
      <c r="G9" s="7">
        <v>917300.0</v>
      </c>
    </row>
    <row r="10">
      <c r="A10" s="1"/>
      <c r="B10" s="4" t="s">
        <v>66</v>
      </c>
      <c r="C10" s="1"/>
      <c r="D10" s="1"/>
      <c r="E10" s="1"/>
      <c r="F10" s="1"/>
      <c r="G10" s="8">
        <v>308600.0</v>
      </c>
    </row>
    <row r="11">
      <c r="A11" s="1"/>
      <c r="B11" s="4" t="s">
        <v>67</v>
      </c>
      <c r="C11" s="1"/>
      <c r="D11" s="1"/>
      <c r="E11" s="4" t="s">
        <v>8</v>
      </c>
      <c r="F11" s="1"/>
      <c r="G11" s="7"/>
    </row>
    <row r="12">
      <c r="A12" s="1"/>
      <c r="B12" s="9" t="s">
        <v>9</v>
      </c>
      <c r="C12" s="10"/>
      <c r="D12" s="10"/>
      <c r="E12" s="10"/>
      <c r="F12" s="10"/>
      <c r="G12" s="11">
        <f>SUM(G7:G11)</f>
        <v>3782850</v>
      </c>
    </row>
    <row r="13">
      <c r="A13" s="1"/>
      <c r="B13" s="1"/>
      <c r="C13" s="1"/>
      <c r="D13" s="1"/>
      <c r="E13" s="1"/>
      <c r="F13" s="1"/>
      <c r="G13" s="2"/>
    </row>
    <row r="14">
      <c r="A14" s="6" t="s">
        <v>267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268</v>
      </c>
      <c r="C16" s="1"/>
      <c r="D16" s="1"/>
      <c r="E16" s="1"/>
      <c r="F16" s="1"/>
      <c r="G16" s="2">
        <v>126000.0</v>
      </c>
    </row>
    <row r="17">
      <c r="A17" s="1"/>
      <c r="B17" s="4" t="s">
        <v>13</v>
      </c>
      <c r="C17" s="1"/>
      <c r="D17" s="1"/>
      <c r="E17" s="1"/>
      <c r="F17" s="1"/>
      <c r="G17" s="13">
        <v>100000.0</v>
      </c>
    </row>
    <row r="18">
      <c r="A18" s="1"/>
      <c r="B18" s="4" t="s">
        <v>14</v>
      </c>
      <c r="C18" s="1"/>
      <c r="D18" s="1"/>
      <c r="E18" s="1"/>
      <c r="F18" s="1"/>
      <c r="G18" s="13">
        <v>100000.0</v>
      </c>
    </row>
    <row r="19">
      <c r="A19" s="1"/>
      <c r="B19" s="4" t="s">
        <v>15</v>
      </c>
      <c r="C19" s="1"/>
      <c r="D19" s="1"/>
      <c r="E19" s="1"/>
      <c r="F19" s="1"/>
      <c r="G19" s="2">
        <v>75000.0</v>
      </c>
    </row>
    <row r="20">
      <c r="A20" s="1"/>
      <c r="B20" s="4" t="s">
        <v>16</v>
      </c>
      <c r="C20" s="1"/>
      <c r="D20" s="1"/>
      <c r="E20" s="1"/>
      <c r="F20" s="1"/>
      <c r="G20" s="2">
        <v>60000.0</v>
      </c>
    </row>
    <row r="21" ht="15.75" customHeight="1">
      <c r="A21" s="1"/>
      <c r="B21" s="4" t="s">
        <v>17</v>
      </c>
      <c r="C21" s="1"/>
      <c r="D21" s="1"/>
      <c r="E21" s="1"/>
      <c r="F21" s="1"/>
      <c r="G21" s="2">
        <v>65000.0</v>
      </c>
    </row>
    <row r="22" ht="15.75" customHeight="1">
      <c r="A22" s="1"/>
      <c r="B22" s="4" t="s">
        <v>70</v>
      </c>
      <c r="C22" s="1"/>
      <c r="D22" s="1"/>
      <c r="E22" s="1"/>
      <c r="F22" s="1"/>
      <c r="G22" s="2">
        <v>50000.0</v>
      </c>
    </row>
    <row r="23" ht="15.75" customHeight="1">
      <c r="A23" s="1"/>
      <c r="B23" s="9" t="s">
        <v>18</v>
      </c>
      <c r="C23" s="10"/>
      <c r="D23" s="10"/>
      <c r="E23" s="10"/>
      <c r="F23" s="10"/>
      <c r="G23" s="14">
        <f>SUM(G16:G22)</f>
        <v>576000</v>
      </c>
    </row>
    <row r="24" ht="15.75" customHeight="1">
      <c r="A24" s="1"/>
      <c r="B24" s="12" t="s">
        <v>19</v>
      </c>
      <c r="C24" s="15"/>
      <c r="D24" s="1"/>
      <c r="E24" s="1"/>
      <c r="F24" s="1"/>
      <c r="G24" s="2"/>
    </row>
    <row r="25" ht="15.75" customHeight="1">
      <c r="A25" s="1"/>
      <c r="B25" s="4" t="s">
        <v>269</v>
      </c>
      <c r="C25" s="15"/>
      <c r="D25" s="1"/>
      <c r="E25" s="1"/>
      <c r="F25" s="1"/>
      <c r="G25" s="2">
        <v>2000.0</v>
      </c>
    </row>
    <row r="26" ht="15.75" customHeight="1">
      <c r="A26" s="1"/>
      <c r="B26" s="4" t="s">
        <v>270</v>
      </c>
      <c r="C26" s="15"/>
      <c r="D26" s="1"/>
      <c r="E26" s="1"/>
      <c r="F26" s="1"/>
      <c r="G26" s="2">
        <v>2650.0</v>
      </c>
    </row>
    <row r="27" ht="15.75" customHeight="1">
      <c r="A27" s="1"/>
      <c r="B27" s="4" t="s">
        <v>271</v>
      </c>
      <c r="C27" s="15"/>
      <c r="D27" s="1"/>
      <c r="E27" s="1"/>
      <c r="F27" s="1"/>
      <c r="G27" s="2">
        <v>9946.0</v>
      </c>
    </row>
    <row r="28" ht="15.75" customHeight="1">
      <c r="A28" s="1"/>
      <c r="B28" s="4" t="s">
        <v>79</v>
      </c>
      <c r="C28" s="15"/>
      <c r="D28" s="1"/>
      <c r="E28" s="1"/>
      <c r="F28" s="1"/>
      <c r="G28" s="2">
        <v>5000.0</v>
      </c>
    </row>
    <row r="29" ht="15.75" customHeight="1">
      <c r="A29" s="1"/>
      <c r="B29" s="4" t="s">
        <v>272</v>
      </c>
      <c r="C29" s="15"/>
      <c r="D29" s="1"/>
      <c r="E29" s="1"/>
      <c r="F29" s="1"/>
      <c r="G29" s="2">
        <v>2000.0</v>
      </c>
    </row>
    <row r="30" ht="15.75" customHeight="1">
      <c r="A30" s="1"/>
      <c r="B30" s="4" t="s">
        <v>273</v>
      </c>
      <c r="C30" s="15"/>
      <c r="D30" s="1"/>
      <c r="E30" s="1"/>
      <c r="F30" s="1"/>
      <c r="G30" s="2">
        <v>65250.0</v>
      </c>
    </row>
    <row r="31" ht="15.75" customHeight="1">
      <c r="A31" s="1"/>
      <c r="B31" s="4" t="s">
        <v>274</v>
      </c>
      <c r="C31" s="15"/>
      <c r="D31" s="1"/>
      <c r="E31" s="1"/>
      <c r="F31" s="1"/>
      <c r="G31" s="2">
        <v>50000.0</v>
      </c>
    </row>
    <row r="32" ht="15.75" customHeight="1">
      <c r="A32" s="1"/>
      <c r="B32" s="4" t="s">
        <v>275</v>
      </c>
      <c r="C32" s="15"/>
      <c r="D32" s="1"/>
      <c r="E32" s="1"/>
      <c r="F32" s="1"/>
      <c r="G32" s="2">
        <v>2000.0</v>
      </c>
    </row>
    <row r="33" ht="15.75" customHeight="1">
      <c r="A33" s="1"/>
      <c r="B33" s="4" t="s">
        <v>276</v>
      </c>
      <c r="C33" s="15"/>
      <c r="D33" s="1"/>
      <c r="E33" s="1"/>
      <c r="F33" s="1"/>
      <c r="G33" s="2">
        <v>500000.0</v>
      </c>
    </row>
    <row r="34" ht="15.75" customHeight="1">
      <c r="A34" s="1"/>
      <c r="B34" s="4" t="s">
        <v>277</v>
      </c>
      <c r="C34" s="15"/>
      <c r="D34" s="1"/>
      <c r="E34" s="1"/>
      <c r="F34" s="1"/>
      <c r="G34" s="2">
        <v>140500.0</v>
      </c>
    </row>
    <row r="35" ht="15.75" customHeight="1">
      <c r="A35" s="1"/>
      <c r="B35" s="4" t="s">
        <v>278</v>
      </c>
      <c r="C35" s="15"/>
      <c r="D35" s="1"/>
      <c r="E35" s="1"/>
      <c r="F35" s="1"/>
      <c r="G35" s="2">
        <v>2000.0</v>
      </c>
    </row>
    <row r="36" ht="15.75" customHeight="1">
      <c r="A36" s="1"/>
      <c r="B36" s="4" t="s">
        <v>279</v>
      </c>
      <c r="C36" s="15"/>
      <c r="D36" s="1"/>
      <c r="E36" s="1"/>
      <c r="F36" s="1"/>
      <c r="G36" s="2">
        <v>2000.0</v>
      </c>
    </row>
    <row r="37" ht="15.75" customHeight="1">
      <c r="A37" s="1"/>
      <c r="B37" s="4" t="s">
        <v>280</v>
      </c>
      <c r="C37" s="15"/>
      <c r="D37" s="1"/>
      <c r="E37" s="1"/>
      <c r="F37" s="1"/>
      <c r="G37" s="2">
        <v>50000.0</v>
      </c>
    </row>
    <row r="38" ht="15.75" customHeight="1">
      <c r="A38" s="1"/>
      <c r="B38" s="4" t="s">
        <v>281</v>
      </c>
      <c r="C38" s="15"/>
      <c r="D38" s="1"/>
      <c r="E38" s="1"/>
      <c r="F38" s="1"/>
      <c r="G38" s="2">
        <v>10000.0</v>
      </c>
    </row>
    <row r="39" ht="15.75" customHeight="1">
      <c r="A39" s="1"/>
      <c r="B39" s="4" t="s">
        <v>282</v>
      </c>
      <c r="C39" s="15"/>
      <c r="D39" s="1"/>
      <c r="E39" s="1"/>
      <c r="F39" s="1"/>
      <c r="G39" s="2">
        <v>100000.0</v>
      </c>
    </row>
    <row r="40" ht="15.75" customHeight="1">
      <c r="A40" s="1"/>
      <c r="B40" s="4" t="s">
        <v>283</v>
      </c>
      <c r="C40" s="15"/>
      <c r="D40" s="1"/>
      <c r="E40" s="1"/>
      <c r="F40" s="1"/>
      <c r="G40" s="2">
        <v>1400.0</v>
      </c>
    </row>
    <row r="41" ht="15.75" customHeight="1">
      <c r="A41" s="1"/>
      <c r="B41" s="4" t="s">
        <v>284</v>
      </c>
      <c r="C41" s="15"/>
      <c r="D41" s="1"/>
      <c r="E41" s="1"/>
      <c r="F41" s="1"/>
      <c r="G41" s="2">
        <v>2000.0</v>
      </c>
    </row>
    <row r="42" ht="15.75" customHeight="1">
      <c r="A42" s="1"/>
      <c r="B42" s="4" t="s">
        <v>285</v>
      </c>
      <c r="C42" s="15"/>
      <c r="D42" s="1"/>
      <c r="E42" s="1"/>
      <c r="F42" s="1"/>
      <c r="G42" s="2">
        <v>10000.0</v>
      </c>
    </row>
    <row r="43" ht="15.75" customHeight="1">
      <c r="A43" s="1"/>
      <c r="B43" s="4" t="s">
        <v>286</v>
      </c>
      <c r="C43" s="15"/>
      <c r="D43" s="1"/>
      <c r="E43" s="1"/>
      <c r="F43" s="1"/>
      <c r="G43" s="2">
        <v>20000.0</v>
      </c>
    </row>
    <row r="44" ht="15.75" customHeight="1">
      <c r="A44" s="1"/>
      <c r="B44" s="4" t="s">
        <v>287</v>
      </c>
      <c r="C44" s="15"/>
      <c r="D44" s="1"/>
      <c r="E44" s="1"/>
      <c r="F44" s="1"/>
      <c r="G44" s="2">
        <v>374500.0</v>
      </c>
    </row>
    <row r="45" ht="15.75" customHeight="1">
      <c r="A45" s="1"/>
      <c r="B45" s="4" t="s">
        <v>288</v>
      </c>
      <c r="C45" s="15"/>
      <c r="D45" s="1"/>
      <c r="E45" s="1"/>
      <c r="F45" s="1"/>
      <c r="G45" s="2">
        <v>135000.0</v>
      </c>
    </row>
    <row r="46" ht="15.75" customHeight="1">
      <c r="A46" s="1"/>
      <c r="B46" s="4" t="s">
        <v>289</v>
      </c>
      <c r="C46" s="15"/>
      <c r="D46" s="1"/>
      <c r="E46" s="1"/>
      <c r="F46" s="1"/>
      <c r="G46" s="2">
        <v>245000.0</v>
      </c>
    </row>
    <row r="47" ht="15.75" customHeight="1">
      <c r="A47" s="1"/>
      <c r="B47" s="4" t="s">
        <v>290</v>
      </c>
      <c r="C47" s="15"/>
      <c r="D47" s="1"/>
      <c r="E47" s="1"/>
      <c r="F47" s="1"/>
      <c r="G47" s="2">
        <v>207500.0</v>
      </c>
    </row>
    <row r="48" ht="15.75" customHeight="1">
      <c r="A48" s="1"/>
      <c r="B48" s="4" t="s">
        <v>291</v>
      </c>
      <c r="C48" s="15"/>
      <c r="D48" s="1"/>
      <c r="E48" s="1"/>
      <c r="F48" s="1"/>
      <c r="G48" s="2">
        <v>112500.0</v>
      </c>
    </row>
    <row r="49" ht="15.75" customHeight="1">
      <c r="A49" s="1"/>
      <c r="B49" s="4" t="s">
        <v>292</v>
      </c>
      <c r="C49" s="15"/>
      <c r="D49" s="1"/>
      <c r="E49" s="1"/>
      <c r="F49" s="1"/>
      <c r="G49" s="2"/>
    </row>
    <row r="50" ht="15.75" customHeight="1">
      <c r="A50" s="1"/>
      <c r="B50" s="4" t="s">
        <v>293</v>
      </c>
      <c r="C50" s="15"/>
      <c r="D50" s="1"/>
      <c r="E50" s="1"/>
      <c r="F50" s="1"/>
      <c r="G50" s="2">
        <v>35000.0</v>
      </c>
    </row>
    <row r="51" ht="15.75" customHeight="1">
      <c r="A51" s="1"/>
      <c r="B51" s="4" t="s">
        <v>294</v>
      </c>
      <c r="C51" s="15"/>
      <c r="D51" s="1"/>
      <c r="E51" s="1"/>
      <c r="F51" s="1"/>
      <c r="G51" s="2">
        <v>1400.0</v>
      </c>
    </row>
    <row r="52" ht="15.75" customHeight="1">
      <c r="A52" s="1"/>
      <c r="B52" s="4"/>
      <c r="C52" s="15"/>
      <c r="D52" s="1"/>
      <c r="E52" s="1"/>
      <c r="F52" s="1"/>
      <c r="G52" s="2"/>
    </row>
    <row r="53" ht="15.75" customHeight="1">
      <c r="A53" s="22"/>
      <c r="B53" s="1"/>
      <c r="C53" s="1"/>
      <c r="D53" s="1"/>
      <c r="E53" s="1"/>
      <c r="F53" s="1"/>
      <c r="G53" s="2"/>
    </row>
    <row r="54" ht="15.75" customHeight="1">
      <c r="A54" s="1"/>
      <c r="B54" s="4"/>
      <c r="C54" s="15"/>
      <c r="D54" s="1"/>
      <c r="E54" s="1"/>
      <c r="F54" s="1"/>
      <c r="G54" s="2"/>
    </row>
    <row r="55" ht="15.75" customHeight="1">
      <c r="A55" s="1"/>
      <c r="B55" s="16" t="s">
        <v>43</v>
      </c>
      <c r="C55" s="10"/>
      <c r="D55" s="10"/>
      <c r="E55" s="10"/>
      <c r="F55" s="10"/>
      <c r="G55" s="17">
        <f>SUM(G25:G54)</f>
        <v>2087646</v>
      </c>
    </row>
    <row r="56" ht="15.75" customHeight="1">
      <c r="A56" s="1"/>
      <c r="B56" s="1"/>
      <c r="C56" s="1"/>
      <c r="D56" s="1"/>
      <c r="E56" s="1"/>
      <c r="F56" s="1"/>
      <c r="G56" s="18" t="s">
        <v>44</v>
      </c>
    </row>
    <row r="57" ht="15.75" customHeight="1">
      <c r="A57" s="1"/>
      <c r="B57" s="19" t="s">
        <v>45</v>
      </c>
      <c r="C57" s="20"/>
      <c r="D57" s="20"/>
      <c r="E57" s="20"/>
      <c r="F57" s="20"/>
      <c r="G57" s="21">
        <f>SUM(G23,G55)</f>
        <v>2663646</v>
      </c>
    </row>
    <row r="58" ht="15.75" customHeight="1">
      <c r="A58" s="1"/>
      <c r="B58" s="4" t="s">
        <v>46</v>
      </c>
      <c r="C58" s="1"/>
      <c r="D58" s="1"/>
      <c r="E58" s="1"/>
      <c r="F58" s="1"/>
      <c r="G58" s="2"/>
    </row>
    <row r="59" ht="15.75" customHeight="1">
      <c r="A59" s="35" t="s">
        <v>295</v>
      </c>
      <c r="B59" s="36"/>
      <c r="C59" s="37"/>
      <c r="D59" s="37"/>
      <c r="E59" s="37"/>
      <c r="F59" s="37"/>
      <c r="G59" s="38">
        <f>(G12-G57)</f>
        <v>1119204</v>
      </c>
    </row>
    <row r="60" ht="15.75" customHeight="1">
      <c r="A60" s="1"/>
      <c r="B60" s="4"/>
      <c r="C60" s="1"/>
      <c r="D60" s="1"/>
      <c r="E60" s="1"/>
      <c r="F60" s="1"/>
      <c r="G60" s="2"/>
    </row>
    <row r="61" ht="15.75" customHeight="1">
      <c r="A61" s="22" t="s">
        <v>254</v>
      </c>
      <c r="B61" s="1" t="s">
        <v>255</v>
      </c>
      <c r="C61" s="1"/>
      <c r="D61" s="1"/>
      <c r="E61" s="1"/>
      <c r="F61" s="1"/>
      <c r="G61" s="2"/>
    </row>
    <row r="62" ht="15.75" customHeight="1">
      <c r="A62" s="22"/>
      <c r="B62" s="1"/>
      <c r="C62" s="1"/>
      <c r="D62" s="1"/>
      <c r="E62" s="1"/>
      <c r="F62" s="1"/>
      <c r="G62" s="2"/>
    </row>
    <row r="63" ht="15.75" customHeight="1">
      <c r="A63" s="22"/>
      <c r="B63" s="1" t="s">
        <v>296</v>
      </c>
      <c r="C63" s="1"/>
      <c r="D63" s="1"/>
      <c r="E63" s="1"/>
      <c r="F63" s="1"/>
      <c r="G63" s="2">
        <v>2674694.0</v>
      </c>
    </row>
    <row r="64" ht="15.75" customHeight="1">
      <c r="A64" s="22"/>
      <c r="B64" s="1" t="s">
        <v>297</v>
      </c>
      <c r="C64" s="1"/>
      <c r="D64" s="1"/>
      <c r="E64" s="1"/>
      <c r="F64" s="1"/>
      <c r="G64" s="2"/>
    </row>
    <row r="65" ht="15.75" customHeight="1">
      <c r="A65" s="22"/>
      <c r="B65" s="1" t="s">
        <v>298</v>
      </c>
      <c r="C65" s="1"/>
      <c r="D65" s="1"/>
      <c r="E65" s="1"/>
      <c r="F65" s="1"/>
      <c r="G65" s="2">
        <v>5500000.0</v>
      </c>
    </row>
    <row r="66" ht="15.75" customHeight="1">
      <c r="A66" s="22"/>
      <c r="B66" s="1" t="s">
        <v>299</v>
      </c>
      <c r="C66" s="1"/>
      <c r="D66" s="1"/>
      <c r="E66" s="1"/>
      <c r="F66" s="1"/>
      <c r="G66" s="2">
        <v>238950.0</v>
      </c>
    </row>
    <row r="67" ht="15.75" customHeight="1">
      <c r="A67" s="1"/>
      <c r="B67" s="27" t="s">
        <v>51</v>
      </c>
      <c r="C67" s="27"/>
      <c r="D67" s="27"/>
      <c r="E67" s="27"/>
      <c r="F67" s="27"/>
      <c r="G67" s="28">
        <v>8413644.0</v>
      </c>
    </row>
    <row r="68" ht="15.75" customHeight="1">
      <c r="A68" s="1"/>
      <c r="B68" s="1"/>
      <c r="C68" s="1"/>
      <c r="D68" s="1"/>
      <c r="E68" s="1"/>
      <c r="F68" s="1"/>
      <c r="G68" s="2"/>
    </row>
    <row r="69" ht="15.75" customHeight="1">
      <c r="A69" s="1"/>
      <c r="B69" s="1"/>
      <c r="C69" s="1"/>
      <c r="D69" s="1"/>
      <c r="E69" s="1"/>
      <c r="F69" s="1"/>
      <c r="G69" s="2"/>
    </row>
    <row r="70" ht="15.75" customHeight="1">
      <c r="A70" s="1"/>
      <c r="B70" s="1"/>
      <c r="C70" s="1"/>
      <c r="D70" s="1"/>
      <c r="E70" s="1"/>
      <c r="F70" s="1"/>
      <c r="G70" s="2"/>
    </row>
    <row r="71" ht="15.75" customHeight="1">
      <c r="A71" s="1"/>
      <c r="B71" s="1"/>
      <c r="C71" s="1"/>
      <c r="D71" s="1"/>
      <c r="E71" s="1"/>
      <c r="F71" s="1"/>
      <c r="G71" s="2"/>
    </row>
    <row r="72" ht="15.75" customHeight="1">
      <c r="A72" s="1"/>
      <c r="B72" s="1"/>
      <c r="C72" s="1"/>
      <c r="D72" s="1"/>
      <c r="E72" s="1"/>
      <c r="F72" s="1"/>
      <c r="G72" s="2"/>
    </row>
    <row r="73" ht="15.75" customHeight="1">
      <c r="A73" s="44"/>
      <c r="B73" s="45" t="s">
        <v>300</v>
      </c>
      <c r="C73" s="46"/>
      <c r="D73" s="46"/>
      <c r="E73" s="46"/>
      <c r="F73" s="46"/>
      <c r="G73" s="47">
        <f>SUM(G4,G59,-G67)</f>
        <v>3604686</v>
      </c>
    </row>
    <row r="74" ht="15.75" customHeight="1">
      <c r="A74" s="1"/>
      <c r="B74" s="1"/>
      <c r="C74" s="1"/>
      <c r="D74" s="1"/>
      <c r="E74" s="1"/>
      <c r="F74" s="1"/>
      <c r="G74" s="2"/>
    </row>
    <row r="75" ht="15.75" customHeight="1">
      <c r="A75" s="1"/>
      <c r="B75" s="32" t="s">
        <v>112</v>
      </c>
    </row>
    <row r="76" ht="15.75" customHeight="1">
      <c r="A76" s="1"/>
      <c r="B76" s="1"/>
      <c r="C76" s="1" t="s">
        <v>113</v>
      </c>
      <c r="D76" s="1"/>
      <c r="E76" s="1"/>
      <c r="F76" s="1"/>
      <c r="G76" s="1">
        <v>28200.0</v>
      </c>
    </row>
    <row r="77" ht="15.75" customHeight="1">
      <c r="A77" s="1"/>
      <c r="B77" s="1"/>
      <c r="C77" s="1" t="s">
        <v>114</v>
      </c>
      <c r="D77" s="1"/>
      <c r="E77" s="1"/>
      <c r="F77" s="1"/>
      <c r="G77" s="1">
        <v>152500.0</v>
      </c>
    </row>
    <row r="78" ht="15.75" customHeight="1">
      <c r="A78" s="1"/>
      <c r="B78" s="1"/>
      <c r="C78" s="43" t="s">
        <v>115</v>
      </c>
      <c r="D78" s="1"/>
      <c r="E78" s="1"/>
      <c r="F78" s="1"/>
      <c r="G78" s="1">
        <f>SUM(G76,G77)</f>
        <v>180700</v>
      </c>
    </row>
    <row r="79" ht="15.75" customHeight="1">
      <c r="A79" s="1"/>
      <c r="B79" s="1"/>
      <c r="C79" s="43"/>
      <c r="D79" s="1"/>
      <c r="E79" s="1"/>
      <c r="F79" s="1"/>
      <c r="G79" s="1"/>
    </row>
    <row r="80" ht="15.75" customHeight="1">
      <c r="A80" s="1"/>
      <c r="B80" s="33" t="s">
        <v>301</v>
      </c>
      <c r="C80" s="1"/>
      <c r="D80" s="1"/>
      <c r="E80" s="1"/>
      <c r="F80" s="1"/>
      <c r="G80" s="2"/>
    </row>
    <row r="81" ht="15.75" customHeight="1">
      <c r="A81" s="1"/>
      <c r="B81" s="4"/>
      <c r="C81" s="1"/>
      <c r="D81" s="1"/>
      <c r="E81" s="1"/>
      <c r="F81" s="1"/>
      <c r="G81" s="2"/>
    </row>
    <row r="82" ht="15.75" customHeight="1">
      <c r="A82" s="1"/>
      <c r="B82" s="26" t="s">
        <v>302</v>
      </c>
      <c r="C82" s="1"/>
      <c r="D82" s="1"/>
      <c r="E82" s="1"/>
      <c r="F82" s="1"/>
      <c r="G82" s="2"/>
    </row>
    <row r="83" ht="15.75" customHeight="1">
      <c r="A83" s="1"/>
      <c r="B83" s="26"/>
      <c r="C83" s="1"/>
      <c r="D83" s="1"/>
      <c r="E83" s="1"/>
      <c r="F83" s="1"/>
      <c r="G83" s="2"/>
    </row>
    <row r="84" ht="15.75" customHeight="1">
      <c r="A84" s="1"/>
      <c r="B84" s="26" t="s">
        <v>303</v>
      </c>
      <c r="C84" s="1"/>
      <c r="D84" s="1"/>
      <c r="E84" s="1"/>
      <c r="F84" s="1"/>
      <c r="G84" s="2"/>
    </row>
    <row r="85" ht="15.75" customHeight="1">
      <c r="A85" s="1"/>
      <c r="B85" s="4"/>
      <c r="C85" s="1"/>
      <c r="D85" s="1"/>
      <c r="E85" s="1"/>
      <c r="F85" s="1"/>
      <c r="G85" s="2"/>
    </row>
    <row r="86" ht="15.75" customHeight="1">
      <c r="A86" s="1"/>
      <c r="B86" s="26" t="s">
        <v>304</v>
      </c>
      <c r="C86" s="1"/>
      <c r="D86" s="1"/>
      <c r="E86" s="1"/>
      <c r="F86" s="1"/>
      <c r="G86" s="2"/>
    </row>
    <row r="87" ht="15.75" customHeight="1">
      <c r="A87" s="1"/>
      <c r="B87" s="4"/>
      <c r="C87" s="1"/>
      <c r="D87" s="1"/>
      <c r="E87" s="1"/>
      <c r="F87" s="1"/>
      <c r="G87" s="2"/>
    </row>
    <row r="88" ht="15.75" customHeight="1">
      <c r="A88" s="1"/>
      <c r="B88" s="26" t="s">
        <v>305</v>
      </c>
      <c r="C88" s="1"/>
      <c r="D88" s="1"/>
      <c r="E88" s="1"/>
      <c r="F88" s="1"/>
      <c r="G88" s="2"/>
    </row>
    <row r="89" ht="15.75" customHeight="1">
      <c r="A89" s="1"/>
      <c r="B89" s="26"/>
      <c r="C89" s="1"/>
      <c r="D89" s="1"/>
      <c r="E89" s="1"/>
      <c r="F89" s="1"/>
      <c r="G89" s="2"/>
    </row>
    <row r="90" ht="15.75" customHeight="1">
      <c r="A90" s="1"/>
      <c r="B90" s="34" t="s">
        <v>306</v>
      </c>
      <c r="C90" s="1"/>
      <c r="D90" s="1"/>
      <c r="E90" s="1"/>
      <c r="F90" s="1"/>
      <c r="G90" s="2"/>
    </row>
    <row r="91" ht="15.75" customHeight="1">
      <c r="A91" s="1"/>
      <c r="B91" s="1"/>
      <c r="C91" s="1"/>
      <c r="D91" s="1"/>
      <c r="E91" s="1"/>
      <c r="F91" s="1"/>
      <c r="G91" s="2"/>
    </row>
    <row r="92" ht="15.75" customHeight="1">
      <c r="A92" s="1"/>
      <c r="B92" s="1"/>
      <c r="C92" s="1"/>
      <c r="D92" s="1"/>
      <c r="E92" s="1"/>
      <c r="F92" s="1"/>
      <c r="G92" s="2"/>
    </row>
    <row r="93" ht="15.75" customHeight="1">
      <c r="A93" s="1"/>
      <c r="B93" s="1"/>
      <c r="C93" s="1"/>
      <c r="D93" s="1"/>
      <c r="E93" s="1"/>
      <c r="F93" s="1"/>
      <c r="G93" s="2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75:G75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8.0"/>
    <col customWidth="1" min="8" max="26" width="10.71"/>
  </cols>
  <sheetData>
    <row r="3">
      <c r="A3" s="1"/>
      <c r="B3" s="3" t="s">
        <v>307</v>
      </c>
      <c r="C3" s="1"/>
      <c r="D3" s="1"/>
      <c r="E3" s="1"/>
      <c r="F3" s="1"/>
      <c r="G3" s="2"/>
    </row>
    <row r="4">
      <c r="A4" s="1"/>
      <c r="B4" s="4"/>
      <c r="C4" s="1"/>
      <c r="D4" s="1"/>
      <c r="E4" s="1"/>
      <c r="F4" s="1"/>
      <c r="G4" s="2"/>
    </row>
    <row r="5">
      <c r="A5" s="1"/>
      <c r="B5" s="5" t="s">
        <v>308</v>
      </c>
      <c r="C5" s="1"/>
      <c r="D5" s="1"/>
      <c r="E5" s="1"/>
      <c r="F5" s="1"/>
      <c r="G5" s="2">
        <v>3604686.0</v>
      </c>
    </row>
    <row r="6">
      <c r="A6" s="1"/>
      <c r="B6" s="4"/>
      <c r="C6" s="1"/>
      <c r="D6" s="1"/>
      <c r="E6" s="1"/>
      <c r="F6" s="1"/>
      <c r="G6" s="2"/>
    </row>
    <row r="7">
      <c r="A7" s="6" t="s">
        <v>309</v>
      </c>
      <c r="B7" s="1"/>
      <c r="C7" s="1"/>
      <c r="D7" s="1"/>
      <c r="E7" s="1"/>
      <c r="F7" s="1"/>
      <c r="G7" s="2"/>
    </row>
    <row r="8">
      <c r="A8" s="1"/>
      <c r="B8" s="4" t="s">
        <v>63</v>
      </c>
      <c r="C8" s="1"/>
      <c r="D8" s="1"/>
      <c r="E8" s="1"/>
      <c r="F8" s="1"/>
      <c r="G8" s="7">
        <v>548500.0</v>
      </c>
    </row>
    <row r="9">
      <c r="A9" s="1"/>
      <c r="B9" s="4" t="s">
        <v>64</v>
      </c>
      <c r="C9" s="1"/>
      <c r="D9" s="1"/>
      <c r="E9" s="1"/>
      <c r="F9" s="1"/>
      <c r="G9" s="7">
        <v>788950.0</v>
      </c>
    </row>
    <row r="10">
      <c r="A10" s="1"/>
      <c r="B10" s="4" t="s">
        <v>65</v>
      </c>
      <c r="C10" s="1"/>
      <c r="D10" s="1"/>
      <c r="E10" s="1"/>
      <c r="F10" s="1"/>
      <c r="G10" s="7">
        <v>971650.0</v>
      </c>
    </row>
    <row r="11">
      <c r="A11" s="1"/>
      <c r="B11" s="4" t="s">
        <v>66</v>
      </c>
      <c r="C11" s="1"/>
      <c r="D11" s="1"/>
      <c r="E11" s="1"/>
      <c r="F11" s="1"/>
      <c r="G11" s="8">
        <v>1008600.0</v>
      </c>
    </row>
    <row r="12">
      <c r="A12" s="1"/>
      <c r="B12" s="4" t="s">
        <v>67</v>
      </c>
      <c r="C12" s="1"/>
      <c r="D12" s="1"/>
      <c r="E12" s="4" t="s">
        <v>8</v>
      </c>
      <c r="F12" s="1"/>
      <c r="G12" s="7"/>
    </row>
    <row r="13">
      <c r="A13" s="1"/>
      <c r="B13" s="9" t="s">
        <v>9</v>
      </c>
      <c r="C13" s="10"/>
      <c r="D13" s="10"/>
      <c r="E13" s="10"/>
      <c r="F13" s="10"/>
      <c r="G13" s="11">
        <f>SUM(G8:G12)</f>
        <v>3317700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310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311</v>
      </c>
      <c r="C17" s="1"/>
      <c r="D17" s="1"/>
      <c r="E17" s="1"/>
      <c r="F17" s="1"/>
      <c r="G17" s="2">
        <v>88000.0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75000.0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65000.0</v>
      </c>
    </row>
    <row r="23" ht="15.75" customHeight="1">
      <c r="A23" s="1"/>
      <c r="B23" s="4" t="s">
        <v>70</v>
      </c>
      <c r="C23" s="1"/>
      <c r="D23" s="1"/>
      <c r="E23" s="1"/>
      <c r="F23" s="1"/>
      <c r="G23" s="2">
        <v>50000.0</v>
      </c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538000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4" t="s">
        <v>312</v>
      </c>
      <c r="C26" s="15"/>
      <c r="D26" s="1"/>
      <c r="E26" s="1"/>
      <c r="F26" s="1"/>
      <c r="G26" s="2">
        <v>50000.0</v>
      </c>
    </row>
    <row r="27" ht="15.75" customHeight="1">
      <c r="A27" s="1"/>
      <c r="B27" s="4" t="s">
        <v>313</v>
      </c>
      <c r="C27" s="15"/>
      <c r="D27" s="1"/>
      <c r="E27" s="1"/>
      <c r="F27" s="1"/>
      <c r="G27" s="2">
        <v>65250.0</v>
      </c>
    </row>
    <row r="28" ht="15.75" customHeight="1">
      <c r="A28" s="1"/>
      <c r="B28" s="4" t="s">
        <v>314</v>
      </c>
      <c r="C28" s="15"/>
      <c r="D28" s="1"/>
      <c r="E28" s="1"/>
      <c r="F28" s="1"/>
      <c r="G28" s="2">
        <v>2000.0</v>
      </c>
    </row>
    <row r="29" ht="15.75" customHeight="1">
      <c r="A29" s="1"/>
      <c r="B29" s="4" t="s">
        <v>315</v>
      </c>
      <c r="C29" s="15"/>
      <c r="D29" s="1"/>
      <c r="E29" s="1"/>
      <c r="F29" s="1"/>
      <c r="G29" s="2">
        <v>175000.0</v>
      </c>
    </row>
    <row r="30" ht="15.75" customHeight="1">
      <c r="A30" s="1"/>
      <c r="B30" s="4" t="s">
        <v>316</v>
      </c>
      <c r="C30" s="15"/>
      <c r="D30" s="1"/>
      <c r="E30" s="1"/>
      <c r="F30" s="1"/>
      <c r="G30" s="2">
        <v>5000.0</v>
      </c>
    </row>
    <row r="31" ht="15.75" customHeight="1">
      <c r="A31" s="1"/>
      <c r="B31" s="4" t="s">
        <v>317</v>
      </c>
      <c r="C31" s="15"/>
      <c r="D31" s="1"/>
      <c r="E31" s="1"/>
      <c r="F31" s="1"/>
      <c r="G31" s="2">
        <v>2000.0</v>
      </c>
    </row>
    <row r="32" ht="15.75" customHeight="1">
      <c r="A32" s="1"/>
      <c r="B32" s="4" t="s">
        <v>318</v>
      </c>
      <c r="C32" s="15"/>
      <c r="D32" s="1"/>
      <c r="E32" s="1"/>
      <c r="F32" s="1"/>
      <c r="G32" s="2"/>
    </row>
    <row r="33" ht="15.75" customHeight="1">
      <c r="A33" s="1"/>
      <c r="B33" s="4" t="s">
        <v>312</v>
      </c>
      <c r="C33" s="15"/>
      <c r="D33" s="1"/>
      <c r="E33" s="1"/>
      <c r="F33" s="1"/>
      <c r="G33" s="2">
        <v>2000.0</v>
      </c>
    </row>
    <row r="34" ht="15.75" customHeight="1">
      <c r="A34" s="1"/>
      <c r="B34" s="4" t="s">
        <v>319</v>
      </c>
      <c r="C34" s="15"/>
      <c r="D34" s="1"/>
      <c r="E34" s="1"/>
      <c r="F34" s="1"/>
      <c r="G34" s="2">
        <v>50000.0</v>
      </c>
    </row>
    <row r="35" ht="15.75" customHeight="1">
      <c r="A35" s="1"/>
      <c r="B35" s="4" t="s">
        <v>320</v>
      </c>
      <c r="C35" s="15"/>
      <c r="D35" s="1"/>
      <c r="E35" s="1"/>
      <c r="F35" s="1"/>
      <c r="G35" s="2">
        <v>10000.0</v>
      </c>
    </row>
    <row r="36" ht="15.75" customHeight="1">
      <c r="A36" s="1"/>
      <c r="B36" s="4" t="s">
        <v>321</v>
      </c>
      <c r="C36" s="15"/>
      <c r="D36" s="1"/>
      <c r="E36" s="1"/>
      <c r="F36" s="1"/>
      <c r="G36" s="2">
        <v>6000.0</v>
      </c>
    </row>
    <row r="37" ht="15.75" customHeight="1">
      <c r="A37" s="1"/>
      <c r="B37" s="4" t="s">
        <v>322</v>
      </c>
      <c r="C37" s="15"/>
      <c r="D37" s="1"/>
      <c r="E37" s="1"/>
      <c r="F37" s="1"/>
      <c r="G37" s="2">
        <v>50000.0</v>
      </c>
    </row>
    <row r="38" ht="15.75" customHeight="1">
      <c r="A38" s="1"/>
      <c r="B38" s="4" t="s">
        <v>323</v>
      </c>
      <c r="C38" s="15"/>
      <c r="D38" s="1"/>
      <c r="E38" s="1"/>
      <c r="F38" s="1"/>
      <c r="G38" s="2">
        <v>15500.0</v>
      </c>
    </row>
    <row r="39" ht="15.75" customHeight="1">
      <c r="A39" s="1"/>
      <c r="B39" s="4" t="s">
        <v>282</v>
      </c>
      <c r="C39" s="15"/>
      <c r="D39" s="1"/>
      <c r="E39" s="1"/>
      <c r="F39" s="1"/>
      <c r="G39" s="2">
        <v>100000.0</v>
      </c>
    </row>
    <row r="40" ht="15.75" customHeight="1">
      <c r="A40" s="1"/>
      <c r="B40" s="4" t="s">
        <v>324</v>
      </c>
      <c r="C40" s="15"/>
      <c r="D40" s="1"/>
      <c r="E40" s="1"/>
      <c r="F40" s="1"/>
      <c r="G40" s="2">
        <v>1600.0</v>
      </c>
    </row>
    <row r="41" ht="15.75" customHeight="1">
      <c r="A41" s="1"/>
      <c r="B41" s="4" t="s">
        <v>325</v>
      </c>
      <c r="C41" s="15"/>
      <c r="D41" s="1"/>
      <c r="E41" s="1"/>
      <c r="F41" s="1"/>
      <c r="G41" s="2">
        <v>10000.0</v>
      </c>
    </row>
    <row r="42" ht="15.75" customHeight="1">
      <c r="A42" s="1"/>
      <c r="B42" s="4" t="s">
        <v>326</v>
      </c>
      <c r="C42" s="15"/>
      <c r="D42" s="1"/>
      <c r="E42" s="1"/>
      <c r="F42" s="1"/>
      <c r="G42" s="2">
        <v>2000.0</v>
      </c>
    </row>
    <row r="43" ht="15.75" customHeight="1">
      <c r="A43" s="1"/>
      <c r="B43" s="4" t="s">
        <v>327</v>
      </c>
      <c r="C43" s="15"/>
      <c r="D43" s="1"/>
      <c r="E43" s="1"/>
      <c r="F43" s="1"/>
      <c r="G43" s="2">
        <v>1400.0</v>
      </c>
    </row>
    <row r="44" ht="15.75" customHeight="1">
      <c r="A44" s="1"/>
      <c r="B44" s="4" t="s">
        <v>328</v>
      </c>
      <c r="C44" s="15"/>
      <c r="D44" s="1"/>
      <c r="E44" s="1"/>
      <c r="F44" s="1"/>
      <c r="G44" s="2">
        <v>187500.0</v>
      </c>
    </row>
    <row r="45" ht="15.75" customHeight="1">
      <c r="A45" s="1"/>
      <c r="B45" s="4" t="s">
        <v>329</v>
      </c>
      <c r="C45" s="15"/>
      <c r="D45" s="1"/>
      <c r="E45" s="1"/>
      <c r="F45" s="1"/>
      <c r="G45" s="2">
        <v>218500.0</v>
      </c>
    </row>
    <row r="46" ht="15.75" customHeight="1">
      <c r="A46" s="1"/>
      <c r="B46" s="4" t="s">
        <v>330</v>
      </c>
      <c r="C46" s="15"/>
      <c r="D46" s="1"/>
      <c r="E46" s="1"/>
      <c r="F46" s="1"/>
      <c r="G46" s="2">
        <v>65250.0</v>
      </c>
    </row>
    <row r="47" ht="15.75" customHeight="1">
      <c r="A47" s="1"/>
      <c r="B47" s="4" t="s">
        <v>331</v>
      </c>
      <c r="C47" s="15"/>
      <c r="D47" s="1"/>
      <c r="E47" s="1"/>
      <c r="F47" s="1"/>
      <c r="G47" s="2">
        <v>150885.0</v>
      </c>
    </row>
    <row r="48" ht="15.75" customHeight="1">
      <c r="A48" s="1"/>
      <c r="B48" s="4" t="s">
        <v>332</v>
      </c>
      <c r="C48" s="15"/>
      <c r="D48" s="1"/>
      <c r="E48" s="1"/>
      <c r="F48" s="1"/>
      <c r="G48" s="2">
        <v>40000.0</v>
      </c>
    </row>
    <row r="49" ht="15.75" customHeight="1">
      <c r="A49" s="1"/>
      <c r="B49" s="4" t="s">
        <v>333</v>
      </c>
      <c r="C49" s="15"/>
      <c r="D49" s="1"/>
      <c r="E49" s="1"/>
      <c r="F49" s="1"/>
      <c r="G49" s="2">
        <v>40000.0</v>
      </c>
    </row>
    <row r="50" ht="15.75" customHeight="1">
      <c r="A50" s="1"/>
      <c r="B50" s="4" t="s">
        <v>334</v>
      </c>
      <c r="C50" s="15"/>
      <c r="D50" s="1"/>
      <c r="E50" s="1"/>
      <c r="F50" s="1"/>
      <c r="G50" s="2">
        <v>9800.0</v>
      </c>
    </row>
    <row r="51" ht="15.75" customHeight="1">
      <c r="A51" s="1"/>
      <c r="B51" s="4" t="s">
        <v>335</v>
      </c>
      <c r="C51" s="15"/>
      <c r="D51" s="1"/>
      <c r="E51" s="1"/>
      <c r="F51" s="1"/>
      <c r="G51" s="2">
        <v>10000.0</v>
      </c>
    </row>
    <row r="52" ht="15.75" customHeight="1">
      <c r="A52" s="1"/>
      <c r="B52" s="4" t="s">
        <v>336</v>
      </c>
      <c r="C52" s="15"/>
      <c r="D52" s="1"/>
      <c r="E52" s="1"/>
      <c r="F52" s="1"/>
      <c r="G52" s="2">
        <v>72000.0</v>
      </c>
    </row>
    <row r="53" ht="15.75" customHeight="1">
      <c r="A53" s="1"/>
      <c r="B53" s="4" t="s">
        <v>337</v>
      </c>
      <c r="C53" s="15"/>
      <c r="D53" s="1"/>
      <c r="E53" s="1"/>
      <c r="F53" s="1"/>
      <c r="G53" s="2">
        <v>15600.0</v>
      </c>
    </row>
    <row r="54" ht="15.75" customHeight="1">
      <c r="A54" s="1"/>
      <c r="B54" s="4" t="s">
        <v>338</v>
      </c>
      <c r="C54" s="15"/>
      <c r="D54" s="1"/>
      <c r="E54" s="1"/>
      <c r="F54" s="1"/>
      <c r="G54" s="2">
        <v>5000.0</v>
      </c>
    </row>
    <row r="55" ht="15.75" customHeight="1">
      <c r="A55" s="1"/>
      <c r="B55" s="4" t="s">
        <v>339</v>
      </c>
      <c r="C55" s="15"/>
      <c r="D55" s="1"/>
      <c r="E55" s="1"/>
      <c r="F55" s="1"/>
      <c r="G55" s="2">
        <v>15000.0</v>
      </c>
    </row>
    <row r="56" ht="15.75" customHeight="1">
      <c r="A56" s="1"/>
      <c r="B56" s="4" t="s">
        <v>340</v>
      </c>
      <c r="C56" s="15"/>
      <c r="D56" s="1"/>
      <c r="E56" s="1"/>
      <c r="F56" s="1"/>
      <c r="G56" s="2">
        <v>14300.0</v>
      </c>
    </row>
    <row r="57" ht="15.75" customHeight="1">
      <c r="A57" s="1"/>
      <c r="B57" s="4" t="s">
        <v>341</v>
      </c>
      <c r="C57" s="15"/>
      <c r="D57" s="1"/>
      <c r="E57" s="1"/>
      <c r="F57" s="1"/>
      <c r="G57" s="2">
        <v>2000.0</v>
      </c>
    </row>
    <row r="58" ht="15.75" customHeight="1">
      <c r="A58" s="1"/>
      <c r="B58" s="4" t="s">
        <v>342</v>
      </c>
      <c r="C58" s="15"/>
      <c r="D58" s="1"/>
      <c r="E58" s="1"/>
      <c r="F58" s="1"/>
      <c r="G58" s="2">
        <v>518400.0</v>
      </c>
    </row>
    <row r="59" ht="15.75" customHeight="1">
      <c r="A59" s="22"/>
      <c r="B59" s="1" t="s">
        <v>343</v>
      </c>
      <c r="C59" s="1"/>
      <c r="D59" s="1"/>
      <c r="E59" s="1"/>
      <c r="F59" s="1"/>
      <c r="G59" s="2">
        <v>56420.0</v>
      </c>
    </row>
    <row r="60" ht="15.75" customHeight="1">
      <c r="A60" s="22"/>
      <c r="B60" s="1" t="s">
        <v>344</v>
      </c>
      <c r="C60" s="1"/>
      <c r="D60" s="1"/>
      <c r="E60" s="1"/>
      <c r="F60" s="1"/>
      <c r="G60" s="2">
        <v>87500.0</v>
      </c>
    </row>
    <row r="61" ht="15.75" customHeight="1">
      <c r="A61" s="22"/>
      <c r="B61" s="1" t="s">
        <v>345</v>
      </c>
      <c r="C61" s="1"/>
      <c r="D61" s="1"/>
      <c r="E61" s="1"/>
      <c r="F61" s="1"/>
      <c r="G61" s="2">
        <v>11000.0</v>
      </c>
    </row>
    <row r="62" ht="15.75" customHeight="1">
      <c r="A62" s="22"/>
      <c r="B62" s="1" t="s">
        <v>346</v>
      </c>
      <c r="C62" s="1"/>
      <c r="D62" s="1"/>
      <c r="E62" s="1"/>
      <c r="F62" s="1"/>
      <c r="G62" s="2">
        <v>89580.0</v>
      </c>
    </row>
    <row r="63" ht="15.75" customHeight="1">
      <c r="A63" s="1"/>
      <c r="B63" s="4"/>
      <c r="C63" s="15"/>
      <c r="D63" s="1"/>
      <c r="E63" s="1"/>
      <c r="F63" s="1"/>
      <c r="G63" s="2"/>
    </row>
    <row r="64" ht="15.75" customHeight="1">
      <c r="A64" s="1"/>
      <c r="B64" s="16" t="s">
        <v>43</v>
      </c>
      <c r="C64" s="10"/>
      <c r="D64" s="10"/>
      <c r="E64" s="10"/>
      <c r="F64" s="10"/>
      <c r="G64" s="17">
        <f>SUM(G26:G63)</f>
        <v>2156485</v>
      </c>
    </row>
    <row r="65" ht="15.75" customHeight="1">
      <c r="A65" s="1"/>
      <c r="B65" s="1"/>
      <c r="C65" s="1"/>
      <c r="D65" s="1"/>
      <c r="E65" s="1"/>
      <c r="F65" s="1"/>
      <c r="G65" s="18" t="s">
        <v>44</v>
      </c>
    </row>
    <row r="66" ht="15.75" customHeight="1">
      <c r="A66" s="1"/>
      <c r="B66" s="19" t="s">
        <v>45</v>
      </c>
      <c r="C66" s="20"/>
      <c r="D66" s="20"/>
      <c r="E66" s="20"/>
      <c r="F66" s="20"/>
      <c r="G66" s="21">
        <f>SUM(G24,G64)</f>
        <v>2694485</v>
      </c>
    </row>
    <row r="67" ht="15.75" customHeight="1">
      <c r="A67" s="1"/>
      <c r="B67" s="4" t="s">
        <v>46</v>
      </c>
      <c r="C67" s="1"/>
      <c r="D67" s="1"/>
      <c r="E67" s="1"/>
      <c r="F67" s="1"/>
      <c r="G67" s="2"/>
    </row>
    <row r="68" ht="15.75" customHeight="1">
      <c r="A68" s="35" t="s">
        <v>347</v>
      </c>
      <c r="B68" s="36"/>
      <c r="C68" s="37"/>
      <c r="D68" s="37"/>
      <c r="E68" s="37"/>
      <c r="F68" s="37"/>
      <c r="G68" s="38">
        <f>(G13-G66)</f>
        <v>623215</v>
      </c>
    </row>
    <row r="69" ht="15.75" customHeight="1">
      <c r="A69" s="1"/>
      <c r="B69" s="4"/>
      <c r="C69" s="1"/>
      <c r="D69" s="1"/>
      <c r="E69" s="1"/>
      <c r="F69" s="1"/>
      <c r="G69" s="2"/>
    </row>
    <row r="70" ht="15.75" customHeight="1">
      <c r="A70" s="22" t="s">
        <v>254</v>
      </c>
      <c r="B70" s="1" t="s">
        <v>255</v>
      </c>
      <c r="C70" s="1"/>
      <c r="D70" s="1"/>
      <c r="E70" s="1"/>
      <c r="F70" s="1"/>
      <c r="G70" s="2"/>
    </row>
    <row r="71" ht="15.75" customHeight="1">
      <c r="A71" s="22"/>
      <c r="B71" s="1"/>
      <c r="C71" s="1"/>
      <c r="D71" s="1"/>
      <c r="E71" s="1"/>
      <c r="F71" s="1"/>
      <c r="G71" s="2"/>
    </row>
    <row r="72" ht="15.75" customHeight="1">
      <c r="A72" s="1"/>
      <c r="B72" s="27" t="s">
        <v>51</v>
      </c>
      <c r="C72" s="27"/>
      <c r="D72" s="27"/>
      <c r="E72" s="27"/>
      <c r="F72" s="27"/>
      <c r="G72" s="28"/>
    </row>
    <row r="73" ht="15.75" customHeight="1">
      <c r="A73" s="1"/>
      <c r="B73" s="1"/>
      <c r="C73" s="1"/>
      <c r="D73" s="1"/>
      <c r="E73" s="1"/>
      <c r="F73" s="1"/>
      <c r="G73" s="2"/>
    </row>
    <row r="74" ht="15.75" customHeight="1">
      <c r="A74" s="1"/>
      <c r="B74" s="1"/>
      <c r="C74" s="1"/>
      <c r="D74" s="1"/>
      <c r="E74" s="1"/>
      <c r="F74" s="1"/>
      <c r="G74" s="2"/>
    </row>
    <row r="75" ht="15.75" customHeight="1">
      <c r="A75" s="44"/>
      <c r="B75" s="45" t="s">
        <v>348</v>
      </c>
      <c r="C75" s="46"/>
      <c r="D75" s="46"/>
      <c r="E75" s="46"/>
      <c r="F75" s="46"/>
      <c r="G75" s="47">
        <f>SUM(G5,G68,-G72)</f>
        <v>4227901</v>
      </c>
    </row>
    <row r="76" ht="15.75" customHeight="1">
      <c r="A76" s="1"/>
      <c r="B76" s="1"/>
      <c r="C76" s="1"/>
      <c r="D76" s="1"/>
      <c r="E76" s="1"/>
      <c r="F76" s="1"/>
      <c r="G76" s="2"/>
    </row>
    <row r="77" ht="15.75" customHeight="1">
      <c r="A77" s="1"/>
      <c r="B77" s="32" t="s">
        <v>349</v>
      </c>
    </row>
    <row r="78" ht="15.75" customHeight="1">
      <c r="A78" s="1"/>
      <c r="B78" s="1"/>
      <c r="C78" s="1" t="s">
        <v>113</v>
      </c>
      <c r="D78" s="1"/>
      <c r="E78" s="1"/>
      <c r="F78" s="1"/>
      <c r="G78" s="1">
        <v>71800.0</v>
      </c>
    </row>
    <row r="79" ht="15.75" customHeight="1">
      <c r="A79" s="1"/>
      <c r="B79" s="1"/>
      <c r="C79" s="1" t="s">
        <v>114</v>
      </c>
      <c r="D79" s="1"/>
      <c r="E79" s="1"/>
      <c r="F79" s="1"/>
      <c r="G79" s="1">
        <v>212000.0</v>
      </c>
    </row>
    <row r="80" ht="15.75" customHeight="1">
      <c r="A80" s="1"/>
      <c r="B80" s="1"/>
      <c r="C80" s="43" t="s">
        <v>115</v>
      </c>
      <c r="D80" s="1"/>
      <c r="E80" s="1"/>
      <c r="F80" s="1"/>
      <c r="G80" s="1">
        <f>SUM(G78,G79)</f>
        <v>283800</v>
      </c>
    </row>
    <row r="81" ht="15.75" customHeight="1">
      <c r="A81" s="1"/>
      <c r="B81" s="1"/>
      <c r="C81" s="43"/>
      <c r="D81" s="1"/>
      <c r="E81" s="1"/>
      <c r="F81" s="1"/>
      <c r="G81" s="1"/>
    </row>
    <row r="82" ht="15.75" customHeight="1">
      <c r="A82" s="1"/>
      <c r="B82" s="33" t="s">
        <v>350</v>
      </c>
      <c r="C82" s="1"/>
      <c r="D82" s="1"/>
      <c r="E82" s="1"/>
      <c r="F82" s="1"/>
      <c r="G82" s="2"/>
    </row>
    <row r="83" ht="15.75" customHeight="1">
      <c r="A83" s="1"/>
      <c r="B83" s="4"/>
      <c r="C83" s="1"/>
      <c r="D83" s="1"/>
      <c r="E83" s="1"/>
      <c r="F83" s="1"/>
      <c r="G83" s="2"/>
    </row>
    <row r="84" ht="15.75" customHeight="1">
      <c r="A84" s="1"/>
      <c r="B84" s="26" t="s">
        <v>351</v>
      </c>
      <c r="C84" s="1"/>
      <c r="D84" s="1"/>
      <c r="E84" s="1"/>
      <c r="F84" s="1"/>
      <c r="G84" s="2"/>
    </row>
    <row r="85" ht="15.75" customHeight="1">
      <c r="A85" s="1"/>
      <c r="B85" s="26"/>
      <c r="C85" s="1"/>
      <c r="D85" s="1"/>
      <c r="E85" s="1"/>
      <c r="F85" s="1"/>
      <c r="G85" s="2"/>
    </row>
    <row r="86" ht="15.75" customHeight="1">
      <c r="A86" s="1"/>
      <c r="B86" s="26" t="s">
        <v>352</v>
      </c>
      <c r="C86" s="1"/>
      <c r="D86" s="1"/>
      <c r="E86" s="1"/>
      <c r="F86" s="1"/>
      <c r="G86" s="2"/>
    </row>
    <row r="87" ht="15.75" customHeight="1">
      <c r="A87" s="1"/>
      <c r="B87" s="4"/>
      <c r="C87" s="1"/>
      <c r="D87" s="1"/>
      <c r="E87" s="1"/>
      <c r="F87" s="1"/>
      <c r="G87" s="2"/>
    </row>
    <row r="88" ht="15.75" customHeight="1">
      <c r="A88" s="1"/>
      <c r="B88" s="26" t="s">
        <v>353</v>
      </c>
      <c r="C88" s="1"/>
      <c r="D88" s="1"/>
      <c r="E88" s="1"/>
      <c r="F88" s="1"/>
      <c r="G88" s="2"/>
    </row>
    <row r="89" ht="15.75" customHeight="1">
      <c r="A89" s="1"/>
      <c r="B89" s="4"/>
      <c r="C89" s="1"/>
      <c r="D89" s="1"/>
      <c r="E89" s="1"/>
      <c r="F89" s="1"/>
      <c r="G89" s="2"/>
    </row>
    <row r="90" ht="15.75" customHeight="1">
      <c r="A90" s="1"/>
      <c r="B90" s="26" t="s">
        <v>354</v>
      </c>
      <c r="C90" s="1"/>
      <c r="D90" s="1"/>
      <c r="E90" s="1"/>
      <c r="F90" s="1"/>
      <c r="G90" s="2"/>
    </row>
    <row r="91" ht="15.75" customHeight="1">
      <c r="A91" s="1"/>
      <c r="B91" s="26"/>
      <c r="C91" s="1"/>
      <c r="D91" s="1"/>
      <c r="E91" s="1"/>
      <c r="F91" s="1"/>
      <c r="G91" s="2"/>
    </row>
    <row r="92" ht="15.75" customHeight="1">
      <c r="A92" s="1"/>
      <c r="B92" s="34" t="s">
        <v>355</v>
      </c>
      <c r="C92" s="1"/>
      <c r="D92" s="1"/>
      <c r="E92" s="1"/>
      <c r="F92" s="1"/>
      <c r="G92" s="2"/>
    </row>
    <row r="93" ht="15.75" customHeight="1">
      <c r="A93" s="1"/>
      <c r="B93" s="1"/>
      <c r="C93" s="1"/>
      <c r="D93" s="1"/>
      <c r="E93" s="1"/>
      <c r="F93" s="1"/>
      <c r="G93" s="2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77:G77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8.0"/>
    <col customWidth="1" min="8" max="26" width="10.71"/>
  </cols>
  <sheetData>
    <row r="3">
      <c r="A3" s="1"/>
      <c r="B3" s="3" t="s">
        <v>356</v>
      </c>
      <c r="C3" s="1"/>
      <c r="D3" s="1"/>
      <c r="E3" s="1"/>
      <c r="F3" s="1"/>
      <c r="G3" s="2"/>
    </row>
    <row r="4">
      <c r="A4" s="1"/>
      <c r="B4" s="4"/>
      <c r="C4" s="1"/>
      <c r="D4" s="1"/>
      <c r="E4" s="1"/>
      <c r="F4" s="1"/>
      <c r="G4" s="2"/>
    </row>
    <row r="5">
      <c r="A5" s="1"/>
      <c r="B5" s="5" t="s">
        <v>357</v>
      </c>
      <c r="C5" s="1"/>
      <c r="D5" s="1"/>
      <c r="E5" s="1"/>
      <c r="F5" s="1"/>
      <c r="G5" s="2">
        <v>4227901.0</v>
      </c>
    </row>
    <row r="6">
      <c r="A6" s="1"/>
      <c r="B6" s="4"/>
      <c r="C6" s="1"/>
      <c r="D6" s="1"/>
      <c r="E6" s="1"/>
      <c r="F6" s="1"/>
      <c r="G6" s="2"/>
    </row>
    <row r="7">
      <c r="A7" s="6" t="s">
        <v>358</v>
      </c>
      <c r="B7" s="1"/>
      <c r="C7" s="1"/>
      <c r="D7" s="1"/>
      <c r="E7" s="1"/>
      <c r="F7" s="1"/>
      <c r="G7" s="2"/>
    </row>
    <row r="8">
      <c r="A8" s="1"/>
      <c r="B8" s="4" t="s">
        <v>63</v>
      </c>
      <c r="C8" s="1"/>
      <c r="D8" s="1"/>
      <c r="E8" s="1"/>
      <c r="F8" s="1"/>
      <c r="G8" s="7">
        <v>894700.0</v>
      </c>
    </row>
    <row r="9">
      <c r="A9" s="1"/>
      <c r="B9" s="4" t="s">
        <v>64</v>
      </c>
      <c r="C9" s="1"/>
      <c r="D9" s="1"/>
      <c r="E9" s="1"/>
      <c r="F9" s="1"/>
      <c r="G9" s="7">
        <v>1002800.0</v>
      </c>
    </row>
    <row r="10">
      <c r="A10" s="1"/>
      <c r="B10" s="4" t="s">
        <v>65</v>
      </c>
      <c r="C10" s="1"/>
      <c r="D10" s="1"/>
      <c r="E10" s="1"/>
      <c r="F10" s="1"/>
      <c r="G10" s="7">
        <v>952900.0</v>
      </c>
    </row>
    <row r="11">
      <c r="A11" s="1"/>
      <c r="B11" s="4" t="s">
        <v>66</v>
      </c>
      <c r="C11" s="1"/>
      <c r="D11" s="1"/>
      <c r="E11" s="1"/>
      <c r="F11" s="1"/>
      <c r="G11" s="8">
        <v>856900.0</v>
      </c>
    </row>
    <row r="12">
      <c r="A12" s="1"/>
      <c r="B12" s="4" t="s">
        <v>67</v>
      </c>
      <c r="C12" s="1"/>
      <c r="D12" s="1"/>
      <c r="E12" s="4" t="s">
        <v>8</v>
      </c>
      <c r="F12" s="1"/>
      <c r="G12" s="7">
        <v>545100.0</v>
      </c>
    </row>
    <row r="13">
      <c r="A13" s="1"/>
      <c r="B13" s="9" t="s">
        <v>9</v>
      </c>
      <c r="C13" s="10"/>
      <c r="D13" s="10"/>
      <c r="E13" s="10"/>
      <c r="F13" s="10"/>
      <c r="G13" s="11">
        <f>SUM(G8:G12)</f>
        <v>4252400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359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360</v>
      </c>
      <c r="C17" s="1"/>
      <c r="D17" s="1"/>
      <c r="E17" s="1"/>
      <c r="F17" s="1"/>
      <c r="G17" s="2">
        <v>118000.0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75000.0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65000.0</v>
      </c>
    </row>
    <row r="23" ht="15.75" customHeight="1">
      <c r="A23" s="1"/>
      <c r="B23" s="4" t="s">
        <v>70</v>
      </c>
      <c r="C23" s="1"/>
      <c r="D23" s="1"/>
      <c r="E23" s="1"/>
      <c r="F23" s="1"/>
      <c r="G23" s="2">
        <v>50000.0</v>
      </c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568000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4" t="s">
        <v>361</v>
      </c>
      <c r="C26" s="15"/>
      <c r="D26" s="1"/>
      <c r="E26" s="1"/>
      <c r="F26" s="1"/>
      <c r="G26" s="2">
        <v>222420.0</v>
      </c>
    </row>
    <row r="27" ht="15.75" customHeight="1">
      <c r="A27" s="1"/>
      <c r="B27" s="4" t="s">
        <v>362</v>
      </c>
      <c r="C27" s="15"/>
      <c r="D27" s="1"/>
      <c r="E27" s="1"/>
      <c r="F27" s="1"/>
      <c r="G27" s="2">
        <v>15000.0</v>
      </c>
    </row>
    <row r="28" ht="15.75" customHeight="1">
      <c r="A28" s="1"/>
      <c r="B28" s="4" t="s">
        <v>363</v>
      </c>
      <c r="C28" s="15"/>
      <c r="D28" s="1"/>
      <c r="E28" s="1"/>
      <c r="F28" s="1"/>
      <c r="G28" s="2">
        <v>4350.0</v>
      </c>
    </row>
    <row r="29" ht="15.75" customHeight="1">
      <c r="A29" s="1"/>
      <c r="B29" s="4" t="s">
        <v>364</v>
      </c>
      <c r="C29" s="15"/>
      <c r="D29" s="1"/>
      <c r="E29" s="1"/>
      <c r="F29" s="1"/>
      <c r="G29" s="2">
        <v>7000.0</v>
      </c>
    </row>
    <row r="30" ht="15.75" customHeight="1">
      <c r="A30" s="1"/>
      <c r="B30" s="4" t="s">
        <v>365</v>
      </c>
      <c r="C30" s="15"/>
      <c r="D30" s="1"/>
      <c r="E30" s="1"/>
      <c r="F30" s="1"/>
      <c r="G30" s="2">
        <v>2000.0</v>
      </c>
    </row>
    <row r="31" ht="15.75" customHeight="1">
      <c r="A31" s="1"/>
      <c r="B31" s="4" t="s">
        <v>366</v>
      </c>
      <c r="C31" s="15"/>
      <c r="D31" s="1"/>
      <c r="E31" s="1"/>
      <c r="F31" s="1"/>
      <c r="G31" s="2">
        <v>65250.0</v>
      </c>
    </row>
    <row r="32" ht="15.75" customHeight="1">
      <c r="A32" s="1"/>
      <c r="B32" s="4" t="s">
        <v>367</v>
      </c>
      <c r="C32" s="15"/>
      <c r="D32" s="1"/>
      <c r="E32" s="1"/>
      <c r="F32" s="1"/>
      <c r="G32" s="2">
        <v>2000.0</v>
      </c>
    </row>
    <row r="33" ht="15.75" customHeight="1">
      <c r="A33" s="1"/>
      <c r="B33" s="4" t="s">
        <v>368</v>
      </c>
      <c r="C33" s="15"/>
      <c r="D33" s="1"/>
      <c r="E33" s="1"/>
      <c r="F33" s="1"/>
      <c r="G33" s="2">
        <v>8000.0</v>
      </c>
    </row>
    <row r="34" ht="15.75" customHeight="1">
      <c r="A34" s="1"/>
      <c r="B34" s="4" t="s">
        <v>369</v>
      </c>
      <c r="C34" s="15"/>
      <c r="D34" s="1"/>
      <c r="E34" s="1"/>
      <c r="F34" s="1"/>
      <c r="G34" s="2">
        <v>150000.0</v>
      </c>
    </row>
    <row r="35" ht="15.75" customHeight="1">
      <c r="A35" s="1"/>
      <c r="B35" s="4" t="s">
        <v>370</v>
      </c>
      <c r="C35" s="15"/>
      <c r="D35" s="1"/>
      <c r="E35" s="1"/>
      <c r="F35" s="1"/>
      <c r="G35" s="2">
        <v>150000.0</v>
      </c>
    </row>
    <row r="36" ht="15.75" customHeight="1">
      <c r="A36" s="1"/>
      <c r="B36" s="4" t="s">
        <v>371</v>
      </c>
      <c r="C36" s="15"/>
      <c r="D36" s="1"/>
      <c r="E36" s="1"/>
      <c r="F36" s="1"/>
      <c r="G36" s="2">
        <v>612500.0</v>
      </c>
    </row>
    <row r="37" ht="15.75" customHeight="1">
      <c r="A37" s="1"/>
      <c r="B37" s="4" t="s">
        <v>372</v>
      </c>
      <c r="C37" s="15"/>
      <c r="D37" s="1"/>
      <c r="E37" s="1"/>
      <c r="F37" s="1"/>
      <c r="G37" s="2">
        <v>37000.0</v>
      </c>
    </row>
    <row r="38" ht="15.75" customHeight="1">
      <c r="A38" s="1"/>
      <c r="B38" s="4" t="s">
        <v>373</v>
      </c>
      <c r="C38" s="15"/>
      <c r="D38" s="1"/>
      <c r="E38" s="1"/>
      <c r="F38" s="1"/>
      <c r="G38" s="2">
        <v>20000.0</v>
      </c>
    </row>
    <row r="39" ht="15.75" customHeight="1">
      <c r="A39" s="1"/>
      <c r="B39" s="4" t="s">
        <v>374</v>
      </c>
      <c r="C39" s="15"/>
      <c r="D39" s="1"/>
      <c r="E39" s="1"/>
      <c r="F39" s="1"/>
      <c r="G39" s="2">
        <v>30000.0</v>
      </c>
    </row>
    <row r="40" ht="15.75" customHeight="1">
      <c r="A40" s="1"/>
      <c r="B40" s="4" t="s">
        <v>75</v>
      </c>
      <c r="C40" s="15"/>
      <c r="D40" s="1"/>
      <c r="E40" s="1"/>
      <c r="F40" s="1"/>
      <c r="G40" s="2">
        <v>100000.0</v>
      </c>
    </row>
    <row r="41" ht="15.75" customHeight="1">
      <c r="A41" s="1"/>
      <c r="B41" s="4" t="s">
        <v>375</v>
      </c>
      <c r="C41" s="15"/>
      <c r="D41" s="1"/>
      <c r="E41" s="1"/>
      <c r="F41" s="1"/>
      <c r="G41" s="2">
        <v>2000.0</v>
      </c>
    </row>
    <row r="42" ht="15.75" customHeight="1">
      <c r="A42" s="1"/>
      <c r="B42" s="4" t="s">
        <v>320</v>
      </c>
      <c r="C42" s="15"/>
      <c r="D42" s="1"/>
      <c r="E42" s="1"/>
      <c r="F42" s="1"/>
      <c r="G42" s="2">
        <v>10000.0</v>
      </c>
    </row>
    <row r="43" ht="15.75" customHeight="1">
      <c r="A43" s="1"/>
      <c r="B43" s="4" t="s">
        <v>376</v>
      </c>
      <c r="C43" s="15"/>
      <c r="D43" s="1"/>
      <c r="E43" s="1"/>
      <c r="F43" s="1"/>
      <c r="G43" s="2">
        <v>284710.0</v>
      </c>
    </row>
    <row r="44" ht="15.75" customHeight="1">
      <c r="A44" s="1"/>
      <c r="B44" s="4" t="s">
        <v>377</v>
      </c>
      <c r="C44" s="15"/>
      <c r="D44" s="1"/>
      <c r="E44" s="1"/>
      <c r="F44" s="1"/>
      <c r="G44" s="2">
        <v>41295.0</v>
      </c>
    </row>
    <row r="45" ht="15.75" customHeight="1">
      <c r="A45" s="1"/>
      <c r="B45" s="4" t="s">
        <v>378</v>
      </c>
      <c r="C45" s="15"/>
      <c r="D45" s="1"/>
      <c r="E45" s="1"/>
      <c r="F45" s="1"/>
      <c r="G45" s="2">
        <v>4700.0</v>
      </c>
    </row>
    <row r="46" ht="15.75" customHeight="1">
      <c r="A46" s="1"/>
      <c r="B46" s="4" t="s">
        <v>379</v>
      </c>
      <c r="C46" s="15"/>
      <c r="D46" s="1"/>
      <c r="E46" s="1"/>
      <c r="F46" s="1"/>
      <c r="G46" s="2">
        <v>11000.0</v>
      </c>
    </row>
    <row r="47" ht="15.75" customHeight="1">
      <c r="A47" s="1"/>
      <c r="B47" s="4" t="s">
        <v>380</v>
      </c>
      <c r="C47" s="15"/>
      <c r="D47" s="1"/>
      <c r="E47" s="1"/>
      <c r="F47" s="1"/>
      <c r="G47" s="2">
        <v>15500.0</v>
      </c>
    </row>
    <row r="48" ht="15.75" customHeight="1">
      <c r="A48" s="1"/>
      <c r="B48" s="4" t="s">
        <v>381</v>
      </c>
      <c r="C48" s="15"/>
      <c r="D48" s="1"/>
      <c r="E48" s="1"/>
      <c r="F48" s="1"/>
      <c r="G48" s="2">
        <v>18000.0</v>
      </c>
    </row>
    <row r="49" ht="15.75" customHeight="1">
      <c r="A49" s="1"/>
      <c r="B49" s="4" t="s">
        <v>382</v>
      </c>
      <c r="C49" s="15"/>
      <c r="D49" s="1"/>
      <c r="E49" s="1"/>
      <c r="F49" s="1"/>
      <c r="G49" s="2">
        <v>3510.0</v>
      </c>
    </row>
    <row r="50" ht="15.75" customHeight="1">
      <c r="A50" s="1"/>
      <c r="B50" s="4" t="s">
        <v>383</v>
      </c>
      <c r="C50" s="15"/>
      <c r="D50" s="1"/>
      <c r="E50" s="1"/>
      <c r="F50" s="1"/>
      <c r="G50" s="2">
        <v>28000.0</v>
      </c>
    </row>
    <row r="51" ht="15.75" customHeight="1">
      <c r="A51" s="1"/>
      <c r="B51" s="4" t="s">
        <v>384</v>
      </c>
      <c r="C51" s="15"/>
      <c r="D51" s="1"/>
      <c r="E51" s="1"/>
      <c r="F51" s="1"/>
      <c r="G51" s="2">
        <v>2000.0</v>
      </c>
    </row>
    <row r="52" ht="15.75" customHeight="1">
      <c r="A52" s="1"/>
      <c r="B52" s="4" t="s">
        <v>385</v>
      </c>
      <c r="C52" s="15"/>
      <c r="D52" s="1"/>
      <c r="E52" s="1"/>
      <c r="F52" s="1"/>
      <c r="G52" s="2">
        <v>5000.0</v>
      </c>
    </row>
    <row r="53" ht="15.75" customHeight="1">
      <c r="A53" s="1"/>
      <c r="B53" s="4" t="s">
        <v>386</v>
      </c>
      <c r="C53" s="15"/>
      <c r="D53" s="1"/>
      <c r="E53" s="1"/>
      <c r="F53" s="1"/>
      <c r="G53" s="2">
        <v>15000.0</v>
      </c>
    </row>
    <row r="54" ht="15.75" customHeight="1">
      <c r="A54" s="1"/>
      <c r="B54" s="4" t="s">
        <v>387</v>
      </c>
      <c r="C54" s="15"/>
      <c r="D54" s="1"/>
      <c r="E54" s="1"/>
      <c r="F54" s="1"/>
      <c r="G54" s="2">
        <v>2000.0</v>
      </c>
    </row>
    <row r="55" ht="15.75" customHeight="1">
      <c r="A55" s="1"/>
      <c r="B55" s="4" t="s">
        <v>388</v>
      </c>
      <c r="C55" s="15"/>
      <c r="D55" s="1"/>
      <c r="E55" s="1"/>
      <c r="F55" s="1"/>
      <c r="G55" s="2">
        <v>387500.0</v>
      </c>
    </row>
    <row r="56" ht="15.75" customHeight="1">
      <c r="A56" s="1"/>
      <c r="B56" s="4" t="s">
        <v>389</v>
      </c>
      <c r="C56" s="15"/>
      <c r="D56" s="1"/>
      <c r="E56" s="1"/>
      <c r="F56" s="1"/>
      <c r="G56" s="2">
        <v>175000.0</v>
      </c>
    </row>
    <row r="57" ht="15.75" customHeight="1">
      <c r="A57" s="1"/>
      <c r="B57" s="4" t="s">
        <v>390</v>
      </c>
      <c r="C57" s="15"/>
      <c r="D57" s="1"/>
      <c r="E57" s="1"/>
      <c r="F57" s="1"/>
      <c r="G57" s="2">
        <v>2000.0</v>
      </c>
    </row>
    <row r="58" ht="15.75" customHeight="1">
      <c r="A58" s="22"/>
      <c r="B58" s="1"/>
      <c r="C58" s="1"/>
      <c r="D58" s="1"/>
      <c r="E58" s="1"/>
      <c r="F58" s="1"/>
      <c r="G58" s="2"/>
    </row>
    <row r="59" ht="15.75" customHeight="1">
      <c r="A59" s="1"/>
      <c r="B59" s="4"/>
      <c r="C59" s="15"/>
      <c r="D59" s="1"/>
      <c r="E59" s="1"/>
      <c r="F59" s="1"/>
      <c r="G59" s="2"/>
    </row>
    <row r="60" ht="15.75" customHeight="1">
      <c r="A60" s="1"/>
      <c r="B60" s="16" t="s">
        <v>43</v>
      </c>
      <c r="C60" s="10"/>
      <c r="D60" s="10"/>
      <c r="E60" s="10"/>
      <c r="F60" s="10"/>
      <c r="G60" s="17">
        <f>SUM(G26:G59)</f>
        <v>2432735</v>
      </c>
    </row>
    <row r="61" ht="15.75" customHeight="1">
      <c r="A61" s="1"/>
      <c r="B61" s="1"/>
      <c r="C61" s="1"/>
      <c r="D61" s="1"/>
      <c r="E61" s="1"/>
      <c r="F61" s="1"/>
      <c r="G61" s="18" t="s">
        <v>44</v>
      </c>
    </row>
    <row r="62" ht="15.75" customHeight="1">
      <c r="A62" s="1"/>
      <c r="B62" s="19" t="s">
        <v>45</v>
      </c>
      <c r="C62" s="20"/>
      <c r="D62" s="20"/>
      <c r="E62" s="20"/>
      <c r="F62" s="20"/>
      <c r="G62" s="21">
        <f>SUM(G24,G60)</f>
        <v>3000735</v>
      </c>
    </row>
    <row r="63" ht="15.75" customHeight="1">
      <c r="A63" s="1"/>
      <c r="B63" s="4" t="s">
        <v>46</v>
      </c>
      <c r="C63" s="1"/>
      <c r="D63" s="1"/>
      <c r="E63" s="1"/>
      <c r="F63" s="1"/>
      <c r="G63" s="2"/>
    </row>
    <row r="64" ht="15.75" customHeight="1">
      <c r="A64" s="35" t="s">
        <v>391</v>
      </c>
      <c r="B64" s="36"/>
      <c r="C64" s="37"/>
      <c r="D64" s="37"/>
      <c r="E64" s="37"/>
      <c r="F64" s="37"/>
      <c r="G64" s="38">
        <f>(G13-G62)</f>
        <v>1251665</v>
      </c>
    </row>
    <row r="65" ht="15.75" customHeight="1">
      <c r="A65" s="1"/>
      <c r="B65" s="4"/>
      <c r="C65" s="1"/>
      <c r="D65" s="1"/>
      <c r="E65" s="1"/>
      <c r="F65" s="1"/>
      <c r="G65" s="2"/>
    </row>
    <row r="66" ht="15.75" customHeight="1">
      <c r="A66" s="22" t="s">
        <v>254</v>
      </c>
      <c r="B66" s="1" t="s">
        <v>255</v>
      </c>
      <c r="C66" s="1"/>
      <c r="D66" s="1"/>
      <c r="E66" s="1"/>
      <c r="F66" s="1"/>
      <c r="G66" s="2"/>
    </row>
    <row r="67" ht="15.75" customHeight="1">
      <c r="A67" s="22"/>
      <c r="B67" s="1"/>
      <c r="C67" s="1"/>
      <c r="D67" s="1"/>
      <c r="E67" s="1"/>
      <c r="F67" s="1"/>
      <c r="G67" s="2"/>
    </row>
    <row r="68" ht="15.75" customHeight="1">
      <c r="A68" s="1"/>
      <c r="B68" s="27" t="s">
        <v>51</v>
      </c>
      <c r="C68" s="27"/>
      <c r="D68" s="27"/>
      <c r="E68" s="27"/>
      <c r="F68" s="27"/>
      <c r="G68" s="28"/>
    </row>
    <row r="69" ht="15.75" customHeight="1">
      <c r="A69" s="1"/>
      <c r="B69" s="1"/>
      <c r="C69" s="1"/>
      <c r="D69" s="1"/>
      <c r="E69" s="1"/>
      <c r="F69" s="1"/>
      <c r="G69" s="2"/>
    </row>
    <row r="70" ht="15.75" customHeight="1">
      <c r="A70" s="1"/>
      <c r="B70" s="1"/>
      <c r="C70" s="1"/>
      <c r="D70" s="1"/>
      <c r="E70" s="1"/>
      <c r="F70" s="1"/>
      <c r="G70" s="2"/>
    </row>
    <row r="71" ht="15.75" customHeight="1">
      <c r="A71" s="44"/>
      <c r="B71" s="45" t="s">
        <v>392</v>
      </c>
      <c r="C71" s="46"/>
      <c r="D71" s="46"/>
      <c r="E71" s="46"/>
      <c r="F71" s="46"/>
      <c r="G71" s="47">
        <f>SUM(G5,G64,-G68)</f>
        <v>5479566</v>
      </c>
    </row>
    <row r="72" ht="15.75" customHeight="1">
      <c r="A72" s="1"/>
      <c r="B72" s="1"/>
      <c r="C72" s="1"/>
      <c r="D72" s="1"/>
      <c r="E72" s="1"/>
      <c r="F72" s="1"/>
      <c r="G72" s="2"/>
    </row>
    <row r="73" ht="15.75" customHeight="1">
      <c r="A73" s="1"/>
      <c r="B73" s="32" t="s">
        <v>393</v>
      </c>
    </row>
    <row r="74" ht="15.75" customHeight="1">
      <c r="A74" s="1"/>
      <c r="B74" s="1"/>
      <c r="C74" s="1" t="s">
        <v>113</v>
      </c>
      <c r="D74" s="1"/>
      <c r="E74" s="1"/>
      <c r="F74" s="1"/>
      <c r="G74" s="2">
        <v>21100.0</v>
      </c>
    </row>
    <row r="75" ht="15.75" customHeight="1">
      <c r="A75" s="1"/>
      <c r="B75" s="1"/>
      <c r="C75" s="1" t="s">
        <v>114</v>
      </c>
      <c r="D75" s="1"/>
      <c r="E75" s="1"/>
      <c r="F75" s="1"/>
      <c r="G75" s="2">
        <v>26500.0</v>
      </c>
    </row>
    <row r="76" ht="15.75" customHeight="1">
      <c r="A76" s="1"/>
      <c r="B76" s="1"/>
      <c r="C76" s="43" t="s">
        <v>115</v>
      </c>
      <c r="D76" s="1"/>
      <c r="E76" s="1"/>
      <c r="F76" s="1"/>
      <c r="G76" s="2">
        <f>SUM(G74,G75)</f>
        <v>47600</v>
      </c>
    </row>
    <row r="77" ht="15.75" customHeight="1">
      <c r="A77" s="1"/>
      <c r="B77" s="1"/>
      <c r="C77" s="43"/>
      <c r="D77" s="1"/>
      <c r="E77" s="1"/>
      <c r="F77" s="1"/>
      <c r="G77" s="1"/>
    </row>
    <row r="78" ht="15.75" customHeight="1">
      <c r="A78" s="1"/>
      <c r="B78" s="33" t="s">
        <v>394</v>
      </c>
      <c r="C78" s="1"/>
      <c r="D78" s="1"/>
      <c r="E78" s="1"/>
      <c r="F78" s="1"/>
      <c r="G78" s="2"/>
    </row>
    <row r="79" ht="15.75" customHeight="1">
      <c r="A79" s="1"/>
      <c r="B79" s="4"/>
      <c r="C79" s="1"/>
      <c r="D79" s="1"/>
      <c r="E79" s="1"/>
      <c r="F79" s="1"/>
      <c r="G79" s="2"/>
    </row>
    <row r="80" ht="15.75" customHeight="1">
      <c r="A80" s="1"/>
      <c r="B80" s="26" t="s">
        <v>395</v>
      </c>
      <c r="C80" s="1"/>
      <c r="D80" s="1"/>
      <c r="E80" s="1"/>
      <c r="F80" s="1"/>
      <c r="G80" s="2"/>
    </row>
    <row r="81" ht="15.75" customHeight="1">
      <c r="A81" s="1"/>
      <c r="B81" s="26"/>
      <c r="C81" s="1"/>
      <c r="D81" s="1"/>
      <c r="E81" s="1"/>
      <c r="F81" s="1"/>
      <c r="G81" s="2"/>
    </row>
    <row r="82" ht="15.75" customHeight="1">
      <c r="A82" s="1"/>
      <c r="B82" s="26" t="s">
        <v>396</v>
      </c>
      <c r="C82" s="1"/>
      <c r="D82" s="1"/>
      <c r="E82" s="1"/>
      <c r="F82" s="1"/>
      <c r="G82" s="2"/>
    </row>
    <row r="83" ht="15.75" customHeight="1">
      <c r="A83" s="1"/>
      <c r="B83" s="4"/>
      <c r="C83" s="1"/>
      <c r="D83" s="1"/>
      <c r="E83" s="1"/>
      <c r="F83" s="1"/>
      <c r="G83" s="2"/>
    </row>
    <row r="84" ht="15.75" customHeight="1">
      <c r="A84" s="1"/>
      <c r="B84" s="26" t="s">
        <v>397</v>
      </c>
      <c r="C84" s="1"/>
      <c r="D84" s="1"/>
      <c r="E84" s="1"/>
      <c r="F84" s="1"/>
      <c r="G84" s="2"/>
    </row>
    <row r="85" ht="15.75" customHeight="1">
      <c r="A85" s="1"/>
      <c r="B85" s="4"/>
      <c r="C85" s="1"/>
      <c r="D85" s="1"/>
      <c r="E85" s="1"/>
      <c r="F85" s="1"/>
      <c r="G85" s="2"/>
    </row>
    <row r="86" ht="15.75" customHeight="1">
      <c r="A86" s="1"/>
      <c r="B86" s="26" t="s">
        <v>398</v>
      </c>
      <c r="C86" s="1"/>
      <c r="D86" s="1"/>
      <c r="E86" s="1"/>
      <c r="F86" s="1"/>
      <c r="G86" s="2"/>
    </row>
    <row r="87" ht="15.75" customHeight="1">
      <c r="A87" s="1"/>
      <c r="B87" s="26"/>
      <c r="C87" s="1"/>
      <c r="D87" s="1"/>
      <c r="E87" s="1"/>
      <c r="F87" s="1"/>
      <c r="G87" s="2"/>
    </row>
    <row r="88" ht="15.75" customHeight="1">
      <c r="A88" s="1"/>
      <c r="B88" s="34" t="s">
        <v>399</v>
      </c>
      <c r="C88" s="1"/>
      <c r="D88" s="1"/>
      <c r="E88" s="1"/>
      <c r="F88" s="1"/>
      <c r="G88" s="2"/>
    </row>
    <row r="89" ht="15.75" customHeight="1">
      <c r="A89" s="1"/>
      <c r="B89" s="1"/>
      <c r="C89" s="1"/>
      <c r="D89" s="1"/>
      <c r="E89" s="1"/>
      <c r="F89" s="1"/>
      <c r="G89" s="2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73:G73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86"/>
    <col customWidth="1" min="8" max="26" width="10.71"/>
  </cols>
  <sheetData>
    <row r="3">
      <c r="A3" s="1"/>
      <c r="B3" s="3" t="s">
        <v>400</v>
      </c>
      <c r="C3" s="1"/>
      <c r="D3" s="1"/>
      <c r="E3" s="1"/>
      <c r="F3" s="1"/>
      <c r="G3" s="2"/>
    </row>
    <row r="4">
      <c r="A4" s="1"/>
      <c r="B4" s="4"/>
      <c r="C4" s="1"/>
      <c r="D4" s="1"/>
      <c r="E4" s="1"/>
      <c r="F4" s="1"/>
      <c r="G4" s="2"/>
    </row>
    <row r="5">
      <c r="A5" s="1"/>
      <c r="B5" s="5" t="s">
        <v>401</v>
      </c>
      <c r="C5" s="1"/>
      <c r="D5" s="1"/>
      <c r="E5" s="1"/>
      <c r="F5" s="1"/>
      <c r="G5" s="2">
        <v>5479566.0</v>
      </c>
    </row>
    <row r="6">
      <c r="A6" s="1"/>
      <c r="B6" s="4"/>
      <c r="C6" s="1"/>
      <c r="D6" s="1"/>
      <c r="E6" s="1"/>
      <c r="F6" s="1"/>
      <c r="G6" s="2"/>
    </row>
    <row r="7">
      <c r="A7" s="6" t="s">
        <v>402</v>
      </c>
      <c r="B7" s="1"/>
      <c r="C7" s="1"/>
      <c r="D7" s="1"/>
      <c r="E7" s="1"/>
      <c r="F7" s="48" t="s">
        <v>403</v>
      </c>
      <c r="G7" s="7" t="s">
        <v>404</v>
      </c>
    </row>
    <row r="8">
      <c r="A8" s="1"/>
      <c r="B8" s="4" t="s">
        <v>63</v>
      </c>
      <c r="C8" s="1"/>
      <c r="D8" s="1"/>
      <c r="E8" s="1"/>
      <c r="F8" s="1">
        <v>328788.0</v>
      </c>
      <c r="G8" s="7">
        <v>233000.0</v>
      </c>
    </row>
    <row r="9">
      <c r="A9" s="1"/>
      <c r="B9" s="4" t="s">
        <v>64</v>
      </c>
      <c r="C9" s="1"/>
      <c r="D9" s="1"/>
      <c r="E9" s="1"/>
      <c r="F9" s="1">
        <v>382500.0</v>
      </c>
      <c r="G9" s="7">
        <v>714000.0</v>
      </c>
    </row>
    <row r="10">
      <c r="A10" s="1"/>
      <c r="B10" s="4" t="s">
        <v>65</v>
      </c>
      <c r="C10" s="1"/>
      <c r="D10" s="1"/>
      <c r="E10" s="1"/>
      <c r="F10" s="1">
        <v>120100.0</v>
      </c>
      <c r="G10" s="7">
        <v>467000.0</v>
      </c>
    </row>
    <row r="11">
      <c r="A11" s="1"/>
      <c r="B11" s="4" t="s">
        <v>66</v>
      </c>
      <c r="C11" s="1"/>
      <c r="D11" s="1"/>
      <c r="E11" s="1"/>
      <c r="F11" s="1">
        <v>262700.0</v>
      </c>
      <c r="G11" s="8">
        <v>1033000.0</v>
      </c>
    </row>
    <row r="12">
      <c r="A12" s="1"/>
      <c r="B12" s="4" t="s">
        <v>67</v>
      </c>
      <c r="C12" s="1"/>
      <c r="D12" s="49" t="s">
        <v>8</v>
      </c>
      <c r="E12" s="49"/>
      <c r="F12" s="49">
        <v>266100.0</v>
      </c>
      <c r="G12" s="7">
        <v>1581000.0</v>
      </c>
    </row>
    <row r="13">
      <c r="A13" s="1"/>
      <c r="B13" s="4"/>
      <c r="C13" s="50" t="s">
        <v>405</v>
      </c>
      <c r="E13" s="4"/>
      <c r="F13" s="1">
        <f t="shared" ref="F13:G13" si="1">SUM(F8:F12)</f>
        <v>1360188</v>
      </c>
      <c r="G13" s="7">
        <f t="shared" si="1"/>
        <v>4028000</v>
      </c>
    </row>
    <row r="14">
      <c r="A14" s="1"/>
      <c r="B14" s="51" t="s">
        <v>9</v>
      </c>
      <c r="C14" s="52"/>
      <c r="D14" s="52"/>
      <c r="E14" s="52"/>
      <c r="F14" s="53"/>
      <c r="G14" s="11">
        <f>SUM(F13:G13)</f>
        <v>5388188</v>
      </c>
    </row>
    <row r="15">
      <c r="A15" s="1"/>
      <c r="B15" s="1"/>
      <c r="C15" s="1"/>
      <c r="D15" s="1"/>
      <c r="E15" s="1"/>
      <c r="F15" s="1"/>
      <c r="G15" s="2"/>
    </row>
    <row r="16">
      <c r="A16" s="6" t="s">
        <v>406</v>
      </c>
      <c r="B16" s="1"/>
      <c r="C16" s="1"/>
      <c r="D16" s="1"/>
      <c r="E16" s="1"/>
      <c r="F16" s="1"/>
      <c r="G16" s="2"/>
    </row>
    <row r="17">
      <c r="A17" s="1"/>
      <c r="B17" s="12" t="s">
        <v>11</v>
      </c>
      <c r="C17" s="1"/>
      <c r="D17" s="1"/>
      <c r="E17" s="1"/>
      <c r="F17" s="1"/>
      <c r="G17" s="2"/>
    </row>
    <row r="18">
      <c r="A18" s="1"/>
      <c r="B18" s="4" t="s">
        <v>407</v>
      </c>
      <c r="C18" s="1"/>
      <c r="D18" s="1"/>
      <c r="E18" s="1"/>
      <c r="F18" s="1"/>
      <c r="G18" s="2">
        <v>112000.0</v>
      </c>
    </row>
    <row r="19">
      <c r="A19" s="1"/>
      <c r="B19" s="4" t="s">
        <v>13</v>
      </c>
      <c r="C19" s="1"/>
      <c r="D19" s="1"/>
      <c r="E19" s="1"/>
      <c r="F19" s="1"/>
      <c r="G19" s="13">
        <v>100000.0</v>
      </c>
    </row>
    <row r="20">
      <c r="A20" s="1"/>
      <c r="B20" s="4" t="s">
        <v>14</v>
      </c>
      <c r="C20" s="1"/>
      <c r="D20" s="1"/>
      <c r="E20" s="1"/>
      <c r="F20" s="1"/>
      <c r="G20" s="13">
        <v>100000.0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2">
        <v>75000.0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2">
        <v>60000.0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2">
        <v>65000.0</v>
      </c>
    </row>
    <row r="24" ht="15.75" customHeight="1">
      <c r="A24" s="1"/>
      <c r="B24" s="4" t="s">
        <v>70</v>
      </c>
      <c r="C24" s="1"/>
      <c r="D24" s="1"/>
      <c r="E24" s="1"/>
      <c r="F24" s="1"/>
      <c r="G24" s="2">
        <v>50000.0</v>
      </c>
    </row>
    <row r="25" ht="15.75" customHeight="1">
      <c r="A25" s="1"/>
      <c r="B25" s="4" t="s">
        <v>408</v>
      </c>
      <c r="C25" s="1"/>
      <c r="D25" s="1"/>
      <c r="E25" s="1"/>
      <c r="F25" s="1"/>
      <c r="G25" s="2">
        <v>75000.0</v>
      </c>
    </row>
    <row r="26" ht="15.75" customHeight="1">
      <c r="A26" s="1"/>
      <c r="B26" s="9" t="s">
        <v>18</v>
      </c>
      <c r="C26" s="10"/>
      <c r="D26" s="10"/>
      <c r="E26" s="10"/>
      <c r="F26" s="10"/>
      <c r="G26" s="14">
        <f>SUM(G18:G25)</f>
        <v>637000</v>
      </c>
    </row>
    <row r="27" ht="15.75" customHeight="1">
      <c r="A27" s="1"/>
      <c r="B27" s="12" t="s">
        <v>19</v>
      </c>
      <c r="C27" s="15"/>
      <c r="D27" s="1"/>
      <c r="E27" s="1"/>
      <c r="F27" s="1"/>
      <c r="G27" s="2"/>
    </row>
    <row r="28" ht="15.75" customHeight="1">
      <c r="A28" s="1"/>
      <c r="B28" s="4" t="s">
        <v>409</v>
      </c>
      <c r="C28" s="15"/>
      <c r="D28" s="1"/>
      <c r="E28" s="1"/>
      <c r="F28" s="1"/>
      <c r="G28" s="2">
        <v>3000.0</v>
      </c>
    </row>
    <row r="29" ht="15.75" customHeight="1">
      <c r="A29" s="1"/>
      <c r="B29" s="4" t="s">
        <v>410</v>
      </c>
      <c r="C29" s="15"/>
      <c r="D29" s="1"/>
      <c r="E29" s="1"/>
      <c r="F29" s="1"/>
      <c r="G29" s="2">
        <v>4788.0</v>
      </c>
    </row>
    <row r="30" ht="15.75" customHeight="1">
      <c r="A30" s="1"/>
      <c r="B30" s="4" t="s">
        <v>411</v>
      </c>
      <c r="C30" s="15"/>
      <c r="D30" s="1"/>
      <c r="E30" s="1"/>
      <c r="F30" s="1"/>
      <c r="G30" s="2">
        <v>2000.0</v>
      </c>
    </row>
    <row r="31" ht="15.75" customHeight="1">
      <c r="A31" s="1"/>
      <c r="B31" s="4" t="s">
        <v>412</v>
      </c>
      <c r="C31" s="15"/>
      <c r="D31" s="1"/>
      <c r="E31" s="1"/>
      <c r="F31" s="1"/>
      <c r="G31" s="2">
        <v>22000.0</v>
      </c>
    </row>
    <row r="32" ht="15.75" customHeight="1">
      <c r="A32" s="1"/>
      <c r="B32" s="4" t="s">
        <v>413</v>
      </c>
      <c r="C32" s="15"/>
      <c r="D32" s="1"/>
      <c r="E32" s="1"/>
      <c r="F32" s="1"/>
      <c r="G32" s="2">
        <v>5000.0</v>
      </c>
    </row>
    <row r="33" ht="15.75" customHeight="1">
      <c r="A33" s="1"/>
      <c r="B33" s="4" t="s">
        <v>414</v>
      </c>
      <c r="C33" s="15"/>
      <c r="D33" s="1"/>
      <c r="E33" s="1"/>
      <c r="F33" s="1"/>
      <c r="G33" s="2">
        <v>300000.0</v>
      </c>
    </row>
    <row r="34" ht="15.75" customHeight="1">
      <c r="A34" s="1"/>
      <c r="B34" s="4" t="s">
        <v>415</v>
      </c>
      <c r="C34" s="15"/>
      <c r="D34" s="1"/>
      <c r="E34" s="1"/>
      <c r="F34" s="1"/>
      <c r="G34" s="2">
        <v>5600.0</v>
      </c>
    </row>
    <row r="35" ht="15.75" customHeight="1">
      <c r="A35" s="1"/>
      <c r="B35" s="4" t="s">
        <v>416</v>
      </c>
      <c r="C35" s="15"/>
      <c r="D35" s="1"/>
      <c r="E35" s="1"/>
      <c r="F35" s="1"/>
      <c r="G35" s="2">
        <v>112000.0</v>
      </c>
    </row>
    <row r="36" ht="15.75" customHeight="1">
      <c r="A36" s="1"/>
      <c r="B36" s="4" t="s">
        <v>417</v>
      </c>
      <c r="C36" s="15"/>
      <c r="D36" s="1"/>
      <c r="E36" s="1"/>
      <c r="F36" s="1"/>
      <c r="G36" s="2">
        <v>5000.0</v>
      </c>
    </row>
    <row r="37" ht="15.75" customHeight="1">
      <c r="A37" s="1"/>
      <c r="B37" s="4" t="s">
        <v>418</v>
      </c>
      <c r="C37" s="15"/>
      <c r="D37" s="1"/>
      <c r="E37" s="1"/>
      <c r="F37" s="1"/>
      <c r="G37" s="2">
        <v>700.0</v>
      </c>
    </row>
    <row r="38" ht="15.75" customHeight="1">
      <c r="A38" s="1"/>
      <c r="B38" s="4" t="s">
        <v>419</v>
      </c>
      <c r="C38" s="15"/>
      <c r="D38" s="1"/>
      <c r="E38" s="1"/>
      <c r="F38" s="1"/>
      <c r="G38" s="2">
        <v>65250.0</v>
      </c>
    </row>
    <row r="39" ht="15.75" customHeight="1">
      <c r="A39" s="1"/>
      <c r="B39" s="4" t="s">
        <v>420</v>
      </c>
      <c r="C39" s="15"/>
      <c r="D39" s="1"/>
      <c r="E39" s="1"/>
      <c r="F39" s="1"/>
      <c r="G39" s="2"/>
    </row>
    <row r="40" ht="15.75" customHeight="1">
      <c r="A40" s="1"/>
      <c r="B40" s="4" t="s">
        <v>282</v>
      </c>
      <c r="C40" s="15"/>
      <c r="D40" s="1"/>
      <c r="E40" s="1"/>
      <c r="F40" s="1"/>
      <c r="G40" s="2">
        <v>100000.0</v>
      </c>
    </row>
    <row r="41" ht="15.75" customHeight="1">
      <c r="A41" s="1"/>
      <c r="B41" s="4" t="s">
        <v>421</v>
      </c>
      <c r="C41" s="15"/>
      <c r="D41" s="1"/>
      <c r="E41" s="1"/>
      <c r="F41" s="1"/>
      <c r="G41" s="2">
        <v>2000.0</v>
      </c>
    </row>
    <row r="42" ht="15.75" customHeight="1">
      <c r="A42" s="1"/>
      <c r="B42" s="4" t="s">
        <v>422</v>
      </c>
      <c r="C42" s="15"/>
      <c r="D42" s="1"/>
      <c r="E42" s="1"/>
      <c r="F42" s="1"/>
      <c r="G42" s="2">
        <v>50000.0</v>
      </c>
    </row>
    <row r="43" ht="15.75" customHeight="1">
      <c r="A43" s="1"/>
      <c r="B43" s="4" t="s">
        <v>423</v>
      </c>
      <c r="C43" s="15"/>
      <c r="D43" s="1"/>
      <c r="E43" s="1"/>
      <c r="F43" s="1"/>
      <c r="G43" s="2"/>
    </row>
    <row r="44" ht="15.75" customHeight="1">
      <c r="A44" s="1"/>
      <c r="B44" s="4" t="s">
        <v>424</v>
      </c>
      <c r="C44" s="15"/>
      <c r="D44" s="1"/>
      <c r="E44" s="1"/>
      <c r="F44" s="1"/>
      <c r="G44" s="2">
        <v>73350.0</v>
      </c>
    </row>
    <row r="45" ht="15.75" customHeight="1">
      <c r="A45" s="1"/>
      <c r="B45" s="4" t="s">
        <v>380</v>
      </c>
      <c r="C45" s="15"/>
      <c r="D45" s="1"/>
      <c r="E45" s="1"/>
      <c r="F45" s="1"/>
      <c r="G45" s="2">
        <v>15500.0</v>
      </c>
    </row>
    <row r="46" ht="15.75" customHeight="1">
      <c r="A46" s="1"/>
      <c r="B46" s="4" t="s">
        <v>425</v>
      </c>
      <c r="C46" s="15"/>
      <c r="D46" s="1"/>
      <c r="E46" s="1"/>
      <c r="F46" s="1"/>
      <c r="G46" s="2">
        <v>4000.0</v>
      </c>
    </row>
    <row r="47" ht="15.75" customHeight="1">
      <c r="A47" s="1"/>
      <c r="B47" s="4" t="s">
        <v>426</v>
      </c>
      <c r="C47" s="15"/>
      <c r="D47" s="1"/>
      <c r="E47" s="1"/>
      <c r="F47" s="1"/>
      <c r="G47" s="2">
        <v>45400.0</v>
      </c>
    </row>
    <row r="48" ht="15.75" customHeight="1">
      <c r="A48" s="1"/>
      <c r="B48" s="4" t="s">
        <v>427</v>
      </c>
      <c r="C48" s="15"/>
      <c r="D48" s="1"/>
      <c r="E48" s="1"/>
      <c r="F48" s="1"/>
      <c r="G48" s="2">
        <v>8000.0</v>
      </c>
    </row>
    <row r="49" ht="15.75" customHeight="1">
      <c r="A49" s="1"/>
      <c r="B49" s="4" t="s">
        <v>428</v>
      </c>
      <c r="C49" s="15"/>
      <c r="D49" s="1"/>
      <c r="E49" s="1"/>
      <c r="F49" s="1"/>
      <c r="G49" s="2">
        <v>2000.0</v>
      </c>
    </row>
    <row r="50" ht="15.75" customHeight="1">
      <c r="A50" s="1"/>
      <c r="B50" s="4" t="s">
        <v>429</v>
      </c>
      <c r="C50" s="15"/>
      <c r="D50" s="1"/>
      <c r="E50" s="1"/>
      <c r="F50" s="1"/>
      <c r="G50" s="2">
        <v>4125.0</v>
      </c>
    </row>
    <row r="51" ht="15.75" customHeight="1">
      <c r="A51" s="1"/>
      <c r="B51" s="4" t="s">
        <v>430</v>
      </c>
      <c r="C51" s="15"/>
      <c r="D51" s="1"/>
      <c r="E51" s="1"/>
      <c r="F51" s="1"/>
      <c r="G51" s="2">
        <v>2000.0</v>
      </c>
    </row>
    <row r="52" ht="15.75" customHeight="1">
      <c r="A52" s="1"/>
      <c r="B52" s="4" t="s">
        <v>282</v>
      </c>
      <c r="C52" s="15"/>
      <c r="D52" s="1"/>
      <c r="E52" s="1"/>
      <c r="F52" s="1"/>
      <c r="G52" s="2">
        <v>100000.0</v>
      </c>
    </row>
    <row r="53" ht="15.75" customHeight="1">
      <c r="A53" s="1"/>
      <c r="B53" s="4" t="s">
        <v>185</v>
      </c>
      <c r="C53" s="15"/>
      <c r="D53" s="1"/>
      <c r="E53" s="1"/>
      <c r="F53" s="1"/>
      <c r="G53" s="2">
        <v>2000.0</v>
      </c>
    </row>
    <row r="54" ht="15.75" customHeight="1">
      <c r="A54" s="1"/>
      <c r="B54" s="4" t="s">
        <v>431</v>
      </c>
      <c r="C54" s="15"/>
      <c r="D54" s="1"/>
      <c r="E54" s="1"/>
      <c r="F54" s="1"/>
      <c r="G54" s="2">
        <v>47000.0</v>
      </c>
    </row>
    <row r="55" ht="15.75" customHeight="1">
      <c r="A55" s="1"/>
      <c r="B55" s="4" t="s">
        <v>432</v>
      </c>
      <c r="C55" s="15"/>
      <c r="D55" s="1"/>
      <c r="E55" s="1"/>
      <c r="F55" s="1"/>
      <c r="G55" s="2">
        <v>426000.0</v>
      </c>
    </row>
    <row r="56" ht="15.75" customHeight="1">
      <c r="A56" s="1"/>
      <c r="B56" s="4" t="s">
        <v>433</v>
      </c>
      <c r="C56" s="15"/>
      <c r="D56" s="1"/>
      <c r="E56" s="1"/>
      <c r="F56" s="1"/>
      <c r="G56" s="2">
        <v>19600.0</v>
      </c>
    </row>
    <row r="57" ht="15.75" customHeight="1">
      <c r="A57" s="1"/>
      <c r="B57" s="4"/>
      <c r="C57" s="15"/>
      <c r="D57" s="1"/>
      <c r="E57" s="1"/>
      <c r="F57" s="1"/>
      <c r="G57" s="2"/>
    </row>
    <row r="58" ht="15.75" customHeight="1">
      <c r="A58" s="1"/>
      <c r="B58" s="4"/>
      <c r="C58" s="15"/>
      <c r="D58" s="1"/>
      <c r="E58" s="1"/>
      <c r="F58" s="1"/>
      <c r="G58" s="2"/>
    </row>
    <row r="59" ht="15.75" customHeight="1">
      <c r="A59" s="1"/>
      <c r="B59" s="4"/>
      <c r="C59" s="15"/>
      <c r="D59" s="1"/>
      <c r="E59" s="1"/>
      <c r="F59" s="1"/>
      <c r="G59" s="2"/>
    </row>
    <row r="60" ht="15.75" customHeight="1">
      <c r="A60" s="22"/>
      <c r="B60" s="1"/>
      <c r="C60" s="1"/>
      <c r="D60" s="1"/>
      <c r="E60" s="1"/>
      <c r="F60" s="1"/>
      <c r="G60" s="2"/>
    </row>
    <row r="61" ht="15.75" customHeight="1">
      <c r="A61" s="1"/>
      <c r="B61" s="4"/>
      <c r="C61" s="15"/>
      <c r="D61" s="1"/>
      <c r="E61" s="1"/>
      <c r="F61" s="1"/>
      <c r="G61" s="2"/>
    </row>
    <row r="62" ht="15.75" customHeight="1">
      <c r="A62" s="1"/>
      <c r="B62" s="16" t="s">
        <v>43</v>
      </c>
      <c r="C62" s="10"/>
      <c r="D62" s="10"/>
      <c r="E62" s="10"/>
      <c r="F62" s="10"/>
      <c r="G62" s="17">
        <f>SUM(G28:G61)</f>
        <v>1426313</v>
      </c>
    </row>
    <row r="63" ht="15.75" customHeight="1">
      <c r="A63" s="1"/>
      <c r="B63" s="1"/>
      <c r="C63" s="1"/>
      <c r="D63" s="1"/>
      <c r="E63" s="1"/>
      <c r="F63" s="1"/>
      <c r="G63" s="18" t="s">
        <v>44</v>
      </c>
    </row>
    <row r="64" ht="15.75" customHeight="1">
      <c r="A64" s="1"/>
      <c r="B64" s="19" t="s">
        <v>45</v>
      </c>
      <c r="C64" s="20"/>
      <c r="D64" s="20"/>
      <c r="E64" s="20"/>
      <c r="F64" s="20"/>
      <c r="G64" s="21">
        <f>SUM(G26,G62)</f>
        <v>2063313</v>
      </c>
    </row>
    <row r="65" ht="15.75" customHeight="1">
      <c r="A65" s="1"/>
      <c r="B65" s="4" t="s">
        <v>46</v>
      </c>
      <c r="C65" s="1"/>
      <c r="D65" s="1"/>
      <c r="E65" s="1"/>
      <c r="F65" s="1"/>
      <c r="G65" s="2"/>
    </row>
    <row r="66" ht="15.75" customHeight="1">
      <c r="A66" s="35" t="s">
        <v>434</v>
      </c>
      <c r="B66" s="36"/>
      <c r="C66" s="37"/>
      <c r="D66" s="37"/>
      <c r="E66" s="37"/>
      <c r="F66" s="37"/>
      <c r="G66" s="38">
        <f>(G14-G64)</f>
        <v>3324875</v>
      </c>
    </row>
    <row r="67" ht="15.75" customHeight="1">
      <c r="A67" s="1"/>
      <c r="B67" s="4"/>
      <c r="C67" s="1"/>
      <c r="D67" s="1"/>
      <c r="E67" s="1"/>
      <c r="F67" s="1"/>
      <c r="G67" s="2"/>
    </row>
    <row r="68" ht="15.75" customHeight="1">
      <c r="A68" s="22" t="s">
        <v>254</v>
      </c>
      <c r="B68" s="1" t="s">
        <v>255</v>
      </c>
      <c r="C68" s="1"/>
      <c r="D68" s="1"/>
      <c r="E68" s="1"/>
      <c r="F68" s="1"/>
      <c r="G68" s="2"/>
    </row>
    <row r="69" ht="15.75" customHeight="1">
      <c r="A69" s="22"/>
      <c r="B69" s="1"/>
      <c r="C69" s="1"/>
      <c r="D69" s="1"/>
      <c r="E69" s="1"/>
      <c r="F69" s="1"/>
      <c r="G69" s="2"/>
    </row>
    <row r="70" ht="15.75" customHeight="1">
      <c r="A70" s="1"/>
      <c r="B70" s="27" t="s">
        <v>51</v>
      </c>
      <c r="C70" s="27"/>
      <c r="D70" s="27"/>
      <c r="E70" s="27"/>
      <c r="F70" s="27"/>
      <c r="G70" s="28"/>
    </row>
    <row r="71" ht="15.75" customHeight="1">
      <c r="A71" s="1"/>
      <c r="B71" s="1"/>
      <c r="C71" s="1"/>
      <c r="D71" s="1"/>
      <c r="E71" s="1"/>
      <c r="F71" s="1"/>
      <c r="G71" s="2"/>
    </row>
    <row r="72" ht="15.75" customHeight="1">
      <c r="A72" s="1"/>
      <c r="B72" s="1"/>
      <c r="C72" s="1"/>
      <c r="D72" s="1"/>
      <c r="E72" s="1"/>
      <c r="F72" s="1"/>
      <c r="G72" s="2"/>
    </row>
    <row r="73" ht="15.75" customHeight="1">
      <c r="A73" s="44"/>
      <c r="B73" s="45" t="s">
        <v>435</v>
      </c>
      <c r="C73" s="46"/>
      <c r="D73" s="46"/>
      <c r="E73" s="46"/>
      <c r="F73" s="46"/>
      <c r="G73" s="47">
        <f>SUM(G5,G66,-G70)</f>
        <v>8804441</v>
      </c>
    </row>
    <row r="74" ht="15.75" customHeight="1">
      <c r="A74" s="1"/>
      <c r="B74" s="1"/>
      <c r="C74" s="1"/>
      <c r="D74" s="1"/>
      <c r="E74" s="1"/>
      <c r="F74" s="1"/>
      <c r="G74" s="2"/>
    </row>
    <row r="75" ht="15.75" customHeight="1">
      <c r="A75" s="1"/>
      <c r="B75" s="32" t="s">
        <v>436</v>
      </c>
    </row>
    <row r="76" ht="15.75" customHeight="1">
      <c r="A76" s="1"/>
      <c r="B76" s="1"/>
      <c r="C76" s="1" t="s">
        <v>113</v>
      </c>
      <c r="D76" s="1"/>
      <c r="E76" s="1"/>
      <c r="F76" s="1"/>
      <c r="G76" s="2">
        <v>19100.0</v>
      </c>
    </row>
    <row r="77" ht="15.75" customHeight="1">
      <c r="A77" s="1"/>
      <c r="B77" s="1"/>
      <c r="C77" s="1" t="s">
        <v>114</v>
      </c>
      <c r="D77" s="1"/>
      <c r="E77" s="1"/>
      <c r="F77" s="1"/>
      <c r="G77" s="2">
        <v>49500.0</v>
      </c>
    </row>
    <row r="78" ht="15.75" customHeight="1">
      <c r="A78" s="1"/>
      <c r="B78" s="1"/>
      <c r="C78" s="43" t="s">
        <v>115</v>
      </c>
      <c r="D78" s="1"/>
      <c r="E78" s="1"/>
      <c r="F78" s="1"/>
      <c r="G78" s="2">
        <f>SUM(G76,G77)</f>
        <v>68600</v>
      </c>
    </row>
    <row r="79" ht="15.75" customHeight="1">
      <c r="A79" s="1"/>
      <c r="B79" s="1"/>
      <c r="C79" s="43"/>
      <c r="D79" s="1"/>
      <c r="E79" s="1"/>
      <c r="F79" s="1"/>
      <c r="G79" s="1"/>
    </row>
    <row r="80" ht="15.75" customHeight="1">
      <c r="A80" s="1"/>
      <c r="B80" s="33" t="s">
        <v>437</v>
      </c>
      <c r="C80" s="1"/>
      <c r="D80" s="1"/>
      <c r="E80" s="1"/>
      <c r="F80" s="1"/>
      <c r="G80" s="2"/>
    </row>
    <row r="81" ht="15.75" customHeight="1">
      <c r="A81" s="1"/>
      <c r="B81" s="4"/>
      <c r="C81" s="1"/>
      <c r="D81" s="1"/>
      <c r="E81" s="1"/>
      <c r="F81" s="1"/>
      <c r="G81" s="2"/>
    </row>
    <row r="82" ht="15.75" customHeight="1">
      <c r="A82" s="1"/>
      <c r="B82" s="26" t="s">
        <v>438</v>
      </c>
      <c r="C82" s="1"/>
      <c r="D82" s="1"/>
      <c r="E82" s="1"/>
      <c r="F82" s="1"/>
      <c r="G82" s="2"/>
    </row>
    <row r="83" ht="15.75" customHeight="1">
      <c r="A83" s="1"/>
      <c r="B83" s="26"/>
      <c r="C83" s="1"/>
      <c r="D83" s="1"/>
      <c r="E83" s="1"/>
      <c r="F83" s="1"/>
      <c r="G83" s="2"/>
    </row>
    <row r="84" ht="15.75" customHeight="1">
      <c r="A84" s="1"/>
      <c r="B84" s="26" t="s">
        <v>439</v>
      </c>
      <c r="C84" s="1"/>
      <c r="D84" s="1"/>
      <c r="E84" s="1"/>
      <c r="F84" s="1"/>
      <c r="G84" s="2"/>
    </row>
    <row r="85" ht="15.75" customHeight="1">
      <c r="A85" s="1"/>
      <c r="B85" s="4"/>
      <c r="C85" s="1"/>
      <c r="D85" s="1"/>
      <c r="E85" s="1"/>
      <c r="F85" s="1"/>
      <c r="G85" s="2"/>
    </row>
    <row r="86" ht="15.75" customHeight="1">
      <c r="A86" s="1"/>
      <c r="B86" s="26" t="s">
        <v>440</v>
      </c>
      <c r="C86" s="1"/>
      <c r="D86" s="1"/>
      <c r="E86" s="1"/>
      <c r="F86" s="1"/>
      <c r="G86" s="2"/>
    </row>
    <row r="87" ht="15.75" customHeight="1">
      <c r="A87" s="1"/>
      <c r="B87" s="4"/>
      <c r="C87" s="1"/>
      <c r="D87" s="1"/>
      <c r="E87" s="1"/>
      <c r="F87" s="1"/>
      <c r="G87" s="2"/>
    </row>
    <row r="88" ht="15.75" customHeight="1">
      <c r="A88" s="1"/>
      <c r="B88" s="26" t="s">
        <v>441</v>
      </c>
      <c r="C88" s="1"/>
      <c r="D88" s="1"/>
      <c r="E88" s="1"/>
      <c r="F88" s="1"/>
      <c r="G88" s="2"/>
    </row>
    <row r="89" ht="15.75" customHeight="1">
      <c r="A89" s="1"/>
      <c r="B89" s="26"/>
      <c r="C89" s="1"/>
      <c r="D89" s="1"/>
      <c r="E89" s="1"/>
      <c r="F89" s="1"/>
      <c r="G89" s="2"/>
    </row>
    <row r="90" ht="15.75" customHeight="1">
      <c r="A90" s="1"/>
      <c r="B90" s="34" t="s">
        <v>442</v>
      </c>
      <c r="C90" s="1"/>
      <c r="D90" s="1"/>
      <c r="E90" s="1"/>
      <c r="F90" s="1"/>
      <c r="G90" s="2"/>
    </row>
    <row r="91" ht="15.75" customHeight="1">
      <c r="A91" s="1"/>
      <c r="B91" s="1"/>
      <c r="C91" s="1"/>
      <c r="D91" s="1"/>
      <c r="E91" s="1"/>
      <c r="F91" s="1"/>
      <c r="G91" s="2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3:D13"/>
    <mergeCell ref="B14:F14"/>
    <mergeCell ref="B75:G7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4.86"/>
    <col customWidth="1" min="8" max="26" width="10.71"/>
  </cols>
  <sheetData>
    <row r="3">
      <c r="A3" s="1"/>
      <c r="B3" s="3" t="s">
        <v>443</v>
      </c>
      <c r="C3" s="1"/>
      <c r="D3" s="1"/>
      <c r="E3" s="1"/>
      <c r="F3" s="1"/>
      <c r="G3" s="2"/>
    </row>
    <row r="4">
      <c r="A4" s="1"/>
      <c r="B4" s="4"/>
      <c r="C4" s="1"/>
      <c r="D4" s="1"/>
      <c r="E4" s="1"/>
      <c r="F4" s="1"/>
      <c r="G4" s="2"/>
    </row>
    <row r="5">
      <c r="A5" s="1"/>
      <c r="B5" s="5" t="s">
        <v>444</v>
      </c>
      <c r="C5" s="1"/>
      <c r="D5" s="1"/>
      <c r="E5" s="1"/>
      <c r="F5" s="1"/>
      <c r="G5" s="2">
        <v>8804441.0</v>
      </c>
    </row>
    <row r="6">
      <c r="A6" s="1"/>
      <c r="B6" s="4"/>
      <c r="C6" s="1"/>
      <c r="D6" s="1"/>
      <c r="E6" s="1"/>
      <c r="F6" s="1"/>
      <c r="G6" s="2"/>
    </row>
    <row r="7">
      <c r="A7" s="6" t="s">
        <v>445</v>
      </c>
      <c r="B7" s="1"/>
      <c r="C7" s="1"/>
      <c r="D7" s="1"/>
      <c r="E7" s="1"/>
      <c r="F7" s="48" t="s">
        <v>403</v>
      </c>
      <c r="G7" s="7" t="s">
        <v>404</v>
      </c>
    </row>
    <row r="8">
      <c r="A8" s="1"/>
      <c r="B8" s="4" t="s">
        <v>63</v>
      </c>
      <c r="C8" s="1"/>
      <c r="D8" s="1"/>
      <c r="E8" s="1"/>
      <c r="F8" s="2">
        <v>363506.0</v>
      </c>
      <c r="G8" s="7">
        <v>744000.0</v>
      </c>
    </row>
    <row r="9">
      <c r="A9" s="1"/>
      <c r="B9" s="4" t="s">
        <v>64</v>
      </c>
      <c r="C9" s="1"/>
      <c r="D9" s="1"/>
      <c r="E9" s="1"/>
      <c r="F9" s="2">
        <v>268950.0</v>
      </c>
      <c r="G9" s="7">
        <v>418000.0</v>
      </c>
    </row>
    <row r="10">
      <c r="A10" s="1"/>
      <c r="B10" s="4" t="s">
        <v>65</v>
      </c>
      <c r="C10" s="1"/>
      <c r="D10" s="1"/>
      <c r="E10" s="1"/>
      <c r="F10" s="2">
        <v>343800.0</v>
      </c>
      <c r="G10" s="7">
        <v>501500.0</v>
      </c>
    </row>
    <row r="11">
      <c r="A11" s="1"/>
      <c r="B11" s="4" t="s">
        <v>66</v>
      </c>
      <c r="C11" s="1"/>
      <c r="D11" s="1"/>
      <c r="E11" s="1"/>
      <c r="F11" s="2">
        <v>582000.0</v>
      </c>
      <c r="G11" s="8">
        <v>376675.0</v>
      </c>
    </row>
    <row r="12">
      <c r="A12" s="1"/>
      <c r="B12" s="4" t="s">
        <v>67</v>
      </c>
      <c r="C12" s="1"/>
      <c r="D12" s="49" t="s">
        <v>8</v>
      </c>
      <c r="E12" s="49"/>
      <c r="F12" s="54">
        <v>52500.0</v>
      </c>
      <c r="G12" s="7">
        <v>117000.0</v>
      </c>
    </row>
    <row r="13">
      <c r="A13" s="1"/>
      <c r="B13" s="4"/>
      <c r="C13" s="50" t="s">
        <v>405</v>
      </c>
      <c r="E13" s="4"/>
      <c r="F13" s="2">
        <f t="shared" ref="F13:G13" si="1">SUM(F8:F12)</f>
        <v>1610756</v>
      </c>
      <c r="G13" s="7">
        <f t="shared" si="1"/>
        <v>2157175</v>
      </c>
    </row>
    <row r="14">
      <c r="A14" s="1"/>
      <c r="B14" s="51" t="s">
        <v>9</v>
      </c>
      <c r="C14" s="52"/>
      <c r="D14" s="52"/>
      <c r="E14" s="52"/>
      <c r="F14" s="53"/>
      <c r="G14" s="11">
        <f>SUM(F13:G13)</f>
        <v>3767931</v>
      </c>
    </row>
    <row r="15">
      <c r="A15" s="1"/>
      <c r="B15" s="1"/>
      <c r="C15" s="1"/>
      <c r="D15" s="1"/>
      <c r="E15" s="1"/>
      <c r="F15" s="1"/>
      <c r="G15" s="2"/>
    </row>
    <row r="16">
      <c r="A16" s="6" t="s">
        <v>446</v>
      </c>
      <c r="B16" s="1"/>
      <c r="C16" s="1"/>
      <c r="D16" s="1"/>
      <c r="E16" s="1"/>
      <c r="F16" s="1"/>
      <c r="G16" s="2"/>
    </row>
    <row r="17">
      <c r="A17" s="1"/>
      <c r="B17" s="12" t="s">
        <v>11</v>
      </c>
      <c r="C17" s="1"/>
      <c r="D17" s="1"/>
      <c r="E17" s="1"/>
      <c r="F17" s="1"/>
      <c r="G17" s="2"/>
    </row>
    <row r="18">
      <c r="A18" s="1"/>
      <c r="B18" s="4" t="s">
        <v>447</v>
      </c>
      <c r="C18" s="1"/>
      <c r="D18" s="1"/>
      <c r="E18" s="1"/>
      <c r="F18" s="1"/>
      <c r="G18" s="2">
        <v>126000.0</v>
      </c>
    </row>
    <row r="19">
      <c r="A19" s="1"/>
      <c r="B19" s="4" t="s">
        <v>13</v>
      </c>
      <c r="C19" s="1"/>
      <c r="D19" s="1"/>
      <c r="E19" s="1"/>
      <c r="F19" s="1"/>
      <c r="G19" s="13">
        <v>100000.0</v>
      </c>
    </row>
    <row r="20">
      <c r="A20" s="1"/>
      <c r="B20" s="4" t="s">
        <v>14</v>
      </c>
      <c r="C20" s="1"/>
      <c r="D20" s="1"/>
      <c r="E20" s="1"/>
      <c r="F20" s="1"/>
      <c r="G20" s="13">
        <v>100000.0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2">
        <v>75000.0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2">
        <v>60000.0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2">
        <v>65000.0</v>
      </c>
    </row>
    <row r="24" ht="15.75" customHeight="1">
      <c r="A24" s="1"/>
      <c r="B24" s="4" t="s">
        <v>70</v>
      </c>
      <c r="C24" s="1"/>
      <c r="D24" s="1"/>
      <c r="E24" s="1"/>
      <c r="F24" s="1"/>
      <c r="G24" s="2">
        <v>50000.0</v>
      </c>
    </row>
    <row r="25" ht="15.75" customHeight="1">
      <c r="A25" s="1"/>
      <c r="B25" s="4" t="s">
        <v>448</v>
      </c>
      <c r="C25" s="1"/>
      <c r="D25" s="1"/>
      <c r="E25" s="1"/>
      <c r="F25" s="1"/>
      <c r="G25" s="2">
        <v>150000.0</v>
      </c>
    </row>
    <row r="26" ht="15.75" customHeight="1">
      <c r="A26" s="1"/>
      <c r="B26" s="9" t="s">
        <v>18</v>
      </c>
      <c r="C26" s="10"/>
      <c r="D26" s="10"/>
      <c r="E26" s="10"/>
      <c r="F26" s="10"/>
      <c r="G26" s="14">
        <f>SUM(G18:G25)</f>
        <v>726000</v>
      </c>
    </row>
    <row r="27" ht="15.75" customHeight="1">
      <c r="A27" s="1"/>
      <c r="B27" s="12" t="s">
        <v>19</v>
      </c>
      <c r="C27" s="15"/>
      <c r="D27" s="1"/>
      <c r="E27" s="1"/>
      <c r="F27" s="1"/>
      <c r="G27" s="2"/>
    </row>
    <row r="28" ht="15.75" customHeight="1">
      <c r="A28" s="1"/>
      <c r="B28" s="4" t="s">
        <v>449</v>
      </c>
      <c r="C28" s="15"/>
      <c r="D28" s="1"/>
      <c r="E28" s="1"/>
      <c r="F28" s="1"/>
      <c r="G28" s="2">
        <v>4000.0</v>
      </c>
    </row>
    <row r="29" ht="15.75" customHeight="1">
      <c r="A29" s="1"/>
      <c r="B29" s="4" t="s">
        <v>450</v>
      </c>
      <c r="C29" s="15"/>
      <c r="D29" s="1"/>
      <c r="E29" s="1"/>
      <c r="F29" s="1"/>
      <c r="G29" s="2">
        <v>36000.0</v>
      </c>
    </row>
    <row r="30" ht="15.75" customHeight="1">
      <c r="A30" s="1"/>
      <c r="B30" s="4" t="s">
        <v>451</v>
      </c>
      <c r="C30" s="15"/>
      <c r="D30" s="1"/>
      <c r="E30" s="1"/>
      <c r="F30" s="1"/>
      <c r="G30" s="2">
        <v>2000.0</v>
      </c>
    </row>
    <row r="31" ht="15.75" customHeight="1">
      <c r="A31" s="1"/>
      <c r="B31" s="4" t="s">
        <v>452</v>
      </c>
      <c r="C31" s="15"/>
      <c r="D31" s="1"/>
      <c r="E31" s="1"/>
      <c r="F31" s="1"/>
      <c r="G31" s="2">
        <v>1856.0</v>
      </c>
    </row>
    <row r="32" ht="15.75" customHeight="1">
      <c r="A32" s="1"/>
      <c r="B32" s="4" t="s">
        <v>453</v>
      </c>
      <c r="C32" s="15"/>
      <c r="D32" s="1"/>
      <c r="E32" s="1"/>
      <c r="F32" s="1"/>
      <c r="G32" s="2">
        <v>150885.0</v>
      </c>
    </row>
    <row r="33" ht="15.75" customHeight="1">
      <c r="A33" s="1"/>
      <c r="B33" s="4" t="s">
        <v>454</v>
      </c>
      <c r="C33" s="15"/>
      <c r="D33" s="1"/>
      <c r="E33" s="1"/>
      <c r="F33" s="1"/>
      <c r="G33" s="2">
        <v>56420.0</v>
      </c>
    </row>
    <row r="34" ht="15.75" customHeight="1">
      <c r="A34" s="1"/>
      <c r="B34" s="4" t="s">
        <v>455</v>
      </c>
      <c r="C34" s="15"/>
      <c r="D34" s="1"/>
      <c r="E34" s="1"/>
      <c r="F34" s="1"/>
      <c r="G34" s="2">
        <v>787500.0</v>
      </c>
    </row>
    <row r="35" ht="15.75" customHeight="1">
      <c r="A35" s="1"/>
      <c r="B35" s="4" t="s">
        <v>456</v>
      </c>
      <c r="C35" s="15"/>
      <c r="D35" s="1"/>
      <c r="E35" s="1"/>
      <c r="F35" s="1"/>
      <c r="G35" s="2">
        <v>45000.0</v>
      </c>
    </row>
    <row r="36" ht="15.75" customHeight="1">
      <c r="A36" s="1"/>
      <c r="B36" s="4" t="s">
        <v>457</v>
      </c>
      <c r="C36" s="15"/>
      <c r="D36" s="1"/>
      <c r="E36" s="1"/>
      <c r="F36" s="1"/>
      <c r="G36" s="2">
        <v>10000.0</v>
      </c>
    </row>
    <row r="37" ht="15.75" customHeight="1">
      <c r="A37" s="1"/>
      <c r="B37" s="4" t="s">
        <v>458</v>
      </c>
      <c r="C37" s="15"/>
      <c r="D37" s="1"/>
      <c r="E37" s="1"/>
      <c r="F37" s="1"/>
      <c r="G37" s="2">
        <v>6000.0</v>
      </c>
    </row>
    <row r="38" ht="15.75" customHeight="1">
      <c r="A38" s="1"/>
      <c r="B38" s="4" t="s">
        <v>459</v>
      </c>
      <c r="C38" s="15"/>
      <c r="D38" s="1"/>
      <c r="E38" s="1"/>
      <c r="F38" s="1"/>
      <c r="G38" s="2">
        <v>5000.0</v>
      </c>
    </row>
    <row r="39" ht="15.75" customHeight="1">
      <c r="A39" s="1"/>
      <c r="B39" s="4" t="s">
        <v>460</v>
      </c>
      <c r="C39" s="15"/>
      <c r="D39" s="1"/>
      <c r="E39" s="1"/>
      <c r="F39" s="1"/>
      <c r="G39" s="2">
        <v>20000.0</v>
      </c>
    </row>
    <row r="40" ht="15.75" customHeight="1">
      <c r="A40" s="1"/>
      <c r="B40" s="4" t="s">
        <v>461</v>
      </c>
      <c r="C40" s="15"/>
      <c r="D40" s="1"/>
      <c r="E40" s="1"/>
      <c r="F40" s="1"/>
      <c r="G40" s="2">
        <v>2000.0</v>
      </c>
    </row>
    <row r="41" ht="15.75" customHeight="1">
      <c r="A41" s="1"/>
      <c r="B41" s="4" t="s">
        <v>462</v>
      </c>
      <c r="C41" s="15"/>
      <c r="D41" s="1"/>
      <c r="E41" s="1"/>
      <c r="F41" s="1"/>
      <c r="G41" s="2">
        <v>3500.0</v>
      </c>
    </row>
    <row r="42" ht="15.75" customHeight="1">
      <c r="A42" s="1"/>
      <c r="B42" s="4" t="s">
        <v>463</v>
      </c>
      <c r="C42" s="15"/>
      <c r="D42" s="1"/>
      <c r="E42" s="1"/>
      <c r="F42" s="1"/>
      <c r="G42" s="2">
        <v>12000.0</v>
      </c>
    </row>
    <row r="43" ht="15.75" customHeight="1">
      <c r="A43" s="1"/>
      <c r="B43" s="4" t="s">
        <v>464</v>
      </c>
      <c r="C43" s="15"/>
      <c r="D43" s="1"/>
      <c r="E43" s="1"/>
      <c r="F43" s="1"/>
      <c r="G43" s="2">
        <v>240000.0</v>
      </c>
    </row>
    <row r="44" ht="15.75" customHeight="1">
      <c r="A44" s="1"/>
      <c r="B44" s="4" t="s">
        <v>465</v>
      </c>
      <c r="C44" s="15"/>
      <c r="D44" s="1"/>
      <c r="E44" s="1"/>
      <c r="F44" s="1"/>
      <c r="G44" s="2">
        <v>218500.0</v>
      </c>
    </row>
    <row r="45" ht="15.75" customHeight="1">
      <c r="A45" s="1"/>
      <c r="B45" s="4" t="s">
        <v>466</v>
      </c>
      <c r="C45" s="15"/>
      <c r="D45" s="1"/>
      <c r="E45" s="1"/>
      <c r="F45" s="1"/>
      <c r="G45" s="2">
        <v>2000.0</v>
      </c>
    </row>
    <row r="46" ht="15.75" customHeight="1">
      <c r="A46" s="1"/>
      <c r="B46" s="4" t="s">
        <v>467</v>
      </c>
      <c r="C46" s="15"/>
      <c r="D46" s="1"/>
      <c r="E46" s="1"/>
      <c r="F46" s="1"/>
      <c r="G46" s="2">
        <v>3000.0</v>
      </c>
    </row>
    <row r="47" ht="15.75" customHeight="1">
      <c r="A47" s="1"/>
      <c r="B47" s="4" t="s">
        <v>75</v>
      </c>
      <c r="C47" s="15"/>
      <c r="D47" s="1"/>
      <c r="E47" s="1"/>
      <c r="F47" s="1"/>
      <c r="G47" s="2">
        <v>100000.0</v>
      </c>
    </row>
    <row r="48" ht="15.75" customHeight="1">
      <c r="A48" s="1"/>
      <c r="B48" s="4" t="s">
        <v>468</v>
      </c>
      <c r="C48" s="15"/>
      <c r="D48" s="1"/>
      <c r="E48" s="1"/>
      <c r="F48" s="1"/>
      <c r="G48" s="2">
        <v>95787.0</v>
      </c>
    </row>
    <row r="49" ht="15.75" customHeight="1">
      <c r="A49" s="1"/>
      <c r="B49" s="4" t="s">
        <v>246</v>
      </c>
      <c r="C49" s="15"/>
      <c r="D49" s="1"/>
      <c r="E49" s="1"/>
      <c r="F49" s="1"/>
      <c r="G49" s="2">
        <v>2800.0</v>
      </c>
    </row>
    <row r="50" ht="15.75" customHeight="1">
      <c r="A50" s="1"/>
      <c r="B50" s="4" t="s">
        <v>469</v>
      </c>
      <c r="C50" s="15"/>
      <c r="D50" s="1"/>
      <c r="E50" s="1"/>
      <c r="F50" s="1"/>
      <c r="G50" s="2">
        <v>22000.0</v>
      </c>
    </row>
    <row r="51" ht="15.75" customHeight="1">
      <c r="A51" s="1"/>
      <c r="B51" s="4" t="s">
        <v>470</v>
      </c>
      <c r="C51" s="15"/>
      <c r="D51" s="1"/>
      <c r="E51" s="1"/>
      <c r="F51" s="1"/>
      <c r="G51" s="2">
        <v>125000.0</v>
      </c>
    </row>
    <row r="52" ht="15.75" customHeight="1">
      <c r="A52" s="1"/>
      <c r="B52" s="4" t="s">
        <v>471</v>
      </c>
      <c r="C52" s="15"/>
      <c r="D52" s="1"/>
      <c r="E52" s="1"/>
      <c r="F52" s="1"/>
      <c r="G52" s="2">
        <v>2000.0</v>
      </c>
    </row>
    <row r="53" ht="15.75" customHeight="1">
      <c r="A53" s="1"/>
      <c r="B53" s="4" t="s">
        <v>472</v>
      </c>
      <c r="C53" s="15"/>
      <c r="D53" s="1"/>
      <c r="E53" s="1"/>
      <c r="F53" s="1"/>
      <c r="G53" s="2">
        <v>15500.0</v>
      </c>
    </row>
    <row r="54" ht="15.75" customHeight="1">
      <c r="A54" s="1"/>
      <c r="B54" s="4" t="s">
        <v>473</v>
      </c>
      <c r="C54" s="15"/>
      <c r="D54" s="1"/>
      <c r="E54" s="1"/>
      <c r="F54" s="1"/>
      <c r="G54" s="2">
        <v>4000.0</v>
      </c>
    </row>
    <row r="55" ht="15.75" customHeight="1">
      <c r="A55" s="1"/>
      <c r="B55" s="4" t="s">
        <v>474</v>
      </c>
      <c r="C55" s="15"/>
      <c r="D55" s="1"/>
      <c r="E55" s="1"/>
      <c r="F55" s="1"/>
      <c r="G55" s="2">
        <v>15000.0</v>
      </c>
    </row>
    <row r="56" ht="15.75" customHeight="1">
      <c r="A56" s="1"/>
      <c r="B56" s="4" t="s">
        <v>245</v>
      </c>
      <c r="C56" s="15"/>
      <c r="D56" s="1"/>
      <c r="E56" s="1"/>
      <c r="F56" s="1"/>
      <c r="G56" s="2">
        <v>6000.0</v>
      </c>
    </row>
    <row r="57" ht="15.75" customHeight="1">
      <c r="A57" s="1"/>
      <c r="B57" s="4" t="s">
        <v>475</v>
      </c>
      <c r="C57" s="15"/>
      <c r="D57" s="1"/>
      <c r="E57" s="1"/>
      <c r="F57" s="1"/>
      <c r="G57" s="2">
        <v>31495.0</v>
      </c>
    </row>
    <row r="58" ht="15.75" customHeight="1">
      <c r="A58" s="1"/>
      <c r="B58" s="4" t="s">
        <v>476</v>
      </c>
      <c r="C58" s="15"/>
      <c r="D58" s="1"/>
      <c r="E58" s="1"/>
      <c r="F58" s="1"/>
      <c r="G58" s="2">
        <v>15000.0</v>
      </c>
    </row>
    <row r="59" ht="15.75" customHeight="1">
      <c r="A59" s="1"/>
      <c r="B59" s="4"/>
      <c r="C59" s="15"/>
      <c r="D59" s="1"/>
      <c r="E59" s="1"/>
      <c r="F59" s="1"/>
      <c r="G59" s="2"/>
    </row>
    <row r="60" ht="15.75" customHeight="1">
      <c r="A60" s="1"/>
      <c r="B60" s="4"/>
      <c r="C60" s="15"/>
      <c r="D60" s="1"/>
      <c r="E60" s="1"/>
      <c r="F60" s="1"/>
      <c r="G60" s="2"/>
    </row>
    <row r="61" ht="15.75" customHeight="1">
      <c r="A61" s="22"/>
      <c r="B61" s="1"/>
      <c r="C61" s="1"/>
      <c r="D61" s="1"/>
      <c r="E61" s="1"/>
      <c r="F61" s="1"/>
      <c r="G61" s="2"/>
    </row>
    <row r="62" ht="15.75" customHeight="1">
      <c r="A62" s="1"/>
      <c r="B62" s="4"/>
      <c r="C62" s="15"/>
      <c r="D62" s="1"/>
      <c r="E62" s="1"/>
      <c r="F62" s="1"/>
      <c r="G62" s="2"/>
    </row>
    <row r="63" ht="15.75" customHeight="1">
      <c r="A63" s="1"/>
      <c r="B63" s="16" t="s">
        <v>43</v>
      </c>
      <c r="C63" s="10"/>
      <c r="D63" s="10"/>
      <c r="E63" s="10"/>
      <c r="F63" s="10"/>
      <c r="G63" s="17">
        <f>SUM(G28:G62)</f>
        <v>2040243</v>
      </c>
    </row>
    <row r="64" ht="15.75" customHeight="1">
      <c r="A64" s="1"/>
      <c r="B64" s="1"/>
      <c r="C64" s="1"/>
      <c r="D64" s="1"/>
      <c r="E64" s="1"/>
      <c r="F64" s="1"/>
      <c r="G64" s="18" t="s">
        <v>44</v>
      </c>
    </row>
    <row r="65" ht="15.75" customHeight="1">
      <c r="A65" s="1"/>
      <c r="B65" s="19" t="s">
        <v>45</v>
      </c>
      <c r="C65" s="20"/>
      <c r="D65" s="20"/>
      <c r="E65" s="20"/>
      <c r="F65" s="20"/>
      <c r="G65" s="21">
        <f>SUM(G26,G63)</f>
        <v>2766243</v>
      </c>
    </row>
    <row r="66" ht="15.75" customHeight="1">
      <c r="A66" s="1"/>
      <c r="B66" s="4" t="s">
        <v>46</v>
      </c>
      <c r="C66" s="1"/>
      <c r="D66" s="1"/>
      <c r="E66" s="1"/>
      <c r="F66" s="1"/>
      <c r="G66" s="2"/>
    </row>
    <row r="67" ht="15.75" customHeight="1">
      <c r="A67" s="35" t="s">
        <v>477</v>
      </c>
      <c r="B67" s="36"/>
      <c r="C67" s="37"/>
      <c r="D67" s="37"/>
      <c r="E67" s="37"/>
      <c r="F67" s="37"/>
      <c r="G67" s="38">
        <f>(G14-G65)</f>
        <v>1001688</v>
      </c>
    </row>
    <row r="68" ht="15.75" customHeight="1">
      <c r="A68" s="1"/>
      <c r="B68" s="4"/>
      <c r="C68" s="1"/>
      <c r="D68" s="1"/>
      <c r="E68" s="1"/>
      <c r="F68" s="1"/>
      <c r="G68" s="2"/>
    </row>
    <row r="69" ht="15.75" customHeight="1">
      <c r="A69" s="22" t="s">
        <v>254</v>
      </c>
      <c r="B69" s="1" t="s">
        <v>255</v>
      </c>
      <c r="C69" s="1"/>
      <c r="D69" s="1"/>
      <c r="E69" s="1"/>
      <c r="F69" s="1"/>
      <c r="G69" s="2"/>
    </row>
    <row r="70" ht="15.75" customHeight="1">
      <c r="A70" s="22"/>
      <c r="B70" s="1" t="s">
        <v>478</v>
      </c>
      <c r="C70" s="1"/>
      <c r="D70" s="1"/>
      <c r="E70" s="1"/>
      <c r="F70" s="1"/>
      <c r="G70" s="2">
        <v>375000.0</v>
      </c>
    </row>
    <row r="71" ht="15.75" customHeight="1">
      <c r="A71" s="22"/>
      <c r="B71" s="1" t="s">
        <v>479</v>
      </c>
      <c r="C71" s="1"/>
      <c r="D71" s="1"/>
      <c r="E71" s="1"/>
      <c r="F71" s="1"/>
      <c r="G71" s="2">
        <v>300000.0</v>
      </c>
    </row>
    <row r="72" ht="15.75" customHeight="1">
      <c r="A72" s="1"/>
      <c r="B72" s="27" t="s">
        <v>51</v>
      </c>
      <c r="C72" s="27"/>
      <c r="D72" s="27"/>
      <c r="E72" s="27"/>
      <c r="F72" s="27"/>
      <c r="G72" s="28">
        <f>SUM(G70:G71)</f>
        <v>675000</v>
      </c>
    </row>
    <row r="73" ht="15.75" customHeight="1">
      <c r="A73" s="1"/>
      <c r="B73" s="1"/>
      <c r="C73" s="1"/>
      <c r="D73" s="1"/>
      <c r="E73" s="1"/>
      <c r="F73" s="1"/>
      <c r="G73" s="2" t="s">
        <v>480</v>
      </c>
    </row>
    <row r="74" ht="15.75" customHeight="1">
      <c r="A74" s="1"/>
      <c r="B74" s="1"/>
      <c r="C74" s="1"/>
      <c r="D74" s="1"/>
      <c r="E74" s="1"/>
      <c r="F74" s="1"/>
      <c r="G74" s="2"/>
    </row>
    <row r="75" ht="15.75" customHeight="1">
      <c r="A75" s="44"/>
      <c r="B75" s="45" t="s">
        <v>481</v>
      </c>
      <c r="C75" s="46"/>
      <c r="D75" s="46"/>
      <c r="E75" s="46"/>
      <c r="F75" s="46"/>
      <c r="G75" s="47">
        <f>SUM(G5,G67,-G72)</f>
        <v>9131129</v>
      </c>
    </row>
    <row r="76" ht="15.75" customHeight="1">
      <c r="A76" s="1"/>
      <c r="B76" s="1"/>
      <c r="C76" s="1"/>
      <c r="D76" s="1"/>
      <c r="E76" s="1"/>
      <c r="F76" s="1"/>
      <c r="G76" s="2"/>
    </row>
    <row r="77" ht="15.75" customHeight="1">
      <c r="A77" s="1"/>
      <c r="B77" s="32" t="s">
        <v>482</v>
      </c>
    </row>
    <row r="78" ht="15.75" customHeight="1">
      <c r="A78" s="1"/>
      <c r="B78" s="1"/>
      <c r="C78" s="1" t="s">
        <v>113</v>
      </c>
      <c r="D78" s="1"/>
      <c r="E78" s="1"/>
      <c r="F78" s="1"/>
      <c r="G78" s="2">
        <v>17700.0</v>
      </c>
    </row>
    <row r="79" ht="15.75" customHeight="1">
      <c r="A79" s="1"/>
      <c r="B79" s="1"/>
      <c r="C79" s="1" t="s">
        <v>114</v>
      </c>
      <c r="D79" s="1"/>
      <c r="E79" s="1"/>
      <c r="F79" s="1"/>
      <c r="G79" s="2">
        <v>65500.0</v>
      </c>
    </row>
    <row r="80" ht="15.75" customHeight="1">
      <c r="A80" s="1"/>
      <c r="B80" s="1"/>
      <c r="C80" s="43" t="s">
        <v>115</v>
      </c>
      <c r="D80" s="1"/>
      <c r="E80" s="1"/>
      <c r="F80" s="1"/>
      <c r="G80" s="2">
        <f>SUM(G78,G79)</f>
        <v>83200</v>
      </c>
    </row>
    <row r="81" ht="15.75" customHeight="1">
      <c r="A81" s="1"/>
      <c r="B81" s="1"/>
      <c r="C81" s="43"/>
      <c r="D81" s="1"/>
      <c r="E81" s="1"/>
      <c r="F81" s="1"/>
      <c r="G81" s="2"/>
    </row>
    <row r="82" ht="15.75" customHeight="1">
      <c r="A82" s="1"/>
      <c r="B82" s="1" t="s">
        <v>483</v>
      </c>
      <c r="C82" s="43"/>
      <c r="D82" s="1"/>
      <c r="E82" s="1"/>
      <c r="F82" s="1"/>
      <c r="G82" s="2"/>
    </row>
    <row r="83" ht="15.75" customHeight="1">
      <c r="A83" s="1"/>
      <c r="B83" s="1"/>
      <c r="C83" s="43"/>
      <c r="D83" s="1"/>
      <c r="E83" s="1"/>
      <c r="F83" s="1"/>
      <c r="G83" s="1"/>
    </row>
    <row r="84" ht="15.75" customHeight="1">
      <c r="A84" s="1"/>
      <c r="B84" s="33" t="s">
        <v>484</v>
      </c>
      <c r="C84" s="1"/>
      <c r="D84" s="1"/>
      <c r="E84" s="1"/>
      <c r="F84" s="1"/>
      <c r="G84" s="2"/>
    </row>
    <row r="85" ht="15.75" customHeight="1">
      <c r="A85" s="1"/>
      <c r="B85" s="4"/>
      <c r="C85" s="1"/>
      <c r="D85" s="1"/>
      <c r="E85" s="1"/>
      <c r="F85" s="1"/>
      <c r="G85" s="2"/>
    </row>
    <row r="86" ht="15.75" customHeight="1">
      <c r="A86" s="1"/>
      <c r="B86" s="26" t="s">
        <v>485</v>
      </c>
      <c r="C86" s="1"/>
      <c r="D86" s="1"/>
      <c r="E86" s="1"/>
      <c r="F86" s="1"/>
      <c r="G86" s="2"/>
    </row>
    <row r="87" ht="15.75" customHeight="1">
      <c r="A87" s="1"/>
      <c r="B87" s="26"/>
      <c r="C87" s="1"/>
      <c r="D87" s="1"/>
      <c r="E87" s="1"/>
      <c r="F87" s="1"/>
      <c r="G87" s="2"/>
    </row>
    <row r="88" ht="15.75" customHeight="1">
      <c r="A88" s="1"/>
      <c r="B88" s="26" t="s">
        <v>486</v>
      </c>
      <c r="C88" s="1"/>
      <c r="D88" s="1"/>
      <c r="E88" s="1"/>
      <c r="F88" s="1"/>
      <c r="G88" s="2"/>
    </row>
    <row r="89" ht="15.75" customHeight="1">
      <c r="A89" s="1"/>
      <c r="B89" s="4"/>
      <c r="C89" s="1"/>
      <c r="D89" s="1"/>
      <c r="E89" s="1"/>
      <c r="F89" s="1"/>
      <c r="G89" s="2"/>
    </row>
    <row r="90" ht="15.75" customHeight="1">
      <c r="A90" s="1"/>
      <c r="B90" s="26" t="s">
        <v>487</v>
      </c>
      <c r="C90" s="1"/>
      <c r="D90" s="1"/>
      <c r="E90" s="1"/>
      <c r="F90" s="1"/>
      <c r="G90" s="2"/>
    </row>
    <row r="91" ht="15.75" customHeight="1">
      <c r="A91" s="1"/>
      <c r="B91" s="4"/>
      <c r="C91" s="1"/>
      <c r="D91" s="1"/>
      <c r="E91" s="1"/>
      <c r="F91" s="1"/>
      <c r="G91" s="2"/>
    </row>
    <row r="92" ht="15.75" customHeight="1">
      <c r="A92" s="1"/>
      <c r="B92" s="26" t="s">
        <v>488</v>
      </c>
      <c r="C92" s="1"/>
      <c r="D92" s="1"/>
      <c r="E92" s="1"/>
      <c r="F92" s="1"/>
      <c r="G92" s="2"/>
    </row>
    <row r="93" ht="15.75" customHeight="1">
      <c r="A93" s="1"/>
      <c r="B93" s="26"/>
      <c r="C93" s="1"/>
      <c r="D93" s="1"/>
      <c r="E93" s="1"/>
      <c r="F93" s="1"/>
      <c r="G93" s="2"/>
    </row>
    <row r="94" ht="15.75" customHeight="1">
      <c r="A94" s="1"/>
      <c r="B94" s="34" t="s">
        <v>489</v>
      </c>
      <c r="C94" s="1"/>
      <c r="D94" s="1"/>
      <c r="E94" s="1"/>
      <c r="F94" s="1"/>
      <c r="G94" s="2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3:D13"/>
    <mergeCell ref="B14:F14"/>
    <mergeCell ref="B77:G77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57"/>
    <col customWidth="1" min="8" max="8" width="14.86"/>
    <col customWidth="1" min="9" max="26" width="10.71"/>
  </cols>
  <sheetData>
    <row r="3">
      <c r="A3" s="1"/>
      <c r="B3" s="3" t="s">
        <v>490</v>
      </c>
      <c r="C3" s="1"/>
      <c r="D3" s="1"/>
      <c r="E3" s="1"/>
      <c r="F3" s="1"/>
      <c r="G3" s="2"/>
      <c r="H3" s="2"/>
    </row>
    <row r="4">
      <c r="A4" s="1"/>
      <c r="B4" s="4"/>
      <c r="C4" s="1"/>
      <c r="D4" s="1"/>
      <c r="E4" s="1"/>
      <c r="F4" s="1"/>
      <c r="G4" s="2"/>
      <c r="H4" s="2"/>
    </row>
    <row r="5">
      <c r="A5" s="1"/>
      <c r="B5" s="5" t="s">
        <v>491</v>
      </c>
      <c r="C5" s="1"/>
      <c r="D5" s="1"/>
      <c r="E5" s="1"/>
      <c r="F5" s="1"/>
      <c r="G5" s="2">
        <v>9131129.0</v>
      </c>
      <c r="H5" s="2"/>
    </row>
    <row r="6">
      <c r="A6" s="1"/>
      <c r="B6" s="4"/>
      <c r="C6" s="1"/>
      <c r="D6" s="1"/>
      <c r="E6" s="1"/>
      <c r="F6" s="1"/>
      <c r="G6" s="2"/>
      <c r="H6" s="2"/>
    </row>
    <row r="7">
      <c r="A7" s="6" t="s">
        <v>492</v>
      </c>
      <c r="B7" s="1"/>
      <c r="C7" s="1"/>
      <c r="D7" s="1"/>
      <c r="E7" s="1"/>
      <c r="F7" s="48" t="s">
        <v>403</v>
      </c>
      <c r="G7" s="7" t="s">
        <v>404</v>
      </c>
      <c r="H7" s="7"/>
    </row>
    <row r="8">
      <c r="A8" s="1"/>
      <c r="B8" s="4" t="s">
        <v>63</v>
      </c>
      <c r="C8" s="1"/>
      <c r="D8" s="1"/>
      <c r="E8" s="1"/>
      <c r="F8" s="2">
        <v>319300.0</v>
      </c>
      <c r="G8" s="7">
        <v>384000.0</v>
      </c>
      <c r="H8" s="7"/>
    </row>
    <row r="9">
      <c r="A9" s="1"/>
      <c r="B9" s="4" t="s">
        <v>64</v>
      </c>
      <c r="C9" s="1"/>
      <c r="D9" s="1"/>
      <c r="E9" s="1"/>
      <c r="F9" s="2">
        <v>338000.0</v>
      </c>
      <c r="G9" s="7">
        <v>528000.0</v>
      </c>
      <c r="H9" s="7"/>
    </row>
    <row r="10">
      <c r="A10" s="1"/>
      <c r="B10" s="4" t="s">
        <v>65</v>
      </c>
      <c r="C10" s="1"/>
      <c r="D10" s="1"/>
      <c r="E10" s="1"/>
      <c r="F10" s="2">
        <v>805000.0</v>
      </c>
      <c r="G10" s="7">
        <v>169700.0</v>
      </c>
      <c r="H10" s="7"/>
    </row>
    <row r="11">
      <c r="A11" s="1"/>
      <c r="B11" s="4" t="s">
        <v>66</v>
      </c>
      <c r="C11" s="1"/>
      <c r="D11" s="1"/>
      <c r="E11" s="1"/>
      <c r="F11" s="2">
        <v>230575.0</v>
      </c>
      <c r="G11" s="8">
        <v>818000.0</v>
      </c>
      <c r="H11" s="8"/>
    </row>
    <row r="12">
      <c r="A12" s="1"/>
      <c r="B12" s="4" t="s">
        <v>67</v>
      </c>
      <c r="C12" s="1"/>
      <c r="D12" s="49" t="s">
        <v>8</v>
      </c>
      <c r="E12" s="49"/>
      <c r="F12" s="54">
        <v>218400.0</v>
      </c>
      <c r="G12" s="7">
        <v>697000.0</v>
      </c>
      <c r="H12" s="7"/>
    </row>
    <row r="13">
      <c r="A13" s="1"/>
      <c r="B13" s="4"/>
      <c r="C13" s="50" t="s">
        <v>405</v>
      </c>
      <c r="E13" s="4"/>
      <c r="F13" s="2">
        <f t="shared" ref="F13:G13" si="1">SUM(F8:F12)</f>
        <v>1911275</v>
      </c>
      <c r="G13" s="7">
        <f t="shared" si="1"/>
        <v>2596700</v>
      </c>
      <c r="H13" s="7"/>
    </row>
    <row r="14">
      <c r="A14" s="1"/>
      <c r="B14" s="51" t="s">
        <v>9</v>
      </c>
      <c r="C14" s="52"/>
      <c r="D14" s="52"/>
      <c r="E14" s="52"/>
      <c r="F14" s="53"/>
      <c r="G14" s="11">
        <f>SUM(F13:G13)</f>
        <v>4507975</v>
      </c>
      <c r="H14" s="11"/>
    </row>
    <row r="15">
      <c r="A15" s="1"/>
      <c r="B15" s="1"/>
      <c r="C15" s="1"/>
      <c r="D15" s="1"/>
      <c r="E15" s="1"/>
      <c r="F15" s="1"/>
      <c r="G15" s="2"/>
      <c r="H15" s="2"/>
    </row>
    <row r="16">
      <c r="A16" s="6" t="s">
        <v>493</v>
      </c>
      <c r="B16" s="1"/>
      <c r="C16" s="1"/>
      <c r="D16" s="1"/>
      <c r="E16" s="1"/>
      <c r="F16" s="1"/>
      <c r="G16" s="2"/>
      <c r="H16" s="2"/>
    </row>
    <row r="17">
      <c r="A17" s="1"/>
      <c r="B17" s="12" t="s">
        <v>11</v>
      </c>
      <c r="C17" s="1"/>
      <c r="D17" s="1"/>
      <c r="E17" s="1"/>
      <c r="F17" s="1"/>
      <c r="G17" s="2"/>
      <c r="H17" s="2"/>
    </row>
    <row r="18">
      <c r="A18" s="1"/>
      <c r="B18" s="4" t="s">
        <v>494</v>
      </c>
      <c r="C18" s="1"/>
      <c r="D18" s="1"/>
      <c r="E18" s="1"/>
      <c r="F18" s="1"/>
      <c r="G18" s="2">
        <v>120000.0</v>
      </c>
      <c r="H18" s="2"/>
    </row>
    <row r="19">
      <c r="A19" s="1"/>
      <c r="B19" s="4" t="s">
        <v>13</v>
      </c>
      <c r="C19" s="1"/>
      <c r="D19" s="1"/>
      <c r="E19" s="1"/>
      <c r="F19" s="1"/>
      <c r="G19" s="13">
        <v>100000.0</v>
      </c>
      <c r="H19" s="13"/>
    </row>
    <row r="20">
      <c r="A20" s="1"/>
      <c r="B20" s="4" t="s">
        <v>14</v>
      </c>
      <c r="C20" s="1"/>
      <c r="D20" s="1"/>
      <c r="E20" s="1"/>
      <c r="F20" s="1"/>
      <c r="G20" s="13">
        <v>100000.0</v>
      </c>
      <c r="H20" s="13"/>
    </row>
    <row r="21" ht="15.75" customHeight="1">
      <c r="A21" s="1"/>
      <c r="B21" s="4" t="s">
        <v>15</v>
      </c>
      <c r="C21" s="1"/>
      <c r="D21" s="1"/>
      <c r="E21" s="1"/>
      <c r="F21" s="1"/>
      <c r="G21" s="2">
        <v>75000.0</v>
      </c>
      <c r="H21" s="2"/>
    </row>
    <row r="22" ht="15.75" customHeight="1">
      <c r="A22" s="1"/>
      <c r="B22" s="4" t="s">
        <v>16</v>
      </c>
      <c r="C22" s="1"/>
      <c r="D22" s="1"/>
      <c r="E22" s="1"/>
      <c r="F22" s="1"/>
      <c r="G22" s="2">
        <v>60000.0</v>
      </c>
      <c r="H22" s="2"/>
    </row>
    <row r="23" ht="15.75" customHeight="1">
      <c r="A23" s="1"/>
      <c r="B23" s="4" t="s">
        <v>17</v>
      </c>
      <c r="C23" s="1"/>
      <c r="D23" s="1"/>
      <c r="E23" s="1"/>
      <c r="F23" s="1"/>
      <c r="G23" s="2">
        <v>65000.0</v>
      </c>
      <c r="H23" s="2"/>
    </row>
    <row r="24" ht="15.75" customHeight="1">
      <c r="A24" s="1"/>
      <c r="B24" s="4" t="s">
        <v>448</v>
      </c>
      <c r="C24" s="1"/>
      <c r="D24" s="1"/>
      <c r="E24" s="1"/>
      <c r="F24" s="1"/>
      <c r="G24" s="2">
        <v>150000.0</v>
      </c>
      <c r="H24" s="2"/>
    </row>
    <row r="25" ht="15.75" customHeight="1">
      <c r="A25" s="1"/>
      <c r="B25" s="9" t="s">
        <v>18</v>
      </c>
      <c r="C25" s="10"/>
      <c r="D25" s="10"/>
      <c r="E25" s="10"/>
      <c r="F25" s="10"/>
      <c r="G25" s="14">
        <f>SUM(G18:G24)</f>
        <v>670000</v>
      </c>
      <c r="H25" s="14"/>
    </row>
    <row r="26" ht="15.75" customHeight="1">
      <c r="A26" s="1"/>
      <c r="B26" s="12" t="s">
        <v>19</v>
      </c>
      <c r="C26" s="15"/>
      <c r="D26" s="1"/>
      <c r="E26" s="1"/>
      <c r="F26" s="1"/>
      <c r="G26" s="2"/>
      <c r="H26" s="2"/>
    </row>
    <row r="27" ht="15.75" customHeight="1">
      <c r="A27" s="1"/>
      <c r="B27" s="4" t="s">
        <v>495</v>
      </c>
      <c r="C27" s="15"/>
      <c r="D27" s="1"/>
      <c r="E27" s="1"/>
      <c r="F27" s="1"/>
      <c r="G27" s="2">
        <v>65250.0</v>
      </c>
      <c r="H27" s="2"/>
    </row>
    <row r="28" ht="15.75" customHeight="1">
      <c r="A28" s="1"/>
      <c r="B28" s="4" t="s">
        <v>496</v>
      </c>
      <c r="C28" s="15"/>
      <c r="D28" s="1"/>
      <c r="E28" s="1"/>
      <c r="F28" s="1"/>
      <c r="G28" s="2">
        <v>2000.0</v>
      </c>
      <c r="H28" s="2"/>
    </row>
    <row r="29" ht="15.75" customHeight="1">
      <c r="A29" s="1"/>
      <c r="B29" s="4" t="s">
        <v>497</v>
      </c>
      <c r="C29" s="15"/>
      <c r="D29" s="1"/>
      <c r="E29" s="1"/>
      <c r="F29" s="1"/>
      <c r="G29" s="2">
        <v>7500.0</v>
      </c>
      <c r="H29" s="2"/>
    </row>
    <row r="30" ht="15.75" customHeight="1">
      <c r="A30" s="1"/>
      <c r="B30" s="4" t="s">
        <v>498</v>
      </c>
      <c r="C30" s="15"/>
      <c r="D30" s="1"/>
      <c r="E30" s="1"/>
      <c r="F30" s="1"/>
      <c r="G30" s="2">
        <v>15000.0</v>
      </c>
      <c r="H30" s="2"/>
    </row>
    <row r="31" ht="15.75" customHeight="1">
      <c r="A31" s="1"/>
      <c r="B31" s="4" t="s">
        <v>499</v>
      </c>
      <c r="C31" s="15"/>
      <c r="D31" s="1"/>
      <c r="E31" s="1"/>
      <c r="F31" s="1"/>
      <c r="G31" s="2">
        <v>47000.0</v>
      </c>
      <c r="H31" s="2"/>
    </row>
    <row r="32" ht="15.75" customHeight="1">
      <c r="A32" s="1"/>
      <c r="B32" s="4" t="s">
        <v>500</v>
      </c>
      <c r="C32" s="15"/>
      <c r="D32" s="1"/>
      <c r="E32" s="1"/>
      <c r="F32" s="1"/>
      <c r="G32" s="2">
        <v>25000.0</v>
      </c>
      <c r="H32" s="2"/>
    </row>
    <row r="33" ht="15.75" customHeight="1">
      <c r="A33" s="1"/>
      <c r="B33" s="4" t="s">
        <v>501</v>
      </c>
      <c r="C33" s="15"/>
      <c r="D33" s="1"/>
      <c r="E33" s="1"/>
      <c r="F33" s="1"/>
      <c r="G33" s="2">
        <v>5000.0</v>
      </c>
      <c r="H33" s="2"/>
    </row>
    <row r="34" ht="15.75" customHeight="1">
      <c r="A34" s="1"/>
      <c r="B34" s="4" t="s">
        <v>502</v>
      </c>
      <c r="C34" s="15"/>
      <c r="D34" s="1"/>
      <c r="E34" s="1"/>
      <c r="F34" s="1"/>
      <c r="G34" s="2">
        <v>468750.0</v>
      </c>
      <c r="H34" s="2"/>
    </row>
    <row r="35" ht="15.75" customHeight="1">
      <c r="A35" s="1"/>
      <c r="B35" s="4" t="s">
        <v>503</v>
      </c>
      <c r="C35" s="15"/>
      <c r="D35" s="1"/>
      <c r="E35" s="1"/>
      <c r="F35" s="1"/>
      <c r="G35" s="2">
        <v>25000.0</v>
      </c>
      <c r="H35" s="2"/>
    </row>
    <row r="36" ht="15.75" customHeight="1">
      <c r="A36" s="1"/>
      <c r="B36" s="4" t="s">
        <v>504</v>
      </c>
      <c r="C36" s="15"/>
      <c r="D36" s="1"/>
      <c r="E36" s="1"/>
      <c r="F36" s="1"/>
      <c r="G36" s="2">
        <v>1000.0</v>
      </c>
      <c r="H36" s="2"/>
    </row>
    <row r="37" ht="15.75" customHeight="1">
      <c r="A37" s="1"/>
      <c r="B37" s="4" t="s">
        <v>505</v>
      </c>
      <c r="C37" s="15"/>
      <c r="D37" s="1"/>
      <c r="E37" s="1"/>
      <c r="F37" s="1"/>
      <c r="G37" s="2">
        <v>25000.0</v>
      </c>
      <c r="H37" s="2"/>
    </row>
    <row r="38" ht="15.75" customHeight="1">
      <c r="A38" s="1"/>
      <c r="B38" s="4" t="s">
        <v>506</v>
      </c>
      <c r="C38" s="15"/>
      <c r="D38" s="1"/>
      <c r="E38" s="1"/>
      <c r="F38" s="1"/>
      <c r="G38" s="2">
        <v>2000.0</v>
      </c>
      <c r="H38" s="2"/>
    </row>
    <row r="39" ht="15.75" customHeight="1">
      <c r="A39" s="1"/>
      <c r="B39" s="4" t="s">
        <v>507</v>
      </c>
      <c r="C39" s="15"/>
      <c r="D39" s="1"/>
      <c r="E39" s="1"/>
      <c r="F39" s="1"/>
      <c r="G39" s="2">
        <v>5000.0</v>
      </c>
      <c r="H39" s="2"/>
    </row>
    <row r="40" ht="15.75" customHeight="1">
      <c r="A40" s="1"/>
      <c r="B40" s="4" t="s">
        <v>362</v>
      </c>
      <c r="C40" s="15"/>
      <c r="D40" s="1"/>
      <c r="E40" s="1"/>
      <c r="F40" s="1"/>
      <c r="G40" s="2">
        <v>15000.0</v>
      </c>
      <c r="H40" s="2"/>
    </row>
    <row r="41" ht="15.75" customHeight="1">
      <c r="A41" s="1"/>
      <c r="B41" s="4" t="s">
        <v>508</v>
      </c>
      <c r="C41" s="15"/>
      <c r="D41" s="1"/>
      <c r="E41" s="1"/>
      <c r="F41" s="1"/>
      <c r="G41" s="2">
        <v>1000.0</v>
      </c>
      <c r="H41" s="2"/>
    </row>
    <row r="42" ht="15.75" customHeight="1">
      <c r="A42" s="1"/>
      <c r="B42" s="4" t="s">
        <v>75</v>
      </c>
      <c r="C42" s="15"/>
      <c r="D42" s="1"/>
      <c r="E42" s="1"/>
      <c r="F42" s="1"/>
      <c r="G42" s="2">
        <v>100000.0</v>
      </c>
      <c r="H42" s="2"/>
    </row>
    <row r="43" ht="15.75" customHeight="1">
      <c r="A43" s="1"/>
      <c r="B43" s="4" t="s">
        <v>509</v>
      </c>
      <c r="C43" s="15"/>
      <c r="D43" s="1"/>
      <c r="E43" s="1"/>
      <c r="F43" s="1"/>
      <c r="G43" s="2">
        <v>24000.0</v>
      </c>
      <c r="H43" s="2"/>
    </row>
    <row r="44" ht="15.75" customHeight="1">
      <c r="A44" s="1"/>
      <c r="B44" s="4" t="s">
        <v>510</v>
      </c>
      <c r="C44" s="15"/>
      <c r="D44" s="1"/>
      <c r="E44" s="1"/>
      <c r="F44" s="1"/>
      <c r="G44" s="2">
        <v>10000.0</v>
      </c>
      <c r="H44" s="2"/>
    </row>
    <row r="45" ht="15.75" customHeight="1">
      <c r="A45" s="1"/>
      <c r="B45" s="4" t="s">
        <v>511</v>
      </c>
      <c r="C45" s="15"/>
      <c r="D45" s="1"/>
      <c r="E45" s="1"/>
      <c r="F45" s="1"/>
      <c r="G45" s="2">
        <v>10000.0</v>
      </c>
      <c r="H45" s="2"/>
    </row>
    <row r="46" ht="15.75" customHeight="1">
      <c r="A46" s="1"/>
      <c r="B46" s="4" t="s">
        <v>512</v>
      </c>
      <c r="C46" s="15"/>
      <c r="D46" s="1"/>
      <c r="E46" s="1"/>
      <c r="F46" s="1"/>
      <c r="G46" s="2">
        <v>2925.0</v>
      </c>
      <c r="H46" s="2"/>
    </row>
    <row r="47" ht="15.75" customHeight="1">
      <c r="A47" s="1"/>
      <c r="B47" s="4" t="s">
        <v>513</v>
      </c>
      <c r="C47" s="15"/>
      <c r="D47" s="1"/>
      <c r="E47" s="1"/>
      <c r="F47" s="1"/>
      <c r="G47" s="2">
        <v>19400.0</v>
      </c>
      <c r="H47" s="2"/>
    </row>
    <row r="48" ht="15.75" customHeight="1">
      <c r="A48" s="1"/>
      <c r="B48" s="4" t="s">
        <v>514</v>
      </c>
      <c r="C48" s="15"/>
      <c r="D48" s="1"/>
      <c r="E48" s="1"/>
      <c r="F48" s="1"/>
      <c r="G48" s="2">
        <v>16400.0</v>
      </c>
      <c r="H48" s="2"/>
    </row>
    <row r="49" ht="15.75" customHeight="1">
      <c r="A49" s="1"/>
      <c r="B49" s="4" t="s">
        <v>515</v>
      </c>
      <c r="C49" s="15"/>
      <c r="D49" s="1"/>
      <c r="E49" s="1"/>
      <c r="F49" s="1"/>
      <c r="G49" s="2">
        <v>30000.0</v>
      </c>
      <c r="H49" s="2"/>
    </row>
    <row r="50" ht="15.75" customHeight="1">
      <c r="A50" s="1"/>
      <c r="B50" s="4" t="s">
        <v>516</v>
      </c>
      <c r="C50" s="15"/>
      <c r="D50" s="1"/>
      <c r="E50" s="1"/>
      <c r="F50" s="1"/>
      <c r="G50" s="2">
        <v>2000.0</v>
      </c>
      <c r="H50" s="2"/>
    </row>
    <row r="51" ht="15.75" customHeight="1">
      <c r="A51" s="1"/>
      <c r="B51" s="4" t="s">
        <v>517</v>
      </c>
      <c r="C51" s="15"/>
      <c r="D51" s="1"/>
      <c r="E51" s="1"/>
      <c r="F51" s="1"/>
      <c r="G51" s="2">
        <v>5000.0</v>
      </c>
      <c r="H51" s="2"/>
    </row>
    <row r="52" ht="15.75" customHeight="1">
      <c r="A52" s="1"/>
      <c r="B52" s="4" t="s">
        <v>42</v>
      </c>
      <c r="C52" s="15"/>
      <c r="D52" s="1"/>
      <c r="E52" s="1"/>
      <c r="F52" s="1"/>
      <c r="G52" s="2">
        <v>1000.0</v>
      </c>
      <c r="H52" s="2"/>
    </row>
    <row r="53" ht="15.75" customHeight="1">
      <c r="A53" s="1"/>
      <c r="B53" s="4" t="s">
        <v>518</v>
      </c>
      <c r="C53" s="15"/>
      <c r="D53" s="1"/>
      <c r="E53" s="1"/>
      <c r="F53" s="1"/>
      <c r="G53" s="2">
        <v>65250.0</v>
      </c>
      <c r="H53" s="2"/>
    </row>
    <row r="54" ht="15.75" customHeight="1">
      <c r="A54" s="1"/>
      <c r="B54" s="4" t="s">
        <v>519</v>
      </c>
      <c r="C54" s="15"/>
      <c r="D54" s="1"/>
      <c r="E54" s="1"/>
      <c r="F54" s="1"/>
      <c r="G54" s="2">
        <v>70000.0</v>
      </c>
      <c r="H54" s="2"/>
    </row>
    <row r="55" ht="15.75" customHeight="1">
      <c r="A55" s="1"/>
      <c r="B55" s="4" t="s">
        <v>520</v>
      </c>
      <c r="C55" s="15"/>
      <c r="D55" s="1"/>
      <c r="E55" s="1"/>
      <c r="F55" s="1"/>
      <c r="G55" s="2">
        <v>15000.0</v>
      </c>
      <c r="H55" s="2"/>
    </row>
    <row r="56" ht="15.75" customHeight="1">
      <c r="A56" s="1"/>
      <c r="B56" s="4" t="s">
        <v>521</v>
      </c>
      <c r="C56" s="15"/>
      <c r="D56" s="1"/>
      <c r="E56" s="1"/>
      <c r="F56" s="1"/>
      <c r="G56" s="2">
        <v>2000.0</v>
      </c>
      <c r="H56" s="2"/>
    </row>
    <row r="57" ht="15.75" customHeight="1">
      <c r="A57" s="1"/>
      <c r="B57" s="4" t="s">
        <v>522</v>
      </c>
      <c r="C57" s="15"/>
      <c r="D57" s="1"/>
      <c r="E57" s="1"/>
      <c r="F57" s="1"/>
      <c r="G57" s="2">
        <v>5000.0</v>
      </c>
      <c r="H57" s="2"/>
    </row>
    <row r="58" ht="15.75" customHeight="1">
      <c r="A58" s="1"/>
      <c r="B58" s="4" t="s">
        <v>523</v>
      </c>
      <c r="C58" s="15"/>
      <c r="D58" s="1"/>
      <c r="E58" s="1"/>
      <c r="F58" s="1"/>
      <c r="G58" s="2">
        <v>18000.0</v>
      </c>
      <c r="H58" s="2"/>
    </row>
    <row r="59" ht="15.75" customHeight="1">
      <c r="A59" s="22"/>
      <c r="B59" s="1" t="s">
        <v>480</v>
      </c>
      <c r="C59" s="1"/>
      <c r="D59" s="1"/>
      <c r="E59" s="1"/>
      <c r="F59" s="1"/>
      <c r="G59" s="2"/>
      <c r="H59" s="2"/>
    </row>
    <row r="60" ht="15.75" customHeight="1">
      <c r="A60" s="1"/>
      <c r="B60" s="4"/>
      <c r="C60" s="15"/>
      <c r="D60" s="1"/>
      <c r="E60" s="1"/>
      <c r="F60" s="1"/>
      <c r="G60" s="2"/>
      <c r="H60" s="2"/>
    </row>
    <row r="61" ht="15.75" customHeight="1">
      <c r="A61" s="1"/>
      <c r="B61" s="16" t="s">
        <v>43</v>
      </c>
      <c r="C61" s="10"/>
      <c r="D61" s="10"/>
      <c r="E61" s="10"/>
      <c r="F61" s="10"/>
      <c r="G61" s="17">
        <f>SUM(G27:G60)</f>
        <v>1105475</v>
      </c>
      <c r="H61" s="17"/>
    </row>
    <row r="62" ht="15.75" customHeight="1">
      <c r="A62" s="1"/>
      <c r="B62" s="1"/>
      <c r="C62" s="1"/>
      <c r="D62" s="1"/>
      <c r="E62" s="1"/>
      <c r="F62" s="1"/>
      <c r="G62" s="18" t="s">
        <v>44</v>
      </c>
      <c r="H62" s="18"/>
    </row>
    <row r="63" ht="15.75" customHeight="1">
      <c r="A63" s="1"/>
      <c r="B63" s="19" t="s">
        <v>45</v>
      </c>
      <c r="C63" s="20"/>
      <c r="D63" s="20"/>
      <c r="E63" s="20"/>
      <c r="F63" s="20"/>
      <c r="G63" s="21">
        <f>SUM(G25,G61)</f>
        <v>1775475</v>
      </c>
      <c r="H63" s="21"/>
    </row>
    <row r="64" ht="15.75" customHeight="1">
      <c r="A64" s="1"/>
      <c r="B64" s="4" t="s">
        <v>46</v>
      </c>
      <c r="C64" s="1"/>
      <c r="D64" s="1"/>
      <c r="E64" s="1"/>
      <c r="F64" s="1"/>
      <c r="G64" s="2"/>
      <c r="H64" s="2"/>
    </row>
    <row r="65" ht="15.75" customHeight="1">
      <c r="A65" s="35" t="s">
        <v>524</v>
      </c>
      <c r="B65" s="36"/>
      <c r="C65" s="37"/>
      <c r="D65" s="37"/>
      <c r="E65" s="37"/>
      <c r="F65" s="37"/>
      <c r="G65" s="38">
        <f>(G14-G63)</f>
        <v>2732500</v>
      </c>
      <c r="H65" s="38"/>
    </row>
    <row r="66" ht="15.75" customHeight="1">
      <c r="A66" s="1"/>
      <c r="B66" s="4"/>
      <c r="C66" s="1"/>
      <c r="D66" s="1"/>
      <c r="E66" s="1"/>
      <c r="F66" s="1"/>
      <c r="G66" s="2"/>
      <c r="H66" s="2"/>
    </row>
    <row r="67" ht="15.75" customHeight="1">
      <c r="A67" s="22" t="s">
        <v>254</v>
      </c>
      <c r="B67" s="1" t="s">
        <v>255</v>
      </c>
      <c r="C67" s="1"/>
      <c r="D67" s="1"/>
      <c r="E67" s="1"/>
      <c r="F67" s="1"/>
      <c r="G67" s="2"/>
      <c r="H67" s="2"/>
    </row>
    <row r="68" ht="15.75" customHeight="1">
      <c r="A68" s="22"/>
      <c r="B68" s="1"/>
      <c r="C68" s="1"/>
      <c r="D68" s="1"/>
      <c r="E68" s="1"/>
      <c r="F68" s="1"/>
      <c r="G68" s="2"/>
      <c r="H68" s="2"/>
    </row>
    <row r="69" ht="15.75" customHeight="1">
      <c r="A69" s="22"/>
      <c r="B69" s="1" t="s">
        <v>525</v>
      </c>
      <c r="C69" s="1"/>
      <c r="D69" s="1"/>
      <c r="E69" s="1"/>
      <c r="F69" s="1"/>
      <c r="G69" s="2">
        <v>120000.0</v>
      </c>
      <c r="H69" s="2"/>
    </row>
    <row r="70" ht="15.75" customHeight="1">
      <c r="A70" s="22"/>
      <c r="B70" s="1"/>
      <c r="C70" s="1"/>
      <c r="D70" s="1"/>
      <c r="E70" s="1"/>
      <c r="F70" s="1"/>
      <c r="G70" s="2"/>
      <c r="H70" s="2"/>
    </row>
    <row r="71" ht="15.75" customHeight="1">
      <c r="A71" s="1"/>
      <c r="B71" s="27" t="s">
        <v>51</v>
      </c>
      <c r="C71" s="27"/>
      <c r="D71" s="27"/>
      <c r="E71" s="27"/>
      <c r="F71" s="27"/>
      <c r="G71" s="28">
        <v>120000.0</v>
      </c>
      <c r="H71" s="28"/>
    </row>
    <row r="72" ht="15.75" customHeight="1">
      <c r="A72" s="1"/>
      <c r="B72" s="1"/>
      <c r="C72" s="1"/>
      <c r="D72" s="1"/>
      <c r="E72" s="1"/>
      <c r="F72" s="1"/>
      <c r="G72" s="2" t="s">
        <v>480</v>
      </c>
      <c r="H72" s="2"/>
    </row>
    <row r="73" ht="15.75" customHeight="1">
      <c r="A73" s="1"/>
      <c r="B73" s="1"/>
      <c r="C73" s="1"/>
      <c r="D73" s="1"/>
      <c r="E73" s="1"/>
      <c r="F73" s="1"/>
      <c r="G73" s="2"/>
      <c r="H73" s="2"/>
    </row>
    <row r="74" ht="15.75" customHeight="1">
      <c r="A74" s="44"/>
      <c r="B74" s="45" t="s">
        <v>526</v>
      </c>
      <c r="C74" s="46"/>
      <c r="D74" s="46"/>
      <c r="E74" s="46"/>
      <c r="F74" s="46"/>
      <c r="G74" s="47">
        <f>SUM(G5,G65,-G71)</f>
        <v>11743629</v>
      </c>
      <c r="H74" s="47"/>
    </row>
    <row r="75" ht="15.75" customHeight="1">
      <c r="A75" s="1"/>
      <c r="B75" s="1"/>
      <c r="C75" s="1"/>
      <c r="D75" s="1"/>
      <c r="E75" s="1"/>
      <c r="F75" s="1"/>
      <c r="G75" s="2"/>
      <c r="H75" s="2"/>
    </row>
    <row r="76" ht="15.75" customHeight="1">
      <c r="A76" s="1"/>
      <c r="B76" s="32" t="s">
        <v>527</v>
      </c>
    </row>
    <row r="77" ht="15.75" customHeight="1">
      <c r="A77" s="1"/>
      <c r="B77" s="1"/>
      <c r="C77" s="1" t="s">
        <v>113</v>
      </c>
      <c r="D77" s="1"/>
      <c r="E77" s="1"/>
      <c r="F77" s="1"/>
      <c r="G77" s="2">
        <v>21100.0</v>
      </c>
      <c r="H77" s="2"/>
    </row>
    <row r="78" ht="15.75" customHeight="1">
      <c r="A78" s="1"/>
      <c r="B78" s="1"/>
      <c r="C78" s="1" t="s">
        <v>114</v>
      </c>
      <c r="D78" s="1"/>
      <c r="E78" s="1"/>
      <c r="F78" s="1"/>
      <c r="G78" s="2">
        <v>130500.0</v>
      </c>
      <c r="H78" s="2"/>
    </row>
    <row r="79" ht="15.75" customHeight="1">
      <c r="A79" s="1"/>
      <c r="B79" s="1"/>
      <c r="C79" s="43" t="s">
        <v>115</v>
      </c>
      <c r="D79" s="1"/>
      <c r="E79" s="1"/>
      <c r="F79" s="1"/>
      <c r="G79" s="2">
        <f>SUM(G77,G78)</f>
        <v>151600</v>
      </c>
      <c r="H79" s="2"/>
    </row>
    <row r="80" ht="15.75" customHeight="1">
      <c r="A80" s="1"/>
      <c r="B80" s="1"/>
      <c r="C80" s="43"/>
      <c r="D80" s="1"/>
      <c r="E80" s="1"/>
      <c r="F80" s="1"/>
      <c r="G80" s="2"/>
      <c r="H80" s="2"/>
    </row>
    <row r="81" ht="15.75" customHeight="1">
      <c r="A81" s="1"/>
      <c r="B81" s="1" t="s">
        <v>528</v>
      </c>
      <c r="C81" s="43"/>
      <c r="D81" s="1"/>
      <c r="E81" s="1"/>
      <c r="F81" s="1"/>
      <c r="G81" s="2"/>
      <c r="H81" s="2"/>
    </row>
    <row r="82" ht="15.75" customHeight="1">
      <c r="A82" s="1"/>
      <c r="B82" s="1" t="s">
        <v>529</v>
      </c>
      <c r="C82" s="43"/>
      <c r="D82" s="1"/>
      <c r="E82" s="1"/>
      <c r="F82" s="1"/>
      <c r="G82" s="1"/>
      <c r="H82" s="1"/>
    </row>
    <row r="83" ht="15.75" customHeight="1">
      <c r="A83" s="1"/>
      <c r="B83" s="33" t="s">
        <v>530</v>
      </c>
      <c r="C83" s="1"/>
      <c r="D83" s="1"/>
      <c r="E83" s="1"/>
      <c r="F83" s="1"/>
      <c r="G83" s="2"/>
      <c r="H83" s="2"/>
    </row>
    <row r="84" ht="15.75" customHeight="1">
      <c r="A84" s="1"/>
      <c r="B84" s="4"/>
      <c r="C84" s="1"/>
      <c r="D84" s="1"/>
      <c r="E84" s="1"/>
      <c r="F84" s="1"/>
      <c r="G84" s="2"/>
      <c r="H84" s="2"/>
    </row>
    <row r="85" ht="15.75" customHeight="1">
      <c r="A85" s="1"/>
      <c r="B85" s="55" t="s">
        <v>531</v>
      </c>
      <c r="C85" s="56"/>
      <c r="D85" s="56"/>
      <c r="E85" s="56"/>
      <c r="F85" s="1"/>
      <c r="G85" s="2"/>
      <c r="H85" s="2"/>
    </row>
    <row r="86" ht="15.75" customHeight="1">
      <c r="A86" s="1"/>
      <c r="B86" s="55"/>
      <c r="C86" s="56"/>
      <c r="D86" s="56"/>
      <c r="E86" s="56"/>
      <c r="F86" s="1"/>
      <c r="G86" s="2"/>
      <c r="H86" s="2"/>
    </row>
    <row r="87" ht="15.75" customHeight="1">
      <c r="A87" s="1"/>
      <c r="B87" s="55" t="s">
        <v>532</v>
      </c>
      <c r="C87" s="56"/>
      <c r="D87" s="56"/>
      <c r="E87" s="56"/>
      <c r="F87" s="1"/>
      <c r="G87" s="2"/>
      <c r="H87" s="2"/>
    </row>
    <row r="88" ht="15.75" customHeight="1">
      <c r="A88" s="1"/>
      <c r="B88" s="55"/>
      <c r="C88" s="56"/>
      <c r="D88" s="56"/>
      <c r="E88" s="56"/>
      <c r="F88" s="1"/>
      <c r="G88" s="2"/>
      <c r="H88" s="2"/>
    </row>
    <row r="89" ht="15.75" customHeight="1">
      <c r="A89" s="1"/>
      <c r="B89" s="55" t="s">
        <v>533</v>
      </c>
      <c r="F89" s="1"/>
      <c r="G89" s="2"/>
      <c r="H89" s="2"/>
    </row>
    <row r="90" ht="15.75" customHeight="1">
      <c r="A90" s="1"/>
      <c r="B90" s="57"/>
      <c r="C90" s="57"/>
      <c r="D90" s="57"/>
      <c r="E90" s="56"/>
      <c r="F90" s="1"/>
      <c r="G90" s="2"/>
      <c r="H90" s="2"/>
    </row>
    <row r="91" ht="15.75" customHeight="1">
      <c r="A91" s="1"/>
      <c r="B91" s="55" t="s">
        <v>534</v>
      </c>
      <c r="C91" s="56"/>
      <c r="D91" s="57"/>
      <c r="E91" s="56"/>
      <c r="F91" s="1"/>
      <c r="G91" s="2"/>
      <c r="H91" s="2"/>
    </row>
    <row r="92" ht="15.75" customHeight="1">
      <c r="A92" s="1"/>
      <c r="B92" s="55"/>
      <c r="C92" s="56"/>
      <c r="D92" s="57"/>
      <c r="E92" s="56"/>
      <c r="F92" s="1"/>
      <c r="G92" s="2"/>
      <c r="H92" s="2"/>
    </row>
    <row r="93" ht="15.75" customHeight="1">
      <c r="A93" s="1"/>
      <c r="B93" s="55" t="s">
        <v>535</v>
      </c>
      <c r="C93" s="56"/>
      <c r="D93" s="57"/>
      <c r="E93" s="56"/>
      <c r="F93" s="1"/>
      <c r="G93" s="2"/>
      <c r="H93" s="2"/>
    </row>
    <row r="94" ht="15.75" customHeight="1">
      <c r="B94" s="55"/>
      <c r="C94" s="56"/>
      <c r="D94" s="57"/>
      <c r="E94" s="57"/>
    </row>
    <row r="95" ht="15.75" customHeight="1">
      <c r="B95" s="55" t="s">
        <v>536</v>
      </c>
      <c r="C95" s="56"/>
      <c r="D95" s="57"/>
      <c r="E95" s="57"/>
      <c r="H95" s="1"/>
    </row>
    <row r="96" ht="15.75" customHeight="1">
      <c r="H96" s="1"/>
    </row>
    <row r="97" ht="15.75" customHeight="1">
      <c r="H97" s="1"/>
    </row>
    <row r="98" ht="15.75" customHeight="1">
      <c r="H98" s="1"/>
    </row>
    <row r="99" ht="15.75" customHeight="1">
      <c r="H99" s="1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3:D13"/>
    <mergeCell ref="B14:F14"/>
    <mergeCell ref="B76:G76"/>
    <mergeCell ref="B89:E89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57"/>
    <col customWidth="1" min="8" max="26" width="10.71"/>
  </cols>
  <sheetData>
    <row r="3">
      <c r="A3" s="1"/>
      <c r="B3" s="3" t="s">
        <v>537</v>
      </c>
      <c r="C3" s="1"/>
      <c r="D3" s="1"/>
      <c r="E3" s="1"/>
      <c r="F3" s="1"/>
      <c r="G3" s="2"/>
    </row>
    <row r="4">
      <c r="A4" s="1"/>
      <c r="B4" s="4"/>
      <c r="C4" s="1"/>
      <c r="D4" s="1"/>
      <c r="E4" s="1"/>
      <c r="F4" s="1"/>
      <c r="G4" s="2"/>
    </row>
    <row r="5">
      <c r="A5" s="1"/>
      <c r="B5" s="5" t="s">
        <v>538</v>
      </c>
      <c r="C5" s="1"/>
      <c r="D5" s="1"/>
      <c r="E5" s="1"/>
      <c r="F5" s="1"/>
      <c r="G5" s="2">
        <v>1.1743629E7</v>
      </c>
    </row>
    <row r="6">
      <c r="A6" s="1"/>
      <c r="B6" s="4"/>
      <c r="C6" s="1"/>
      <c r="D6" s="1"/>
      <c r="E6" s="1"/>
      <c r="F6" s="1"/>
      <c r="G6" s="2"/>
    </row>
    <row r="7">
      <c r="A7" s="6" t="s">
        <v>539</v>
      </c>
      <c r="B7" s="1"/>
      <c r="C7" s="1"/>
      <c r="D7" s="1"/>
      <c r="E7" s="1"/>
      <c r="F7" s="48" t="s">
        <v>403</v>
      </c>
      <c r="G7" s="7" t="s">
        <v>404</v>
      </c>
    </row>
    <row r="8">
      <c r="A8" s="1"/>
      <c r="B8" s="4" t="s">
        <v>63</v>
      </c>
      <c r="C8" s="1"/>
      <c r="D8" s="1"/>
      <c r="E8" s="1"/>
      <c r="F8" s="2">
        <v>276800.0</v>
      </c>
      <c r="G8" s="7">
        <v>712000.0</v>
      </c>
    </row>
    <row r="9">
      <c r="A9" s="1"/>
      <c r="B9" s="4" t="s">
        <v>64</v>
      </c>
      <c r="C9" s="1"/>
      <c r="D9" s="1"/>
      <c r="E9" s="1"/>
      <c r="F9" s="2">
        <v>347000.0</v>
      </c>
      <c r="G9" s="7">
        <v>1029000.0</v>
      </c>
    </row>
    <row r="10">
      <c r="A10" s="1"/>
      <c r="B10" s="4" t="s">
        <v>65</v>
      </c>
      <c r="C10" s="1"/>
      <c r="D10" s="1"/>
      <c r="E10" s="1"/>
      <c r="F10" s="2">
        <v>290100.0</v>
      </c>
      <c r="G10" s="7">
        <v>1128000.0</v>
      </c>
    </row>
    <row r="11">
      <c r="A11" s="1"/>
      <c r="B11" s="4" t="s">
        <v>66</v>
      </c>
      <c r="C11" s="1"/>
      <c r="D11" s="1"/>
      <c r="E11" s="1"/>
      <c r="F11" s="2">
        <v>264100.0</v>
      </c>
      <c r="G11" s="8">
        <v>979000.0</v>
      </c>
    </row>
    <row r="12">
      <c r="A12" s="1"/>
      <c r="B12" s="4" t="s">
        <v>67</v>
      </c>
      <c r="C12" s="1"/>
      <c r="D12" s="49" t="s">
        <v>8</v>
      </c>
      <c r="E12" s="49"/>
      <c r="F12" s="54"/>
      <c r="G12" s="7"/>
    </row>
    <row r="13">
      <c r="A13" s="1"/>
      <c r="B13" s="4"/>
      <c r="C13" s="50" t="s">
        <v>405</v>
      </c>
      <c r="E13" s="4"/>
      <c r="F13" s="2">
        <f t="shared" ref="F13:G13" si="1">SUM(F8:F12)</f>
        <v>1178000</v>
      </c>
      <c r="G13" s="7">
        <f t="shared" si="1"/>
        <v>3848000</v>
      </c>
    </row>
    <row r="14">
      <c r="A14" s="1"/>
      <c r="B14" s="51" t="s">
        <v>9</v>
      </c>
      <c r="C14" s="52"/>
      <c r="D14" s="52"/>
      <c r="E14" s="52"/>
      <c r="F14" s="53"/>
      <c r="G14" s="11">
        <f>SUM(F13:G13)</f>
        <v>5026000</v>
      </c>
    </row>
    <row r="15">
      <c r="A15" s="1"/>
      <c r="B15" s="1"/>
      <c r="C15" s="1"/>
      <c r="D15" s="1"/>
      <c r="E15" s="1"/>
      <c r="F15" s="1"/>
      <c r="G15" s="2"/>
    </row>
    <row r="16">
      <c r="A16" s="6" t="s">
        <v>540</v>
      </c>
      <c r="B16" s="1"/>
      <c r="C16" s="1"/>
      <c r="D16" s="1"/>
      <c r="E16" s="1"/>
      <c r="F16" s="1"/>
      <c r="G16" s="2"/>
    </row>
    <row r="17">
      <c r="A17" s="1"/>
      <c r="B17" s="12" t="s">
        <v>11</v>
      </c>
      <c r="C17" s="1"/>
      <c r="D17" s="1"/>
      <c r="E17" s="1"/>
      <c r="F17" s="1"/>
      <c r="G17" s="2"/>
    </row>
    <row r="18">
      <c r="A18" s="1"/>
      <c r="B18" s="4" t="s">
        <v>541</v>
      </c>
      <c r="C18" s="1"/>
      <c r="D18" s="1"/>
      <c r="E18" s="1"/>
      <c r="F18" s="1"/>
      <c r="G18" s="2">
        <v>78000.0</v>
      </c>
    </row>
    <row r="19">
      <c r="A19" s="1"/>
      <c r="B19" s="4" t="s">
        <v>13</v>
      </c>
      <c r="C19" s="1"/>
      <c r="D19" s="1"/>
      <c r="E19" s="1"/>
      <c r="F19" s="1"/>
      <c r="G19" s="13">
        <v>100000.0</v>
      </c>
    </row>
    <row r="20">
      <c r="A20" s="1"/>
      <c r="B20" s="4" t="s">
        <v>14</v>
      </c>
      <c r="C20" s="1"/>
      <c r="D20" s="1"/>
      <c r="E20" s="1"/>
      <c r="F20" s="1"/>
      <c r="G20" s="13">
        <v>100000.0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2">
        <v>75000.0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2">
        <v>60000.0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2">
        <v>65000.0</v>
      </c>
    </row>
    <row r="24" ht="15.75" customHeight="1">
      <c r="A24" s="1"/>
      <c r="B24" s="4" t="s">
        <v>448</v>
      </c>
      <c r="C24" s="1"/>
      <c r="D24" s="1"/>
      <c r="E24" s="1"/>
      <c r="F24" s="1"/>
      <c r="G24" s="2">
        <v>150000.0</v>
      </c>
    </row>
    <row r="25" ht="15.75" customHeight="1">
      <c r="A25" s="1"/>
      <c r="B25" s="9" t="s">
        <v>18</v>
      </c>
      <c r="C25" s="10"/>
      <c r="D25" s="10"/>
      <c r="E25" s="10"/>
      <c r="F25" s="10"/>
      <c r="G25" s="14">
        <f>SUM(G18:G24)</f>
        <v>628000</v>
      </c>
    </row>
    <row r="26" ht="15.75" customHeight="1">
      <c r="A26" s="1"/>
      <c r="B26" s="12" t="s">
        <v>19</v>
      </c>
      <c r="C26" s="15"/>
      <c r="D26" s="1"/>
      <c r="E26" s="1"/>
      <c r="F26" s="1"/>
      <c r="G26" s="2"/>
    </row>
    <row r="27" ht="15.75" customHeight="1">
      <c r="A27" s="1"/>
      <c r="B27" s="4" t="s">
        <v>542</v>
      </c>
      <c r="C27" s="15"/>
      <c r="D27" s="1"/>
      <c r="E27" s="1"/>
      <c r="F27" s="1"/>
      <c r="G27" s="2">
        <v>25365.0</v>
      </c>
    </row>
    <row r="28" ht="15.75" customHeight="1">
      <c r="A28" s="1"/>
      <c r="B28" s="4" t="s">
        <v>543</v>
      </c>
      <c r="C28" s="15"/>
      <c r="D28" s="1"/>
      <c r="E28" s="1"/>
      <c r="F28" s="1"/>
      <c r="G28" s="2">
        <v>5000.0</v>
      </c>
    </row>
    <row r="29" ht="15.75" customHeight="1">
      <c r="A29" s="1"/>
      <c r="B29" s="4" t="s">
        <v>544</v>
      </c>
      <c r="C29" s="15"/>
      <c r="D29" s="1"/>
      <c r="E29" s="1"/>
      <c r="F29" s="1"/>
      <c r="G29" s="2">
        <v>2000.0</v>
      </c>
    </row>
    <row r="30" ht="15.75" customHeight="1">
      <c r="A30" s="1"/>
      <c r="B30" s="4" t="s">
        <v>545</v>
      </c>
      <c r="C30" s="15"/>
      <c r="D30" s="1"/>
      <c r="E30" s="1"/>
      <c r="F30" s="1"/>
      <c r="G30" s="2">
        <v>100000.0</v>
      </c>
    </row>
    <row r="31" ht="15.75" customHeight="1">
      <c r="A31" s="1"/>
      <c r="B31" s="4" t="s">
        <v>546</v>
      </c>
      <c r="C31" s="15"/>
      <c r="D31" s="1"/>
      <c r="E31" s="1"/>
      <c r="F31" s="1"/>
      <c r="G31" s="2">
        <v>8000.0</v>
      </c>
    </row>
    <row r="32" ht="15.75" customHeight="1">
      <c r="A32" s="1"/>
      <c r="B32" s="4" t="s">
        <v>203</v>
      </c>
      <c r="C32" s="15"/>
      <c r="D32" s="1"/>
      <c r="E32" s="1"/>
      <c r="F32" s="1"/>
      <c r="G32" s="2">
        <v>5000.0</v>
      </c>
    </row>
    <row r="33" ht="15.75" customHeight="1">
      <c r="A33" s="1"/>
      <c r="B33" s="4" t="s">
        <v>547</v>
      </c>
      <c r="C33" s="15"/>
      <c r="D33" s="1"/>
      <c r="E33" s="1"/>
      <c r="F33" s="1"/>
      <c r="G33" s="2"/>
    </row>
    <row r="34" ht="15.75" customHeight="1">
      <c r="A34" s="1"/>
      <c r="B34" s="4" t="s">
        <v>548</v>
      </c>
      <c r="C34" s="15"/>
      <c r="D34" s="1"/>
      <c r="E34" s="1"/>
      <c r="F34" s="1"/>
      <c r="G34" s="2">
        <v>47000.0</v>
      </c>
    </row>
    <row r="35" ht="15.75" customHeight="1">
      <c r="A35" s="1"/>
      <c r="B35" s="4" t="s">
        <v>549</v>
      </c>
      <c r="C35" s="15"/>
      <c r="D35" s="1"/>
      <c r="E35" s="1"/>
      <c r="F35" s="1"/>
      <c r="G35" s="2">
        <v>1000.0</v>
      </c>
    </row>
    <row r="36" ht="15.75" customHeight="1">
      <c r="A36" s="1"/>
      <c r="B36" s="4" t="s">
        <v>550</v>
      </c>
      <c r="C36" s="15"/>
      <c r="D36" s="1"/>
      <c r="E36" s="1"/>
      <c r="F36" s="1"/>
      <c r="G36" s="2">
        <v>5000.0</v>
      </c>
    </row>
    <row r="37" ht="15.75" customHeight="1">
      <c r="A37" s="1"/>
      <c r="B37" s="4" t="s">
        <v>551</v>
      </c>
      <c r="C37" s="15"/>
      <c r="D37" s="1"/>
      <c r="E37" s="1"/>
      <c r="F37" s="1"/>
      <c r="G37" s="2">
        <v>2000.0</v>
      </c>
    </row>
    <row r="38" ht="15.75" customHeight="1">
      <c r="A38" s="1"/>
      <c r="B38" s="4" t="s">
        <v>552</v>
      </c>
      <c r="C38" s="15"/>
      <c r="D38" s="1"/>
      <c r="E38" s="1"/>
      <c r="F38" s="1"/>
      <c r="G38" s="2">
        <v>38000.0</v>
      </c>
    </row>
    <row r="39" ht="15.75" customHeight="1">
      <c r="A39" s="1"/>
      <c r="B39" s="4" t="s">
        <v>553</v>
      </c>
      <c r="C39" s="15"/>
      <c r="D39" s="1"/>
      <c r="E39" s="1"/>
      <c r="F39" s="1"/>
      <c r="G39" s="2">
        <v>10000.0</v>
      </c>
    </row>
    <row r="40" ht="15.75" customHeight="1">
      <c r="A40" s="1"/>
      <c r="B40" s="4" t="s">
        <v>554</v>
      </c>
      <c r="C40" s="15"/>
      <c r="D40" s="1"/>
      <c r="E40" s="1"/>
      <c r="F40" s="1"/>
      <c r="G40" s="2">
        <v>2000.0</v>
      </c>
    </row>
    <row r="41" ht="15.75" customHeight="1">
      <c r="A41" s="1"/>
      <c r="B41" s="4" t="s">
        <v>555</v>
      </c>
      <c r="C41" s="15"/>
      <c r="D41" s="1"/>
      <c r="E41" s="1"/>
      <c r="F41" s="1"/>
      <c r="G41" s="2">
        <v>15500.0</v>
      </c>
    </row>
    <row r="42" ht="15.75" customHeight="1">
      <c r="A42" s="1"/>
      <c r="B42" s="4" t="s">
        <v>556</v>
      </c>
      <c r="C42" s="15"/>
      <c r="D42" s="1"/>
      <c r="E42" s="1"/>
      <c r="F42" s="1"/>
      <c r="G42" s="2">
        <v>4200.0</v>
      </c>
    </row>
    <row r="43" ht="15.75" customHeight="1">
      <c r="A43" s="1"/>
      <c r="B43" s="4" t="s">
        <v>557</v>
      </c>
      <c r="C43" s="15"/>
      <c r="D43" s="1"/>
      <c r="E43" s="1"/>
      <c r="F43" s="1"/>
      <c r="G43" s="2">
        <v>2000.0</v>
      </c>
    </row>
    <row r="44" ht="15.75" customHeight="1">
      <c r="A44" s="1"/>
      <c r="B44" s="4" t="s">
        <v>558</v>
      </c>
      <c r="C44" s="15"/>
      <c r="D44" s="1"/>
      <c r="E44" s="1"/>
      <c r="F44" s="1"/>
      <c r="G44" s="2">
        <v>7850.0</v>
      </c>
    </row>
    <row r="45" ht="15.75" customHeight="1">
      <c r="A45" s="1"/>
      <c r="B45" s="4" t="s">
        <v>559</v>
      </c>
      <c r="C45" s="15"/>
      <c r="D45" s="1"/>
      <c r="E45" s="1"/>
      <c r="F45" s="1"/>
      <c r="G45" s="2">
        <v>500.0</v>
      </c>
    </row>
    <row r="46" ht="15.75" customHeight="1">
      <c r="A46" s="1"/>
      <c r="B46" s="4" t="s">
        <v>545</v>
      </c>
      <c r="C46" s="15"/>
      <c r="D46" s="1"/>
      <c r="E46" s="1"/>
      <c r="F46" s="1"/>
      <c r="G46" s="2">
        <v>100000.0</v>
      </c>
    </row>
    <row r="47" ht="15.75" customHeight="1">
      <c r="A47" s="1"/>
      <c r="B47" s="4" t="s">
        <v>560</v>
      </c>
      <c r="C47" s="15"/>
      <c r="D47" s="1"/>
      <c r="E47" s="1"/>
      <c r="F47" s="1"/>
      <c r="G47" s="2">
        <v>17400.0</v>
      </c>
    </row>
    <row r="48" ht="15.75" customHeight="1">
      <c r="A48" s="1"/>
      <c r="B48" s="4" t="s">
        <v>561</v>
      </c>
      <c r="C48" s="15"/>
      <c r="D48" s="1"/>
      <c r="E48" s="1"/>
      <c r="F48" s="1"/>
      <c r="G48" s="2">
        <v>2000.0</v>
      </c>
    </row>
    <row r="49" ht="15.75" customHeight="1">
      <c r="A49" s="1"/>
      <c r="B49" s="4" t="s">
        <v>562</v>
      </c>
      <c r="C49" s="15"/>
      <c r="D49" s="1"/>
      <c r="E49" s="1"/>
      <c r="F49" s="1"/>
      <c r="G49" s="2">
        <v>300000.0</v>
      </c>
    </row>
    <row r="50" ht="15.75" customHeight="1">
      <c r="A50" s="1"/>
      <c r="B50" s="4" t="s">
        <v>563</v>
      </c>
      <c r="C50" s="15"/>
      <c r="D50" s="1"/>
      <c r="E50" s="1"/>
      <c r="F50" s="1"/>
      <c r="G50" s="2">
        <v>65250.0</v>
      </c>
    </row>
    <row r="51" ht="15.75" customHeight="1">
      <c r="A51" s="1"/>
      <c r="B51" s="4" t="s">
        <v>564</v>
      </c>
      <c r="C51" s="15"/>
      <c r="D51" s="1"/>
      <c r="E51" s="1"/>
      <c r="F51" s="1"/>
      <c r="G51" s="2">
        <v>10000.0</v>
      </c>
    </row>
    <row r="52" ht="15.75" customHeight="1">
      <c r="A52" s="1"/>
      <c r="B52" s="4"/>
      <c r="C52" s="15"/>
      <c r="D52" s="1"/>
      <c r="E52" s="1"/>
      <c r="F52" s="1"/>
      <c r="G52" s="2"/>
    </row>
    <row r="53" ht="15.75" customHeight="1">
      <c r="A53" s="1"/>
      <c r="B53" s="16" t="s">
        <v>43</v>
      </c>
      <c r="C53" s="10"/>
      <c r="D53" s="10"/>
      <c r="E53" s="10"/>
      <c r="F53" s="10"/>
      <c r="G53" s="17">
        <f>SUM(G27:G52)</f>
        <v>775065</v>
      </c>
    </row>
    <row r="54" ht="15.75" customHeight="1">
      <c r="A54" s="1"/>
      <c r="B54" s="1"/>
      <c r="C54" s="1"/>
      <c r="D54" s="1"/>
      <c r="E54" s="1"/>
      <c r="F54" s="1"/>
      <c r="G54" s="18" t="s">
        <v>44</v>
      </c>
    </row>
    <row r="55" ht="15.75" customHeight="1">
      <c r="A55" s="1"/>
      <c r="B55" s="19" t="s">
        <v>45</v>
      </c>
      <c r="C55" s="20"/>
      <c r="D55" s="20"/>
      <c r="E55" s="20"/>
      <c r="F55" s="20"/>
      <c r="G55" s="21">
        <f>SUM(G25,G53)</f>
        <v>1403065</v>
      </c>
    </row>
    <row r="56" ht="15.75" customHeight="1">
      <c r="A56" s="1"/>
      <c r="B56" s="4" t="s">
        <v>46</v>
      </c>
      <c r="C56" s="1"/>
      <c r="D56" s="1"/>
      <c r="E56" s="1"/>
      <c r="F56" s="1"/>
      <c r="G56" s="2"/>
    </row>
    <row r="57" ht="15.75" customHeight="1">
      <c r="A57" s="35" t="s">
        <v>565</v>
      </c>
      <c r="B57" s="36"/>
      <c r="C57" s="37"/>
      <c r="D57" s="37"/>
      <c r="E57" s="37"/>
      <c r="F57" s="37"/>
      <c r="G57" s="38">
        <f>(G14-G55)</f>
        <v>3622935</v>
      </c>
    </row>
    <row r="58" ht="15.75" customHeight="1">
      <c r="A58" s="1"/>
      <c r="B58" s="4"/>
      <c r="C58" s="1"/>
      <c r="D58" s="1"/>
      <c r="E58" s="1"/>
      <c r="F58" s="1"/>
      <c r="G58" s="2"/>
    </row>
    <row r="59" ht="15.75" customHeight="1">
      <c r="A59" s="22" t="s">
        <v>254</v>
      </c>
      <c r="B59" s="1" t="s">
        <v>255</v>
      </c>
      <c r="C59" s="1"/>
      <c r="D59" s="1"/>
      <c r="E59" s="1"/>
      <c r="F59" s="1"/>
      <c r="G59" s="2"/>
    </row>
    <row r="60" ht="15.75" customHeight="1">
      <c r="A60" s="22"/>
      <c r="B60" s="1"/>
      <c r="C60" s="1"/>
      <c r="D60" s="1"/>
      <c r="E60" s="1"/>
      <c r="F60" s="1"/>
      <c r="G60" s="2"/>
    </row>
    <row r="61" ht="15.75" customHeight="1">
      <c r="A61" s="22"/>
      <c r="B61" s="1"/>
      <c r="C61" s="1"/>
      <c r="D61" s="1"/>
      <c r="E61" s="1"/>
      <c r="F61" s="1"/>
      <c r="G61" s="2"/>
    </row>
    <row r="62" ht="15.75" customHeight="1">
      <c r="A62" s="22"/>
      <c r="B62" s="1"/>
      <c r="C62" s="1"/>
      <c r="D62" s="1"/>
      <c r="E62" s="1"/>
      <c r="F62" s="1"/>
      <c r="G62" s="2"/>
    </row>
    <row r="63" ht="15.75" customHeight="1">
      <c r="A63" s="1"/>
      <c r="B63" s="27" t="s">
        <v>51</v>
      </c>
      <c r="C63" s="27"/>
      <c r="D63" s="27"/>
      <c r="E63" s="27"/>
      <c r="F63" s="27"/>
      <c r="G63" s="28"/>
    </row>
    <row r="64" ht="15.75" customHeight="1">
      <c r="A64" s="1"/>
      <c r="B64" s="1"/>
      <c r="C64" s="1"/>
      <c r="D64" s="1"/>
      <c r="E64" s="1"/>
      <c r="F64" s="1"/>
      <c r="G64" s="2" t="s">
        <v>480</v>
      </c>
    </row>
    <row r="65" ht="15.75" customHeight="1">
      <c r="A65" s="1"/>
      <c r="B65" s="1"/>
      <c r="C65" s="1"/>
      <c r="D65" s="1"/>
      <c r="E65" s="1"/>
      <c r="F65" s="1"/>
      <c r="G65" s="2"/>
    </row>
    <row r="66" ht="15.75" customHeight="1">
      <c r="A66" s="44"/>
      <c r="B66" s="45" t="s">
        <v>566</v>
      </c>
      <c r="C66" s="46"/>
      <c r="D66" s="46"/>
      <c r="E66" s="46"/>
      <c r="F66" s="46"/>
      <c r="G66" s="47">
        <f>SUM(G5,G57,-G63)</f>
        <v>15366564</v>
      </c>
    </row>
    <row r="67" ht="15.75" customHeight="1">
      <c r="A67" s="1"/>
      <c r="B67" s="1"/>
      <c r="C67" s="1"/>
      <c r="D67" s="1"/>
      <c r="E67" s="1"/>
      <c r="F67" s="1"/>
      <c r="G67" s="2"/>
    </row>
    <row r="68" ht="15.75" customHeight="1">
      <c r="A68" s="1"/>
      <c r="B68" s="32" t="s">
        <v>527</v>
      </c>
    </row>
    <row r="69" ht="15.75" customHeight="1">
      <c r="A69" s="1"/>
      <c r="B69" s="1"/>
      <c r="C69" s="1" t="s">
        <v>113</v>
      </c>
      <c r="D69" s="1"/>
      <c r="E69" s="1"/>
      <c r="F69" s="1"/>
      <c r="G69" s="2">
        <v>61000.0</v>
      </c>
    </row>
    <row r="70" ht="15.75" customHeight="1">
      <c r="A70" s="1"/>
      <c r="B70" s="1"/>
      <c r="C70" s="1" t="s">
        <v>114</v>
      </c>
      <c r="D70" s="1"/>
      <c r="E70" s="1"/>
      <c r="F70" s="1"/>
      <c r="G70" s="2">
        <v>118000.0</v>
      </c>
    </row>
    <row r="71" ht="15.75" customHeight="1">
      <c r="A71" s="1"/>
      <c r="B71" s="1"/>
      <c r="C71" s="43" t="s">
        <v>115</v>
      </c>
      <c r="D71" s="1"/>
      <c r="E71" s="1"/>
      <c r="F71" s="1"/>
      <c r="G71" s="2">
        <f>SUM(G69,G70)</f>
        <v>179000</v>
      </c>
    </row>
    <row r="72" ht="15.75" customHeight="1">
      <c r="A72" s="1"/>
      <c r="B72" s="1"/>
      <c r="C72" s="43"/>
      <c r="D72" s="1"/>
      <c r="E72" s="1"/>
      <c r="F72" s="1"/>
      <c r="G72" s="2"/>
    </row>
    <row r="73" ht="15.75" customHeight="1">
      <c r="A73" s="1"/>
      <c r="B73" s="1" t="s">
        <v>567</v>
      </c>
      <c r="C73" s="43"/>
      <c r="D73" s="1"/>
      <c r="E73" s="1"/>
      <c r="F73" s="1"/>
      <c r="G73" s="2"/>
    </row>
    <row r="74" ht="15.75" customHeight="1">
      <c r="A74" s="1"/>
      <c r="B74" s="1" t="s">
        <v>568</v>
      </c>
      <c r="C74" s="43"/>
      <c r="D74" s="1"/>
      <c r="E74" s="1"/>
      <c r="F74" s="1"/>
      <c r="G74" s="1"/>
    </row>
    <row r="75" ht="15.75" customHeight="1">
      <c r="A75" s="1"/>
      <c r="B75" s="33" t="s">
        <v>569</v>
      </c>
      <c r="C75" s="1"/>
      <c r="D75" s="1"/>
      <c r="E75" s="1"/>
      <c r="F75" s="1"/>
      <c r="G75" s="2"/>
    </row>
    <row r="76" ht="15.75" customHeight="1">
      <c r="A76" s="1"/>
      <c r="B76" s="4"/>
      <c r="C76" s="1"/>
      <c r="D76" s="1"/>
      <c r="E76" s="1"/>
      <c r="F76" s="1"/>
      <c r="G76" s="2"/>
    </row>
    <row r="77" ht="15.75" customHeight="1">
      <c r="A77" s="1"/>
      <c r="B77" s="55" t="s">
        <v>531</v>
      </c>
      <c r="C77" s="56"/>
      <c r="D77" s="56"/>
      <c r="E77" s="56"/>
      <c r="F77" s="1"/>
      <c r="G77" s="2"/>
    </row>
    <row r="78" ht="15.75" customHeight="1">
      <c r="A78" s="1"/>
      <c r="B78" s="55"/>
      <c r="C78" s="56"/>
      <c r="D78" s="56"/>
      <c r="E78" s="56"/>
      <c r="F78" s="1"/>
      <c r="G78" s="2"/>
    </row>
    <row r="79" ht="15.75" customHeight="1">
      <c r="A79" s="1"/>
      <c r="B79" s="55" t="s">
        <v>570</v>
      </c>
      <c r="C79" s="56"/>
      <c r="D79" s="56"/>
      <c r="E79" s="56"/>
      <c r="F79" s="1"/>
      <c r="G79" s="2"/>
    </row>
    <row r="80" ht="15.75" customHeight="1">
      <c r="A80" s="1"/>
      <c r="B80" s="55"/>
      <c r="C80" s="56"/>
      <c r="D80" s="56"/>
      <c r="E80" s="56"/>
      <c r="F80" s="1"/>
      <c r="G80" s="2"/>
    </row>
    <row r="81" ht="15.75" customHeight="1">
      <c r="A81" s="1"/>
      <c r="B81" s="55" t="s">
        <v>533</v>
      </c>
      <c r="F81" s="1"/>
      <c r="G81" s="2"/>
    </row>
    <row r="82" ht="15.75" customHeight="1">
      <c r="A82" s="1"/>
      <c r="B82" s="57"/>
      <c r="C82" s="57"/>
      <c r="D82" s="57"/>
      <c r="E82" s="56"/>
      <c r="F82" s="1"/>
      <c r="G82" s="2"/>
    </row>
    <row r="83" ht="15.75" customHeight="1">
      <c r="A83" s="1"/>
      <c r="B83" s="55" t="s">
        <v>571</v>
      </c>
      <c r="C83" s="56"/>
      <c r="D83" s="57"/>
      <c r="E83" s="56"/>
      <c r="F83" s="1"/>
      <c r="G83" s="2"/>
    </row>
    <row r="84" ht="15.75" customHeight="1">
      <c r="A84" s="1"/>
      <c r="B84" s="55"/>
      <c r="C84" s="56"/>
      <c r="D84" s="57"/>
      <c r="E84" s="56"/>
      <c r="F84" s="1"/>
      <c r="G84" s="2"/>
    </row>
    <row r="85" ht="15.75" customHeight="1">
      <c r="A85" s="1"/>
      <c r="B85" s="55" t="s">
        <v>535</v>
      </c>
      <c r="C85" s="56"/>
      <c r="D85" s="57"/>
      <c r="E85" s="56"/>
      <c r="F85" s="1"/>
      <c r="G85" s="2"/>
    </row>
    <row r="86" ht="15.75" customHeight="1">
      <c r="B86" s="55"/>
      <c r="C86" s="56"/>
      <c r="D86" s="57"/>
      <c r="E86" s="57"/>
    </row>
    <row r="87" ht="15.75" customHeight="1">
      <c r="B87" s="55" t="s">
        <v>536</v>
      </c>
      <c r="C87" s="56"/>
      <c r="D87" s="57"/>
      <c r="E87" s="57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3:D13"/>
    <mergeCell ref="B14:F14"/>
    <mergeCell ref="B68:G68"/>
    <mergeCell ref="B81:E8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57"/>
    <col customWidth="1" min="8" max="26" width="10.71"/>
  </cols>
  <sheetData>
    <row r="3">
      <c r="A3" s="1"/>
      <c r="B3" s="3" t="s">
        <v>572</v>
      </c>
      <c r="C3" s="1"/>
      <c r="D3" s="1"/>
      <c r="E3" s="1"/>
      <c r="F3" s="1"/>
      <c r="G3" s="2"/>
    </row>
    <row r="4">
      <c r="A4" s="1"/>
      <c r="B4" s="4"/>
      <c r="C4" s="1"/>
      <c r="D4" s="1"/>
      <c r="E4" s="1"/>
      <c r="F4" s="1"/>
      <c r="G4" s="2"/>
    </row>
    <row r="5">
      <c r="A5" s="1"/>
      <c r="B5" s="5" t="s">
        <v>573</v>
      </c>
      <c r="C5" s="1"/>
      <c r="D5" s="1"/>
      <c r="E5" s="1"/>
      <c r="F5" s="1"/>
      <c r="G5" s="2">
        <v>1.5366564E7</v>
      </c>
    </row>
    <row r="6">
      <c r="A6" s="1"/>
      <c r="B6" s="4"/>
      <c r="C6" s="1"/>
      <c r="D6" s="1"/>
      <c r="E6" s="1"/>
      <c r="F6" s="1"/>
      <c r="G6" s="2"/>
    </row>
    <row r="7">
      <c r="A7" s="6" t="s">
        <v>574</v>
      </c>
      <c r="B7" s="1"/>
      <c r="C7" s="1"/>
      <c r="D7" s="1"/>
      <c r="E7" s="1"/>
      <c r="F7" s="48" t="s">
        <v>403</v>
      </c>
      <c r="G7" s="7" t="s">
        <v>404</v>
      </c>
    </row>
    <row r="8">
      <c r="A8" s="1"/>
      <c r="B8" s="4" t="s">
        <v>63</v>
      </c>
      <c r="C8" s="1"/>
      <c r="D8" s="1"/>
      <c r="E8" s="1"/>
      <c r="F8" s="2">
        <v>218300.0</v>
      </c>
      <c r="G8" s="7">
        <v>1082000.0</v>
      </c>
    </row>
    <row r="9">
      <c r="A9" s="1"/>
      <c r="B9" s="4" t="s">
        <v>64</v>
      </c>
      <c r="C9" s="1"/>
      <c r="D9" s="1"/>
      <c r="E9" s="1"/>
      <c r="F9" s="2">
        <v>208200.0</v>
      </c>
      <c r="G9" s="7">
        <v>1016000.0</v>
      </c>
    </row>
    <row r="10">
      <c r="A10" s="1"/>
      <c r="B10" s="4" t="s">
        <v>65</v>
      </c>
      <c r="C10" s="1"/>
      <c r="D10" s="1"/>
      <c r="E10" s="1"/>
      <c r="F10" s="2">
        <v>297800.0</v>
      </c>
      <c r="G10" s="7">
        <v>952000.0</v>
      </c>
    </row>
    <row r="11">
      <c r="A11" s="1"/>
      <c r="B11" s="4" t="s">
        <v>66</v>
      </c>
      <c r="C11" s="1"/>
      <c r="D11" s="1"/>
      <c r="E11" s="1"/>
      <c r="F11" s="2">
        <v>314800.0</v>
      </c>
      <c r="G11" s="8">
        <v>872000.0</v>
      </c>
    </row>
    <row r="12">
      <c r="A12" s="1"/>
      <c r="B12" s="4" t="s">
        <v>67</v>
      </c>
      <c r="C12" s="1"/>
      <c r="D12" s="49" t="s">
        <v>8</v>
      </c>
      <c r="E12" s="49"/>
      <c r="F12" s="54">
        <v>191600.0</v>
      </c>
      <c r="G12" s="7">
        <v>338000.0</v>
      </c>
    </row>
    <row r="13">
      <c r="A13" s="1"/>
      <c r="B13" s="4"/>
      <c r="C13" s="50" t="s">
        <v>405</v>
      </c>
      <c r="E13" s="4"/>
      <c r="F13" s="2">
        <f t="shared" ref="F13:G13" si="1">SUM(F8:F12)</f>
        <v>1230700</v>
      </c>
      <c r="G13" s="7">
        <f t="shared" si="1"/>
        <v>4260000</v>
      </c>
    </row>
    <row r="14">
      <c r="A14" s="1"/>
      <c r="B14" s="51" t="s">
        <v>9</v>
      </c>
      <c r="C14" s="52"/>
      <c r="D14" s="52"/>
      <c r="E14" s="52"/>
      <c r="F14" s="53"/>
      <c r="G14" s="11">
        <f>SUM(F13:G13)</f>
        <v>5490700</v>
      </c>
    </row>
    <row r="15">
      <c r="A15" s="1"/>
      <c r="B15" s="1"/>
      <c r="C15" s="1"/>
      <c r="D15" s="1"/>
      <c r="E15" s="1"/>
      <c r="F15" s="1"/>
      <c r="G15" s="2"/>
    </row>
    <row r="16">
      <c r="A16" s="6" t="s">
        <v>575</v>
      </c>
      <c r="B16" s="1"/>
      <c r="C16" s="1"/>
      <c r="D16" s="1"/>
      <c r="E16" s="1"/>
      <c r="F16" s="1"/>
      <c r="G16" s="2"/>
    </row>
    <row r="17">
      <c r="A17" s="1"/>
      <c r="B17" s="12" t="s">
        <v>11</v>
      </c>
      <c r="C17" s="1"/>
      <c r="D17" s="1"/>
      <c r="E17" s="1"/>
      <c r="F17" s="1"/>
      <c r="G17" s="2"/>
    </row>
    <row r="18">
      <c r="A18" s="1"/>
      <c r="B18" s="4" t="s">
        <v>576</v>
      </c>
      <c r="C18" s="1"/>
      <c r="D18" s="1"/>
      <c r="E18" s="1"/>
      <c r="F18" s="1"/>
      <c r="G18" s="2">
        <v>66000.0</v>
      </c>
    </row>
    <row r="19">
      <c r="A19" s="1"/>
      <c r="B19" s="4" t="s">
        <v>13</v>
      </c>
      <c r="C19" s="1"/>
      <c r="D19" s="1"/>
      <c r="E19" s="1"/>
      <c r="F19" s="1"/>
      <c r="G19" s="13">
        <v>100000.0</v>
      </c>
    </row>
    <row r="20">
      <c r="A20" s="1"/>
      <c r="B20" s="4" t="s">
        <v>14</v>
      </c>
      <c r="C20" s="1"/>
      <c r="D20" s="1"/>
      <c r="E20" s="1"/>
      <c r="F20" s="1"/>
      <c r="G20" s="13">
        <v>100000.0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2">
        <v>75000.0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2">
        <v>60000.0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2">
        <v>65000.0</v>
      </c>
    </row>
    <row r="24" ht="15.75" customHeight="1">
      <c r="A24" s="1"/>
      <c r="B24" s="4" t="s">
        <v>448</v>
      </c>
      <c r="C24" s="1"/>
      <c r="D24" s="1"/>
      <c r="E24" s="1"/>
      <c r="F24" s="1"/>
      <c r="G24" s="2">
        <v>150000.0</v>
      </c>
    </row>
    <row r="25" ht="15.75" customHeight="1">
      <c r="A25" s="1"/>
      <c r="B25" s="9" t="s">
        <v>18</v>
      </c>
      <c r="C25" s="10"/>
      <c r="D25" s="10"/>
      <c r="E25" s="10"/>
      <c r="F25" s="10"/>
      <c r="G25" s="14">
        <f>SUM(G18:G24)</f>
        <v>616000</v>
      </c>
    </row>
    <row r="26" ht="15.75" customHeight="1">
      <c r="A26" s="1"/>
      <c r="B26" s="12" t="s">
        <v>19</v>
      </c>
      <c r="C26" s="15"/>
      <c r="D26" s="1"/>
      <c r="E26" s="1"/>
      <c r="F26" s="1"/>
      <c r="G26" s="2"/>
    </row>
    <row r="27" ht="15.75" customHeight="1">
      <c r="A27" s="1"/>
      <c r="B27" s="4"/>
      <c r="C27" s="15"/>
      <c r="D27" s="1"/>
      <c r="E27" s="1"/>
      <c r="F27" s="1"/>
      <c r="G27" s="2"/>
    </row>
    <row r="28" ht="15.75" customHeight="1">
      <c r="A28" s="1"/>
      <c r="B28" s="4" t="s">
        <v>577</v>
      </c>
      <c r="C28" s="15"/>
      <c r="D28" s="1"/>
      <c r="E28" s="1"/>
      <c r="F28" s="1"/>
      <c r="G28" s="2">
        <v>10000.0</v>
      </c>
    </row>
    <row r="29" ht="15.75" customHeight="1">
      <c r="A29" s="1"/>
      <c r="B29" s="4" t="s">
        <v>578</v>
      </c>
      <c r="C29" s="15"/>
      <c r="D29" s="1"/>
      <c r="E29" s="1"/>
      <c r="F29" s="1"/>
      <c r="G29" s="2">
        <v>3000.0</v>
      </c>
    </row>
    <row r="30" ht="15.75" customHeight="1">
      <c r="A30" s="1"/>
      <c r="B30" s="4" t="s">
        <v>579</v>
      </c>
      <c r="C30" s="15"/>
      <c r="D30" s="1"/>
      <c r="E30" s="1"/>
      <c r="F30" s="1"/>
      <c r="G30" s="2">
        <v>54100.0</v>
      </c>
    </row>
    <row r="31" ht="15.75" customHeight="1">
      <c r="A31" s="1"/>
      <c r="B31" s="4" t="s">
        <v>580</v>
      </c>
      <c r="C31" s="15"/>
      <c r="D31" s="1"/>
      <c r="E31" s="1"/>
      <c r="F31" s="1"/>
      <c r="G31" s="2">
        <v>15000.0</v>
      </c>
    </row>
    <row r="32" ht="15.75" customHeight="1">
      <c r="A32" s="1"/>
      <c r="B32" s="4" t="s">
        <v>581</v>
      </c>
      <c r="C32" s="15"/>
      <c r="D32" s="1"/>
      <c r="E32" s="1"/>
      <c r="F32" s="1"/>
      <c r="G32" s="2">
        <v>2000.0</v>
      </c>
    </row>
    <row r="33" ht="15.75" customHeight="1">
      <c r="A33" s="1"/>
      <c r="B33" s="4" t="s">
        <v>582</v>
      </c>
      <c r="C33" s="15"/>
      <c r="D33" s="1"/>
      <c r="E33" s="1"/>
      <c r="F33" s="1"/>
      <c r="G33" s="2">
        <v>6000.0</v>
      </c>
    </row>
    <row r="34" ht="15.75" customHeight="1">
      <c r="A34" s="1"/>
      <c r="B34" s="4" t="s">
        <v>583</v>
      </c>
      <c r="C34" s="15"/>
      <c r="D34" s="1"/>
      <c r="E34" s="1"/>
      <c r="F34" s="1"/>
      <c r="G34" s="2">
        <v>91590.0</v>
      </c>
    </row>
    <row r="35" ht="15.75" customHeight="1">
      <c r="A35" s="1"/>
      <c r="B35" s="4" t="s">
        <v>584</v>
      </c>
      <c r="C35" s="15"/>
      <c r="D35" s="1"/>
      <c r="E35" s="1" t="s">
        <v>585</v>
      </c>
      <c r="F35" s="1"/>
      <c r="G35" s="2">
        <v>8000.0</v>
      </c>
    </row>
    <row r="36" ht="15.75" customHeight="1">
      <c r="A36" s="1"/>
      <c r="B36" s="4" t="s">
        <v>586</v>
      </c>
      <c r="C36" s="15"/>
      <c r="D36" s="1"/>
      <c r="E36" s="1"/>
      <c r="F36" s="1"/>
      <c r="G36" s="2">
        <v>5000.0</v>
      </c>
    </row>
    <row r="37" ht="15.75" customHeight="1">
      <c r="A37" s="1"/>
      <c r="B37" s="4" t="s">
        <v>587</v>
      </c>
      <c r="C37" s="15"/>
      <c r="D37" s="1"/>
      <c r="E37" s="1"/>
      <c r="F37" s="1"/>
      <c r="G37" s="2">
        <v>31500.0</v>
      </c>
    </row>
    <row r="38" ht="15.75" customHeight="1">
      <c r="A38" s="1"/>
      <c r="B38" s="4" t="s">
        <v>588</v>
      </c>
      <c r="C38" s="15"/>
      <c r="D38" s="1"/>
      <c r="E38" s="1"/>
      <c r="F38" s="1"/>
      <c r="G38" s="2">
        <v>15000.0</v>
      </c>
    </row>
    <row r="39" ht="15.75" customHeight="1">
      <c r="A39" s="1"/>
      <c r="B39" s="4" t="s">
        <v>589</v>
      </c>
      <c r="C39" s="15"/>
      <c r="D39" s="1"/>
      <c r="E39" s="1"/>
      <c r="F39" s="1"/>
      <c r="G39" s="2">
        <v>14500.0</v>
      </c>
    </row>
    <row r="40" ht="15.75" customHeight="1">
      <c r="A40" s="1"/>
      <c r="B40" s="4" t="s">
        <v>75</v>
      </c>
      <c r="C40" s="15"/>
      <c r="D40" s="1"/>
      <c r="E40" s="1"/>
      <c r="F40" s="1"/>
      <c r="G40" s="2">
        <v>100000.0</v>
      </c>
    </row>
    <row r="41" ht="15.75" customHeight="1">
      <c r="A41" s="1"/>
      <c r="B41" s="4" t="s">
        <v>590</v>
      </c>
      <c r="C41" s="15"/>
      <c r="D41" s="1"/>
      <c r="E41" s="1"/>
      <c r="F41" s="1"/>
      <c r="G41" s="2"/>
    </row>
    <row r="42" ht="15.75" customHeight="1">
      <c r="A42" s="1"/>
      <c r="B42" s="4" t="s">
        <v>591</v>
      </c>
      <c r="C42" s="15"/>
      <c r="D42" s="1"/>
      <c r="E42" s="1"/>
      <c r="F42" s="1"/>
      <c r="G42" s="2">
        <v>40000.0</v>
      </c>
    </row>
    <row r="43" ht="15.75" customHeight="1">
      <c r="A43" s="1"/>
      <c r="B43" s="4" t="s">
        <v>592</v>
      </c>
      <c r="C43" s="15"/>
      <c r="D43" s="1"/>
      <c r="E43" s="1"/>
      <c r="F43" s="1"/>
      <c r="G43" s="2">
        <v>4200.0</v>
      </c>
    </row>
    <row r="44" ht="15.75" customHeight="1">
      <c r="A44" s="1"/>
      <c r="B44" s="4" t="s">
        <v>593</v>
      </c>
      <c r="C44" s="15"/>
      <c r="D44" s="1"/>
      <c r="E44" s="1"/>
      <c r="F44" s="1"/>
      <c r="G44" s="2">
        <v>15000.0</v>
      </c>
    </row>
    <row r="45" ht="15.75" customHeight="1">
      <c r="A45" s="1"/>
      <c r="B45" s="4" t="s">
        <v>594</v>
      </c>
      <c r="C45" s="15"/>
      <c r="D45" s="1"/>
      <c r="E45" s="1"/>
      <c r="F45" s="1"/>
      <c r="G45" s="2">
        <v>15000.0</v>
      </c>
    </row>
    <row r="46" ht="15.75" customHeight="1">
      <c r="A46" s="1"/>
      <c r="B46" s="4" t="s">
        <v>595</v>
      </c>
      <c r="C46" s="15"/>
      <c r="D46" s="1"/>
      <c r="E46" s="1"/>
      <c r="F46" s="1"/>
      <c r="G46" s="2">
        <v>2000.0</v>
      </c>
    </row>
    <row r="47" ht="15.75" customHeight="1">
      <c r="A47" s="1"/>
      <c r="B47" s="4" t="s">
        <v>596</v>
      </c>
      <c r="C47" s="15"/>
      <c r="D47" s="1"/>
      <c r="E47" s="1"/>
      <c r="F47" s="1"/>
      <c r="G47" s="2">
        <v>54000.0</v>
      </c>
    </row>
    <row r="48" ht="15.75" customHeight="1">
      <c r="A48" s="1"/>
      <c r="B48" s="4" t="s">
        <v>597</v>
      </c>
      <c r="C48" s="15"/>
      <c r="D48" s="1"/>
      <c r="E48" s="1"/>
      <c r="F48" s="1"/>
      <c r="G48" s="2">
        <v>5000.0</v>
      </c>
    </row>
    <row r="49" ht="15.75" customHeight="1">
      <c r="A49" s="1"/>
      <c r="B49" s="4" t="s">
        <v>598</v>
      </c>
      <c r="C49" s="15"/>
      <c r="D49" s="1"/>
      <c r="E49" s="1"/>
      <c r="F49" s="1"/>
      <c r="G49" s="2">
        <v>18805.0</v>
      </c>
    </row>
    <row r="50" ht="15.75" customHeight="1">
      <c r="A50" s="1"/>
      <c r="B50" s="4" t="s">
        <v>599</v>
      </c>
      <c r="C50" s="15"/>
      <c r="D50" s="1"/>
      <c r="E50" s="1"/>
      <c r="F50" s="1"/>
      <c r="G50" s="2">
        <v>63560.0</v>
      </c>
    </row>
    <row r="51" ht="15.75" customHeight="1">
      <c r="A51" s="1"/>
      <c r="B51" s="4" t="s">
        <v>600</v>
      </c>
      <c r="C51" s="15"/>
      <c r="D51" s="1"/>
      <c r="E51" s="1"/>
      <c r="F51" s="1"/>
      <c r="G51" s="2">
        <v>30000.0</v>
      </c>
    </row>
    <row r="52" ht="15.75" customHeight="1">
      <c r="A52" s="1"/>
      <c r="B52" s="4" t="s">
        <v>601</v>
      </c>
      <c r="C52" s="15"/>
      <c r="D52" s="1"/>
      <c r="E52" s="1"/>
      <c r="F52" s="1"/>
      <c r="G52" s="2">
        <v>4000.0</v>
      </c>
    </row>
    <row r="53" ht="15.75" customHeight="1">
      <c r="A53" s="1"/>
      <c r="B53" s="4" t="s">
        <v>602</v>
      </c>
      <c r="C53" s="15"/>
      <c r="D53" s="1"/>
      <c r="E53" s="1"/>
      <c r="F53" s="1"/>
      <c r="G53" s="2">
        <v>2000.0</v>
      </c>
    </row>
    <row r="54" ht="15.75" customHeight="1">
      <c r="A54" s="1"/>
      <c r="B54" s="4" t="s">
        <v>603</v>
      </c>
      <c r="C54" s="15"/>
      <c r="D54" s="1"/>
      <c r="E54" s="1"/>
      <c r="F54" s="1"/>
      <c r="G54" s="2">
        <v>67500.0</v>
      </c>
    </row>
    <row r="55" ht="15.75" customHeight="1">
      <c r="A55" s="1"/>
      <c r="B55" s="4" t="s">
        <v>604</v>
      </c>
      <c r="C55" s="15"/>
      <c r="D55" s="1"/>
      <c r="E55" s="1"/>
      <c r="F55" s="1"/>
      <c r="G55" s="2">
        <v>100000.0</v>
      </c>
    </row>
    <row r="56" ht="15.75" customHeight="1">
      <c r="A56" s="1"/>
      <c r="B56" s="4" t="s">
        <v>605</v>
      </c>
      <c r="C56" s="15"/>
      <c r="D56" s="1"/>
      <c r="E56" s="1"/>
      <c r="F56" s="1"/>
      <c r="G56" s="2">
        <v>175000.0</v>
      </c>
    </row>
    <row r="57" ht="15.75" customHeight="1">
      <c r="A57" s="1"/>
      <c r="B57" s="4" t="s">
        <v>606</v>
      </c>
      <c r="C57" s="15"/>
      <c r="D57" s="1"/>
      <c r="E57" s="1"/>
      <c r="F57" s="1"/>
      <c r="G57" s="2">
        <v>2000.0</v>
      </c>
    </row>
    <row r="58" ht="15.75" customHeight="1">
      <c r="A58" s="1"/>
      <c r="B58" s="4" t="s">
        <v>607</v>
      </c>
      <c r="C58" s="15"/>
      <c r="D58" s="1"/>
      <c r="E58" s="1"/>
      <c r="F58" s="1"/>
      <c r="G58" s="2">
        <v>7500.0</v>
      </c>
    </row>
    <row r="59" ht="15.75" customHeight="1">
      <c r="A59" s="1"/>
      <c r="B59" s="4" t="s">
        <v>608</v>
      </c>
      <c r="C59" s="15"/>
      <c r="D59" s="1"/>
      <c r="E59" s="1"/>
      <c r="F59" s="1"/>
      <c r="G59" s="2">
        <v>33000.0</v>
      </c>
    </row>
    <row r="60" ht="15.75" customHeight="1">
      <c r="A60" s="1"/>
      <c r="B60" s="4" t="s">
        <v>609</v>
      </c>
      <c r="C60" s="15"/>
      <c r="D60" s="1"/>
      <c r="E60" s="1"/>
      <c r="F60" s="1"/>
      <c r="G60" s="2">
        <v>46000.0</v>
      </c>
    </row>
    <row r="61" ht="15.75" customHeight="1">
      <c r="A61" s="1"/>
      <c r="B61" s="4" t="s">
        <v>463</v>
      </c>
      <c r="C61" s="15"/>
      <c r="D61" s="1"/>
      <c r="E61" s="1"/>
      <c r="F61" s="1"/>
      <c r="G61" s="2">
        <v>10000.0</v>
      </c>
    </row>
    <row r="62" ht="15.75" customHeight="1">
      <c r="A62" s="1"/>
      <c r="B62" s="4" t="s">
        <v>507</v>
      </c>
      <c r="C62" s="15"/>
      <c r="D62" s="1"/>
      <c r="E62" s="1"/>
      <c r="F62" s="1"/>
      <c r="G62" s="2">
        <v>5000.0</v>
      </c>
    </row>
    <row r="63" ht="15.75" customHeight="1">
      <c r="A63" s="1"/>
      <c r="B63" s="4" t="s">
        <v>610</v>
      </c>
      <c r="C63" s="15"/>
      <c r="D63" s="1"/>
      <c r="E63" s="1"/>
      <c r="F63" s="1"/>
      <c r="G63" s="2">
        <v>2000.0</v>
      </c>
    </row>
    <row r="64" ht="15.75" customHeight="1">
      <c r="A64" s="1"/>
      <c r="B64" s="4" t="s">
        <v>611</v>
      </c>
      <c r="C64" s="15"/>
      <c r="D64" s="1"/>
      <c r="E64" s="1"/>
      <c r="F64" s="1"/>
      <c r="G64" s="2">
        <v>94000.0</v>
      </c>
    </row>
    <row r="65" ht="15.75" customHeight="1">
      <c r="A65" s="1"/>
      <c r="B65" s="4" t="s">
        <v>612</v>
      </c>
      <c r="C65" s="15"/>
      <c r="D65" s="1"/>
      <c r="E65" s="1"/>
      <c r="F65" s="1"/>
      <c r="G65" s="2">
        <v>65250.0</v>
      </c>
    </row>
    <row r="66" ht="15.75" customHeight="1">
      <c r="A66" s="1"/>
      <c r="B66" s="4" t="s">
        <v>613</v>
      </c>
      <c r="C66" s="15"/>
      <c r="D66" s="1"/>
      <c r="E66" s="1"/>
      <c r="F66" s="1"/>
      <c r="G66" s="2">
        <v>250000.0</v>
      </c>
    </row>
    <row r="67" ht="15.75" customHeight="1">
      <c r="A67" s="1"/>
      <c r="B67" s="4"/>
      <c r="C67" s="15"/>
      <c r="D67" s="1"/>
      <c r="E67" s="1"/>
      <c r="F67" s="1"/>
      <c r="G67" s="2"/>
    </row>
    <row r="68" ht="15.75" customHeight="1">
      <c r="A68" s="1"/>
      <c r="B68" s="16" t="s">
        <v>43</v>
      </c>
      <c r="C68" s="10"/>
      <c r="D68" s="10"/>
      <c r="E68" s="10"/>
      <c r="F68" s="10"/>
      <c r="G68" s="17">
        <f>SUM(G27:G66)</f>
        <v>1466505</v>
      </c>
    </row>
    <row r="69" ht="15.75" customHeight="1">
      <c r="A69" s="1"/>
      <c r="B69" s="1"/>
      <c r="C69" s="1"/>
      <c r="D69" s="1"/>
      <c r="E69" s="1"/>
      <c r="F69" s="1"/>
      <c r="G69" s="18" t="s">
        <v>44</v>
      </c>
    </row>
    <row r="70" ht="15.75" customHeight="1">
      <c r="A70" s="1"/>
      <c r="B70" s="19" t="s">
        <v>45</v>
      </c>
      <c r="C70" s="20"/>
      <c r="D70" s="20"/>
      <c r="E70" s="20"/>
      <c r="F70" s="20"/>
      <c r="G70" s="21">
        <f>SUM(G25,G68)</f>
        <v>2082505</v>
      </c>
    </row>
    <row r="71" ht="15.75" customHeight="1">
      <c r="A71" s="1"/>
      <c r="B71" s="4" t="s">
        <v>46</v>
      </c>
      <c r="C71" s="1"/>
      <c r="D71" s="1"/>
      <c r="E71" s="1"/>
      <c r="F71" s="1"/>
      <c r="G71" s="2"/>
    </row>
    <row r="72" ht="15.75" customHeight="1">
      <c r="A72" s="35" t="s">
        <v>614</v>
      </c>
      <c r="B72" s="36"/>
      <c r="C72" s="37"/>
      <c r="D72" s="37"/>
      <c r="E72" s="37"/>
      <c r="F72" s="37"/>
      <c r="G72" s="38">
        <f>(G14-G70)</f>
        <v>3408195</v>
      </c>
    </row>
    <row r="73" ht="15.75" customHeight="1">
      <c r="A73" s="22" t="s">
        <v>254</v>
      </c>
      <c r="B73" s="1" t="s">
        <v>255</v>
      </c>
      <c r="C73" s="1"/>
      <c r="D73" s="1"/>
      <c r="E73" s="1"/>
      <c r="F73" s="1"/>
      <c r="G73" s="2"/>
    </row>
    <row r="74" ht="15.75" customHeight="1">
      <c r="A74" s="1"/>
      <c r="B74" s="27" t="s">
        <v>51</v>
      </c>
      <c r="C74" s="27"/>
      <c r="D74" s="27"/>
      <c r="E74" s="27"/>
      <c r="F74" s="27"/>
      <c r="G74" s="28"/>
    </row>
    <row r="75" ht="15.75" customHeight="1">
      <c r="A75" s="1"/>
      <c r="B75" s="1"/>
      <c r="C75" s="1"/>
      <c r="D75" s="1"/>
      <c r="E75" s="1"/>
      <c r="F75" s="1"/>
      <c r="G75" s="2"/>
    </row>
    <row r="76" ht="15.75" customHeight="1">
      <c r="A76" s="44"/>
      <c r="B76" s="45" t="s">
        <v>615</v>
      </c>
      <c r="C76" s="46"/>
      <c r="D76" s="46"/>
      <c r="E76" s="46"/>
      <c r="F76" s="46"/>
      <c r="G76" s="47">
        <f>SUM(G5,G72,-G74)</f>
        <v>18774759</v>
      </c>
    </row>
    <row r="77" ht="15.75" customHeight="1">
      <c r="A77" s="1"/>
      <c r="B77" s="1"/>
      <c r="C77" s="1"/>
      <c r="D77" s="1"/>
      <c r="E77" s="1"/>
      <c r="F77" s="1"/>
      <c r="G77" s="2"/>
    </row>
    <row r="78" ht="15.75" customHeight="1">
      <c r="A78" s="1"/>
      <c r="B78" s="32" t="s">
        <v>616</v>
      </c>
    </row>
    <row r="79" ht="15.75" customHeight="1">
      <c r="A79" s="1"/>
      <c r="B79" s="1"/>
      <c r="C79" s="1" t="s">
        <v>113</v>
      </c>
      <c r="D79" s="1"/>
      <c r="E79" s="1"/>
      <c r="F79" s="1"/>
      <c r="G79" s="2">
        <v>38000.0</v>
      </c>
    </row>
    <row r="80" ht="15.75" customHeight="1">
      <c r="A80" s="1"/>
      <c r="B80" s="1"/>
      <c r="C80" s="1" t="s">
        <v>114</v>
      </c>
      <c r="D80" s="1"/>
      <c r="E80" s="1"/>
      <c r="F80" s="1"/>
      <c r="G80" s="2">
        <v>181000.0</v>
      </c>
    </row>
    <row r="81" ht="15.75" customHeight="1">
      <c r="A81" s="1"/>
      <c r="B81" s="1"/>
      <c r="C81" s="43" t="s">
        <v>115</v>
      </c>
      <c r="D81" s="1"/>
      <c r="E81" s="1"/>
      <c r="F81" s="1"/>
      <c r="G81" s="2">
        <f>SUM(G79,G80)</f>
        <v>219000</v>
      </c>
    </row>
    <row r="82" ht="15.75" customHeight="1">
      <c r="A82" s="1"/>
      <c r="B82" s="1"/>
      <c r="C82" s="43"/>
      <c r="D82" s="1"/>
      <c r="E82" s="1"/>
      <c r="F82" s="1"/>
      <c r="G82" s="2"/>
    </row>
    <row r="83" ht="15.75" customHeight="1">
      <c r="A83" s="1"/>
      <c r="B83" s="1" t="s">
        <v>617</v>
      </c>
      <c r="C83" s="43"/>
      <c r="D83" s="1"/>
      <c r="E83" s="1"/>
      <c r="F83" s="1"/>
      <c r="G83" s="2"/>
    </row>
    <row r="84" ht="15.75" customHeight="1">
      <c r="A84" s="1"/>
      <c r="B84" s="1" t="s">
        <v>568</v>
      </c>
      <c r="C84" s="43"/>
      <c r="D84" s="1"/>
      <c r="E84" s="1"/>
      <c r="F84" s="1"/>
      <c r="G84" s="1"/>
    </row>
    <row r="85" ht="15.75" customHeight="1">
      <c r="A85" s="1"/>
      <c r="B85" s="33" t="s">
        <v>618</v>
      </c>
      <c r="C85" s="1"/>
      <c r="D85" s="1"/>
      <c r="E85" s="1"/>
      <c r="F85" s="1"/>
      <c r="G85" s="2"/>
    </row>
    <row r="86" ht="15.75" customHeight="1">
      <c r="A86" s="1"/>
      <c r="B86" s="4"/>
      <c r="C86" s="1"/>
      <c r="D86" s="1"/>
      <c r="E86" s="1"/>
      <c r="F86" s="1"/>
      <c r="G86" s="2"/>
    </row>
    <row r="87" ht="15.75" customHeight="1">
      <c r="A87" s="1"/>
      <c r="B87" s="55" t="s">
        <v>531</v>
      </c>
      <c r="C87" s="56"/>
      <c r="D87" s="56"/>
      <c r="E87" s="56"/>
      <c r="F87" s="1"/>
      <c r="G87" s="2"/>
    </row>
    <row r="88" ht="15.75" customHeight="1">
      <c r="A88" s="1"/>
      <c r="B88" s="55"/>
      <c r="C88" s="56"/>
      <c r="D88" s="56"/>
      <c r="E88" s="56"/>
      <c r="F88" s="1"/>
      <c r="G88" s="2"/>
    </row>
    <row r="89" ht="15.75" customHeight="1">
      <c r="A89" s="1"/>
      <c r="B89" s="55" t="s">
        <v>619</v>
      </c>
      <c r="C89" s="56"/>
      <c r="D89" s="56"/>
      <c r="E89" s="56"/>
      <c r="F89" s="1"/>
      <c r="G89" s="2"/>
    </row>
    <row r="90" ht="15.75" customHeight="1">
      <c r="A90" s="1"/>
      <c r="B90" s="55"/>
      <c r="C90" s="56"/>
      <c r="D90" s="56"/>
      <c r="E90" s="56"/>
      <c r="F90" s="1"/>
      <c r="G90" s="2"/>
    </row>
    <row r="91" ht="15.75" customHeight="1">
      <c r="A91" s="1"/>
      <c r="B91" s="55" t="s">
        <v>533</v>
      </c>
      <c r="F91" s="1"/>
      <c r="G91" s="2"/>
    </row>
    <row r="92" ht="15.75" customHeight="1">
      <c r="A92" s="1"/>
      <c r="B92" s="57"/>
      <c r="C92" s="57"/>
      <c r="D92" s="57"/>
      <c r="E92" s="56"/>
      <c r="F92" s="1"/>
      <c r="G92" s="2"/>
    </row>
    <row r="93" ht="15.75" customHeight="1">
      <c r="A93" s="1"/>
      <c r="B93" s="55" t="s">
        <v>620</v>
      </c>
      <c r="C93" s="56"/>
      <c r="D93" s="57"/>
      <c r="E93" s="56"/>
      <c r="F93" s="1"/>
      <c r="G93" s="2"/>
    </row>
    <row r="94" ht="15.75" customHeight="1">
      <c r="A94" s="1"/>
      <c r="B94" s="55" t="s">
        <v>535</v>
      </c>
      <c r="C94" s="56"/>
      <c r="D94" s="57"/>
      <c r="E94" s="56"/>
      <c r="F94" s="1"/>
      <c r="G94" s="2"/>
    </row>
    <row r="95" ht="15.75" customHeight="1">
      <c r="B95" s="55" t="s">
        <v>536</v>
      </c>
      <c r="C95" s="56"/>
      <c r="D95" s="57"/>
      <c r="E95" s="57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3:D13"/>
    <mergeCell ref="B14:F14"/>
    <mergeCell ref="B78:G78"/>
    <mergeCell ref="B91:E91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19.71"/>
    <col customWidth="1" min="3" max="3" width="12.71"/>
    <col customWidth="1" min="4" max="4" width="13.29"/>
    <col customWidth="1" min="5" max="5" width="22.0"/>
    <col customWidth="1" min="6" max="6" width="15.57"/>
    <col customWidth="1" min="7" max="7" width="14.14"/>
    <col customWidth="1" min="8" max="26" width="10.71"/>
  </cols>
  <sheetData>
    <row r="1">
      <c r="A1" s="58" t="s">
        <v>621</v>
      </c>
      <c r="B1" s="58" t="s">
        <v>622</v>
      </c>
      <c r="C1" s="58" t="s">
        <v>623</v>
      </c>
      <c r="D1" s="58" t="s">
        <v>624</v>
      </c>
      <c r="E1" s="58" t="s">
        <v>625</v>
      </c>
      <c r="F1" s="58" t="s">
        <v>626</v>
      </c>
      <c r="G1" s="58" t="s">
        <v>627</v>
      </c>
      <c r="H1" s="58" t="s">
        <v>628</v>
      </c>
      <c r="I1" s="58" t="s">
        <v>629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59">
        <v>43466.0</v>
      </c>
      <c r="B2" s="2">
        <v>7047306.0</v>
      </c>
      <c r="C2" s="60">
        <v>4711900.0</v>
      </c>
      <c r="D2" s="60">
        <v>0.0</v>
      </c>
      <c r="E2" s="60">
        <v>518000.0</v>
      </c>
      <c r="F2" s="60">
        <v>3408250.0</v>
      </c>
      <c r="G2" s="60">
        <v>655000.0</v>
      </c>
      <c r="H2" s="60">
        <f t="shared" ref="H2:H13" si="1">(C2+D2-E2-F2)</f>
        <v>785650</v>
      </c>
      <c r="I2" s="60">
        <f t="shared" ref="I2:I13" si="2">(B2+H2-G2)</f>
        <v>7177956</v>
      </c>
    </row>
    <row r="3">
      <c r="A3" s="59">
        <v>43497.0</v>
      </c>
      <c r="B3" s="60">
        <f t="shared" ref="B3:B13" si="3">(I2)</f>
        <v>7177956</v>
      </c>
      <c r="C3" s="60">
        <v>3866600.0</v>
      </c>
      <c r="D3" s="60">
        <v>0.0</v>
      </c>
      <c r="E3" s="60">
        <v>498000.0</v>
      </c>
      <c r="F3" s="60">
        <v>2246180.0</v>
      </c>
      <c r="G3" s="60">
        <v>0.0</v>
      </c>
      <c r="H3" s="60">
        <f t="shared" si="1"/>
        <v>1122420</v>
      </c>
      <c r="I3" s="60">
        <f t="shared" si="2"/>
        <v>8300376</v>
      </c>
    </row>
    <row r="4">
      <c r="A4" s="59">
        <v>43525.0</v>
      </c>
      <c r="B4" s="60">
        <f t="shared" si="3"/>
        <v>8300376</v>
      </c>
      <c r="C4" s="60">
        <v>4807280.0</v>
      </c>
      <c r="D4" s="60">
        <v>0.0</v>
      </c>
      <c r="E4" s="60">
        <v>516000.0</v>
      </c>
      <c r="F4" s="60">
        <v>2961005.0</v>
      </c>
      <c r="G4" s="60">
        <v>0.0</v>
      </c>
      <c r="H4" s="60">
        <f t="shared" si="1"/>
        <v>1330275</v>
      </c>
      <c r="I4" s="60">
        <f t="shared" si="2"/>
        <v>9630651</v>
      </c>
    </row>
    <row r="5">
      <c r="A5" s="59">
        <v>43556.0</v>
      </c>
      <c r="B5" s="60">
        <f t="shared" si="3"/>
        <v>9630651</v>
      </c>
      <c r="C5" s="60">
        <v>4838600.0</v>
      </c>
      <c r="D5" s="60">
        <v>0.0</v>
      </c>
      <c r="E5" s="60">
        <v>548000.0</v>
      </c>
      <c r="F5" s="60">
        <v>1522125.0</v>
      </c>
      <c r="G5" s="60">
        <v>1500000.0</v>
      </c>
      <c r="H5" s="60">
        <f t="shared" si="1"/>
        <v>2768475</v>
      </c>
      <c r="I5" s="60">
        <f t="shared" si="2"/>
        <v>10899126</v>
      </c>
    </row>
    <row r="6">
      <c r="A6" s="59">
        <v>43586.0</v>
      </c>
      <c r="B6" s="60">
        <f t="shared" si="3"/>
        <v>10899126</v>
      </c>
      <c r="C6" s="60">
        <v>3782850.0</v>
      </c>
      <c r="D6" s="60">
        <v>0.0</v>
      </c>
      <c r="E6" s="60">
        <v>576000.0</v>
      </c>
      <c r="F6" s="60">
        <v>2087646.0</v>
      </c>
      <c r="G6" s="60">
        <v>8413644.0</v>
      </c>
      <c r="H6" s="60">
        <f t="shared" si="1"/>
        <v>1119204</v>
      </c>
      <c r="I6" s="60">
        <f t="shared" si="2"/>
        <v>3604686</v>
      </c>
    </row>
    <row r="7">
      <c r="A7" s="59">
        <v>43617.0</v>
      </c>
      <c r="B7" s="60">
        <f t="shared" si="3"/>
        <v>3604686</v>
      </c>
      <c r="C7" s="60">
        <v>3317700.0</v>
      </c>
      <c r="D7" s="60">
        <v>0.0</v>
      </c>
      <c r="E7" s="60">
        <v>538000.0</v>
      </c>
      <c r="F7" s="60">
        <v>2156485.0</v>
      </c>
      <c r="G7" s="60">
        <v>0.0</v>
      </c>
      <c r="H7" s="60">
        <f t="shared" si="1"/>
        <v>623215</v>
      </c>
      <c r="I7" s="60">
        <f t="shared" si="2"/>
        <v>4227901</v>
      </c>
    </row>
    <row r="8">
      <c r="A8" s="59">
        <v>43647.0</v>
      </c>
      <c r="B8" s="60">
        <f t="shared" si="3"/>
        <v>4227901</v>
      </c>
      <c r="C8" s="60">
        <v>4252400.0</v>
      </c>
      <c r="D8" s="60">
        <v>0.0</v>
      </c>
      <c r="E8" s="60">
        <v>568000.0</v>
      </c>
      <c r="F8" s="60">
        <v>2432735.0</v>
      </c>
      <c r="G8" s="60">
        <v>0.0</v>
      </c>
      <c r="H8" s="60">
        <f t="shared" si="1"/>
        <v>1251665</v>
      </c>
      <c r="I8" s="60">
        <f t="shared" si="2"/>
        <v>5479566</v>
      </c>
    </row>
    <row r="9">
      <c r="A9" s="59">
        <v>43678.0</v>
      </c>
      <c r="B9" s="60">
        <f t="shared" si="3"/>
        <v>5479566</v>
      </c>
      <c r="C9" s="60">
        <v>1360188.0</v>
      </c>
      <c r="D9" s="60">
        <v>4028000.0</v>
      </c>
      <c r="E9" s="60">
        <v>637000.0</v>
      </c>
      <c r="F9" s="60">
        <v>1426313.0</v>
      </c>
      <c r="G9" s="60">
        <v>0.0</v>
      </c>
      <c r="H9" s="60">
        <f t="shared" si="1"/>
        <v>3324875</v>
      </c>
      <c r="I9" s="60">
        <f t="shared" si="2"/>
        <v>8804441</v>
      </c>
    </row>
    <row r="10">
      <c r="A10" s="59">
        <v>43709.0</v>
      </c>
      <c r="B10" s="60">
        <f t="shared" si="3"/>
        <v>8804441</v>
      </c>
      <c r="C10" s="60">
        <v>1610756.0</v>
      </c>
      <c r="D10" s="60">
        <v>2157175.0</v>
      </c>
      <c r="E10" s="60">
        <v>726000.0</v>
      </c>
      <c r="F10" s="60">
        <v>2040243.0</v>
      </c>
      <c r="G10" s="60">
        <v>675000.0</v>
      </c>
      <c r="H10" s="60">
        <f t="shared" si="1"/>
        <v>1001688</v>
      </c>
      <c r="I10" s="60">
        <f t="shared" si="2"/>
        <v>9131129</v>
      </c>
    </row>
    <row r="11">
      <c r="A11" s="59">
        <v>43739.0</v>
      </c>
      <c r="B11" s="60">
        <f t="shared" si="3"/>
        <v>9131129</v>
      </c>
      <c r="C11" s="60">
        <v>1911275.0</v>
      </c>
      <c r="D11" s="60">
        <v>2596700.0</v>
      </c>
      <c r="E11" s="60">
        <v>670000.0</v>
      </c>
      <c r="F11" s="60">
        <v>1105475.0</v>
      </c>
      <c r="G11" s="60">
        <v>120000.0</v>
      </c>
      <c r="H11" s="60">
        <f t="shared" si="1"/>
        <v>2732500</v>
      </c>
      <c r="I11" s="60">
        <f t="shared" si="2"/>
        <v>11743629</v>
      </c>
    </row>
    <row r="12">
      <c r="A12" s="59">
        <v>43770.0</v>
      </c>
      <c r="B12" s="60">
        <f t="shared" si="3"/>
        <v>11743629</v>
      </c>
      <c r="C12" s="60">
        <v>1178000.0</v>
      </c>
      <c r="D12" s="60">
        <v>3848000.0</v>
      </c>
      <c r="E12" s="60">
        <v>628000.0</v>
      </c>
      <c r="F12" s="60">
        <v>775065.0</v>
      </c>
      <c r="G12" s="60">
        <v>0.0</v>
      </c>
      <c r="H12" s="60">
        <f t="shared" si="1"/>
        <v>3622935</v>
      </c>
      <c r="I12" s="60">
        <f t="shared" si="2"/>
        <v>15366564</v>
      </c>
    </row>
    <row r="13">
      <c r="A13" s="59">
        <v>43800.0</v>
      </c>
      <c r="B13" s="60">
        <f t="shared" si="3"/>
        <v>15366564</v>
      </c>
      <c r="C13" s="60">
        <v>1230700.0</v>
      </c>
      <c r="D13" s="60">
        <v>4260000.0</v>
      </c>
      <c r="E13" s="60">
        <v>616000.0</v>
      </c>
      <c r="F13" s="60">
        <v>1466505.0</v>
      </c>
      <c r="G13" s="60">
        <v>0.0</v>
      </c>
      <c r="H13" s="60">
        <f t="shared" si="1"/>
        <v>3408195</v>
      </c>
      <c r="I13" s="60">
        <f t="shared" si="2"/>
        <v>18774759</v>
      </c>
    </row>
    <row r="14">
      <c r="C14" s="60"/>
      <c r="D14" s="60"/>
      <c r="E14" s="60"/>
      <c r="F14" s="60"/>
      <c r="G14" s="60"/>
      <c r="H14" s="60"/>
    </row>
    <row r="15">
      <c r="C15" s="60"/>
      <c r="D15" s="60"/>
      <c r="E15" s="60"/>
      <c r="F15" s="60"/>
      <c r="G15" s="60"/>
      <c r="H15" s="60"/>
    </row>
    <row r="16">
      <c r="C16" s="60"/>
      <c r="D16" s="60"/>
      <c r="E16" s="60"/>
      <c r="F16" s="60"/>
      <c r="G16" s="60"/>
      <c r="H16" s="60"/>
    </row>
    <row r="17">
      <c r="C17" s="60"/>
      <c r="D17" s="60"/>
      <c r="E17" s="60"/>
      <c r="F17" s="60"/>
      <c r="G17" s="60"/>
      <c r="H17" s="60"/>
    </row>
    <row r="18">
      <c r="C18" s="60"/>
      <c r="D18" s="60"/>
      <c r="E18" s="60"/>
      <c r="F18" s="60"/>
      <c r="G18" s="60"/>
      <c r="H18" s="60"/>
    </row>
    <row r="19">
      <c r="C19" s="60"/>
      <c r="D19" s="60"/>
      <c r="E19" s="60"/>
      <c r="F19" s="60"/>
      <c r="G19" s="60"/>
      <c r="H19" s="60"/>
    </row>
    <row r="20">
      <c r="C20" s="60"/>
      <c r="D20" s="60"/>
      <c r="E20" s="60"/>
      <c r="F20" s="60"/>
      <c r="G20" s="60"/>
      <c r="H20" s="60"/>
    </row>
    <row r="21" ht="15.75" customHeight="1">
      <c r="C21" s="60"/>
      <c r="D21" s="60"/>
      <c r="E21" s="60"/>
      <c r="F21" s="60"/>
      <c r="G21" s="60"/>
      <c r="H21" s="60"/>
    </row>
    <row r="22" ht="15.75" customHeight="1">
      <c r="C22" s="60"/>
      <c r="D22" s="60"/>
      <c r="E22" s="60"/>
      <c r="F22" s="60"/>
      <c r="G22" s="60"/>
      <c r="H22" s="60"/>
    </row>
    <row r="23" ht="15.75" customHeight="1">
      <c r="C23" s="60"/>
      <c r="D23" s="60"/>
      <c r="E23" s="60"/>
      <c r="F23" s="60"/>
      <c r="G23" s="60"/>
      <c r="H23" s="60"/>
    </row>
    <row r="24" ht="15.75" customHeight="1">
      <c r="C24" s="60"/>
      <c r="D24" s="60"/>
      <c r="E24" s="60"/>
      <c r="F24" s="60"/>
      <c r="G24" s="60"/>
      <c r="H24" s="6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57"/>
    <col customWidth="1" min="8" max="26" width="10.71"/>
  </cols>
  <sheetData>
    <row r="2">
      <c r="A2" s="1"/>
      <c r="B2" s="3" t="s">
        <v>630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631</v>
      </c>
      <c r="C4" s="1"/>
      <c r="D4" s="1"/>
      <c r="E4" s="1"/>
      <c r="F4" s="1"/>
      <c r="G4" s="2">
        <v>1.8774759E7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632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123600.0</v>
      </c>
      <c r="G7" s="7">
        <v>182000.0</v>
      </c>
    </row>
    <row r="8">
      <c r="A8" s="1"/>
      <c r="B8" s="4" t="s">
        <v>64</v>
      </c>
      <c r="C8" s="1"/>
      <c r="D8" s="1"/>
      <c r="E8" s="1"/>
      <c r="F8" s="2">
        <v>239500.0</v>
      </c>
      <c r="G8" s="7">
        <v>521000.0</v>
      </c>
    </row>
    <row r="9">
      <c r="A9" s="1"/>
      <c r="B9" s="4" t="s">
        <v>65</v>
      </c>
      <c r="C9" s="1"/>
      <c r="D9" s="1"/>
      <c r="E9" s="1"/>
      <c r="F9" s="2">
        <v>293600.0</v>
      </c>
      <c r="G9" s="7">
        <v>516000.0</v>
      </c>
    </row>
    <row r="10">
      <c r="A10" s="1"/>
      <c r="B10" s="4" t="s">
        <v>66</v>
      </c>
      <c r="C10" s="1"/>
      <c r="D10" s="1"/>
      <c r="E10" s="1"/>
      <c r="F10" s="2">
        <v>385700.0</v>
      </c>
      <c r="G10" s="8">
        <v>482000.0</v>
      </c>
    </row>
    <row r="11">
      <c r="A11" s="1"/>
      <c r="B11" s="4" t="s">
        <v>67</v>
      </c>
      <c r="C11" s="1"/>
      <c r="D11" s="49" t="s">
        <v>8</v>
      </c>
      <c r="E11" s="49"/>
      <c r="F11" s="54">
        <v>444600.0</v>
      </c>
      <c r="G11" s="7">
        <v>388000.0</v>
      </c>
    </row>
    <row r="12">
      <c r="A12" s="1"/>
      <c r="B12" s="4"/>
      <c r="C12" s="50" t="s">
        <v>405</v>
      </c>
      <c r="E12" s="4"/>
      <c r="F12" s="2">
        <f t="shared" ref="F12:G12" si="1">SUM(F7:F11)</f>
        <v>1487000</v>
      </c>
      <c r="G12" s="7">
        <f t="shared" si="1"/>
        <v>2089000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3576000</v>
      </c>
    </row>
    <row r="14">
      <c r="A14" s="6" t="s">
        <v>633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634</v>
      </c>
      <c r="C16" s="1"/>
      <c r="D16" s="1"/>
      <c r="E16" s="1"/>
      <c r="F16" s="1"/>
      <c r="G16" s="2">
        <v>84000.0</v>
      </c>
    </row>
    <row r="17">
      <c r="A17" s="1"/>
      <c r="B17" s="4" t="s">
        <v>13</v>
      </c>
      <c r="C17" s="1"/>
      <c r="D17" s="1"/>
      <c r="E17" s="1"/>
      <c r="F17" s="1"/>
      <c r="G17" s="13">
        <v>100000.0</v>
      </c>
    </row>
    <row r="18">
      <c r="A18" s="1"/>
      <c r="B18" s="4" t="s">
        <v>14</v>
      </c>
      <c r="C18" s="1"/>
      <c r="D18" s="1"/>
      <c r="E18" s="1"/>
      <c r="F18" s="1"/>
      <c r="G18" s="13">
        <v>100000.0</v>
      </c>
    </row>
    <row r="19">
      <c r="A19" s="1"/>
      <c r="B19" s="4" t="s">
        <v>15</v>
      </c>
      <c r="C19" s="1"/>
      <c r="D19" s="1"/>
      <c r="E19" s="1"/>
      <c r="F19" s="1"/>
      <c r="G19" s="2">
        <v>75000.0</v>
      </c>
    </row>
    <row r="20">
      <c r="A20" s="1"/>
      <c r="B20" s="4" t="s">
        <v>16</v>
      </c>
      <c r="C20" s="1"/>
      <c r="D20" s="1"/>
      <c r="E20" s="1"/>
      <c r="F20" s="1"/>
      <c r="G20" s="2">
        <v>60000.0</v>
      </c>
    </row>
    <row r="21" ht="15.75" customHeight="1">
      <c r="A21" s="1"/>
      <c r="B21" s="4" t="s">
        <v>17</v>
      </c>
      <c r="C21" s="1"/>
      <c r="D21" s="1"/>
      <c r="E21" s="1"/>
      <c r="F21" s="1"/>
      <c r="G21" s="2">
        <v>65000.0</v>
      </c>
    </row>
    <row r="22" ht="15.75" customHeight="1">
      <c r="A22" s="1"/>
      <c r="B22" s="4" t="s">
        <v>448</v>
      </c>
      <c r="C22" s="1"/>
      <c r="D22" s="1"/>
      <c r="E22" s="1"/>
      <c r="F22" s="1"/>
      <c r="G22" s="2">
        <v>150000.0</v>
      </c>
    </row>
    <row r="23" ht="15.75" customHeight="1">
      <c r="A23" s="1"/>
      <c r="B23" s="9" t="s">
        <v>18</v>
      </c>
      <c r="C23" s="10"/>
      <c r="D23" s="10"/>
      <c r="E23" s="10"/>
      <c r="F23" s="10"/>
      <c r="G23" s="14">
        <f>SUM(G16:G22)</f>
        <v>634000</v>
      </c>
    </row>
    <row r="24" ht="15.75" customHeight="1">
      <c r="A24" s="1"/>
      <c r="B24" s="12" t="s">
        <v>19</v>
      </c>
      <c r="C24" s="15"/>
      <c r="D24" s="1"/>
      <c r="E24" s="1"/>
      <c r="F24" s="1"/>
      <c r="G24" s="2"/>
    </row>
    <row r="25" ht="15.75" customHeight="1">
      <c r="A25" s="1"/>
      <c r="B25" s="4"/>
      <c r="C25" s="15"/>
      <c r="D25" s="1"/>
      <c r="E25" s="1"/>
      <c r="F25" s="1"/>
      <c r="G25" s="2"/>
    </row>
    <row r="26" ht="15.75" customHeight="1">
      <c r="A26" s="1"/>
      <c r="B26" s="4" t="s">
        <v>635</v>
      </c>
      <c r="C26" s="15"/>
      <c r="D26" s="1"/>
      <c r="E26" s="1"/>
      <c r="F26" s="1"/>
      <c r="G26" s="2">
        <v>2000.0</v>
      </c>
    </row>
    <row r="27" ht="15.75" customHeight="1">
      <c r="A27" s="1"/>
      <c r="B27" s="4" t="s">
        <v>636</v>
      </c>
      <c r="C27" s="15"/>
      <c r="D27" s="1"/>
      <c r="E27" s="1"/>
      <c r="F27" s="1"/>
      <c r="G27" s="2">
        <v>50000.0</v>
      </c>
    </row>
    <row r="28" ht="15.75" customHeight="1">
      <c r="A28" s="1"/>
      <c r="B28" s="4" t="s">
        <v>637</v>
      </c>
      <c r="C28" s="15"/>
      <c r="D28" s="1"/>
      <c r="E28" s="1"/>
      <c r="F28" s="1"/>
      <c r="G28" s="2">
        <v>2400.0</v>
      </c>
    </row>
    <row r="29" ht="15.75" customHeight="1">
      <c r="A29" s="1"/>
      <c r="B29" s="4" t="s">
        <v>141</v>
      </c>
      <c r="C29" s="15"/>
      <c r="D29" s="1"/>
      <c r="E29" s="1"/>
      <c r="F29" s="1"/>
      <c r="G29" s="2">
        <v>1400.0</v>
      </c>
    </row>
    <row r="30" ht="15.75" customHeight="1">
      <c r="A30" s="1"/>
      <c r="B30" s="4" t="s">
        <v>638</v>
      </c>
      <c r="C30" s="15"/>
      <c r="D30" s="1"/>
      <c r="E30" s="1"/>
      <c r="F30" s="1"/>
      <c r="G30" s="2">
        <v>22900.0</v>
      </c>
    </row>
    <row r="31" ht="15.75" customHeight="1">
      <c r="A31" s="1"/>
      <c r="B31" s="4" t="s">
        <v>639</v>
      </c>
      <c r="C31" s="15"/>
      <c r="D31" s="1"/>
      <c r="E31" s="1"/>
      <c r="F31" s="1"/>
      <c r="G31" s="2">
        <v>30000.0</v>
      </c>
    </row>
    <row r="32" ht="15.75" customHeight="1">
      <c r="A32" s="1"/>
      <c r="B32" s="4" t="s">
        <v>640</v>
      </c>
      <c r="C32" s="15"/>
      <c r="D32" s="1"/>
      <c r="E32" s="1"/>
      <c r="F32" s="1"/>
      <c r="G32" s="2">
        <v>2000.0</v>
      </c>
    </row>
    <row r="33" ht="15.75" customHeight="1">
      <c r="A33" s="1"/>
      <c r="B33" s="4" t="s">
        <v>641</v>
      </c>
      <c r="C33" s="15"/>
      <c r="D33" s="1"/>
      <c r="E33" s="1"/>
      <c r="F33" s="1"/>
      <c r="G33" s="2">
        <v>47000.0</v>
      </c>
    </row>
    <row r="34" ht="15.75" customHeight="1">
      <c r="A34" s="1"/>
      <c r="B34" s="4" t="s">
        <v>642</v>
      </c>
      <c r="C34" s="15"/>
      <c r="D34" s="1"/>
      <c r="E34" s="1"/>
      <c r="F34" s="1"/>
      <c r="G34" s="2">
        <v>8600.0</v>
      </c>
    </row>
    <row r="35" ht="15.75" customHeight="1">
      <c r="A35" s="1"/>
      <c r="B35" s="4" t="s">
        <v>643</v>
      </c>
      <c r="C35" s="15"/>
      <c r="D35" s="1"/>
      <c r="E35" s="1"/>
      <c r="F35" s="1"/>
      <c r="G35" s="2">
        <v>100000.0</v>
      </c>
    </row>
    <row r="36" ht="15.75" customHeight="1">
      <c r="A36" s="1"/>
      <c r="B36" s="4" t="s">
        <v>644</v>
      </c>
      <c r="C36" s="15"/>
      <c r="D36" s="1"/>
      <c r="E36" s="1"/>
      <c r="F36" s="1"/>
      <c r="G36" s="2">
        <v>99985.0</v>
      </c>
    </row>
    <row r="37" ht="15.75" customHeight="1">
      <c r="A37" s="1"/>
      <c r="B37" s="4" t="s">
        <v>645</v>
      </c>
      <c r="C37" s="15"/>
      <c r="D37" s="1"/>
      <c r="E37" s="1"/>
      <c r="F37" s="1"/>
      <c r="G37" s="2">
        <v>103930.0</v>
      </c>
    </row>
    <row r="38" ht="15.75" customHeight="1">
      <c r="A38" s="1"/>
      <c r="B38" s="4" t="s">
        <v>646</v>
      </c>
      <c r="C38" s="15"/>
      <c r="D38" s="1"/>
      <c r="E38" s="1"/>
      <c r="F38" s="1"/>
      <c r="G38" s="2">
        <v>37610.0</v>
      </c>
    </row>
    <row r="39" ht="15.75" customHeight="1">
      <c r="A39" s="1"/>
      <c r="B39" s="4" t="s">
        <v>647</v>
      </c>
      <c r="C39" s="15"/>
      <c r="D39" s="1"/>
      <c r="E39" s="1"/>
      <c r="F39" s="1"/>
      <c r="G39" s="2">
        <v>3000.0</v>
      </c>
    </row>
    <row r="40" ht="15.75" customHeight="1">
      <c r="A40" s="1"/>
      <c r="B40" s="4" t="s">
        <v>648</v>
      </c>
      <c r="C40" s="15"/>
      <c r="D40" s="1"/>
      <c r="E40" s="1"/>
      <c r="F40" s="1"/>
      <c r="G40" s="2">
        <v>4900.0</v>
      </c>
    </row>
    <row r="41" ht="15.75" customHeight="1">
      <c r="A41" s="1"/>
      <c r="B41" s="4" t="s">
        <v>649</v>
      </c>
      <c r="C41" s="15"/>
      <c r="D41" s="1"/>
      <c r="E41" s="1"/>
      <c r="F41" s="1"/>
      <c r="G41" s="2">
        <v>1000.0</v>
      </c>
    </row>
    <row r="42" ht="15.75" customHeight="1">
      <c r="A42" s="1"/>
      <c r="B42" s="4" t="s">
        <v>650</v>
      </c>
      <c r="C42" s="15"/>
      <c r="D42" s="1"/>
      <c r="E42" s="1"/>
      <c r="F42" s="1"/>
      <c r="G42" s="2">
        <v>2000.0</v>
      </c>
    </row>
    <row r="43" ht="15.75" customHeight="1">
      <c r="A43" s="1"/>
      <c r="B43" s="4" t="s">
        <v>651</v>
      </c>
      <c r="C43" s="15"/>
      <c r="D43" s="1"/>
      <c r="E43" s="1"/>
      <c r="F43" s="1"/>
      <c r="G43" s="2">
        <v>39500.0</v>
      </c>
    </row>
    <row r="44" ht="15.75" customHeight="1">
      <c r="A44" s="1"/>
      <c r="B44" s="4" t="s">
        <v>652</v>
      </c>
      <c r="C44" s="15"/>
      <c r="D44" s="1"/>
      <c r="E44" s="1"/>
      <c r="F44" s="1"/>
      <c r="G44" s="2">
        <v>8000.0</v>
      </c>
    </row>
    <row r="45" ht="15.75" customHeight="1">
      <c r="A45" s="1"/>
      <c r="B45" s="4" t="s">
        <v>653</v>
      </c>
      <c r="C45" s="15"/>
      <c r="D45" s="1"/>
      <c r="E45" s="1"/>
      <c r="F45" s="1"/>
      <c r="G45" s="2">
        <v>4000.0</v>
      </c>
    </row>
    <row r="46" ht="15.75" customHeight="1">
      <c r="A46" s="1"/>
      <c r="B46" s="4" t="s">
        <v>654</v>
      </c>
      <c r="C46" s="15"/>
      <c r="D46" s="1"/>
      <c r="E46" s="1"/>
      <c r="F46" s="1"/>
      <c r="G46" s="2">
        <v>10000.0</v>
      </c>
    </row>
    <row r="47" ht="15.75" customHeight="1">
      <c r="A47" s="1"/>
      <c r="B47" s="4" t="s">
        <v>655</v>
      </c>
      <c r="C47" s="15"/>
      <c r="D47" s="1"/>
      <c r="E47" s="1"/>
      <c r="F47" s="1"/>
      <c r="G47" s="2">
        <v>18000.0</v>
      </c>
    </row>
    <row r="48" ht="15.75" customHeight="1">
      <c r="A48" s="1"/>
      <c r="B48" s="4" t="s">
        <v>656</v>
      </c>
      <c r="C48" s="15"/>
      <c r="D48" s="1"/>
      <c r="E48" s="1"/>
      <c r="F48" s="1"/>
      <c r="G48" s="2">
        <v>2000.0</v>
      </c>
    </row>
    <row r="49" ht="15.75" customHeight="1">
      <c r="A49" s="1"/>
      <c r="B49" s="4" t="s">
        <v>657</v>
      </c>
      <c r="C49" s="15"/>
      <c r="D49" s="1"/>
      <c r="E49" s="1"/>
      <c r="F49" s="1"/>
      <c r="G49" s="2">
        <v>37610.0</v>
      </c>
    </row>
    <row r="50" ht="15.75" customHeight="1">
      <c r="A50" s="1"/>
      <c r="B50" s="4" t="s">
        <v>658</v>
      </c>
      <c r="C50" s="15"/>
      <c r="D50" s="1"/>
      <c r="E50" s="1"/>
      <c r="F50" s="1"/>
      <c r="G50" s="2">
        <v>15000.0</v>
      </c>
    </row>
    <row r="51" ht="15.75" customHeight="1">
      <c r="A51" s="1"/>
      <c r="B51" s="4" t="s">
        <v>659</v>
      </c>
      <c r="C51" s="15"/>
      <c r="D51" s="1"/>
      <c r="E51" s="1"/>
      <c r="F51" s="1"/>
      <c r="G51" s="2">
        <v>47000.0</v>
      </c>
    </row>
    <row r="52" ht="15.75" customHeight="1">
      <c r="A52" s="1"/>
      <c r="B52" s="4" t="s">
        <v>660</v>
      </c>
      <c r="C52" s="15"/>
      <c r="D52" s="1"/>
      <c r="E52" s="1"/>
      <c r="F52" s="1"/>
      <c r="G52" s="2">
        <v>40000.0</v>
      </c>
    </row>
    <row r="53" ht="15.75" customHeight="1">
      <c r="A53" s="1"/>
      <c r="B53" s="4" t="s">
        <v>661</v>
      </c>
      <c r="C53" s="15"/>
      <c r="D53" s="1"/>
      <c r="E53" s="1"/>
      <c r="F53" s="1"/>
      <c r="G53" s="2">
        <v>2800.0</v>
      </c>
    </row>
    <row r="54" ht="15.75" customHeight="1">
      <c r="A54" s="1"/>
      <c r="B54" s="4" t="s">
        <v>662</v>
      </c>
      <c r="C54" s="15"/>
      <c r="D54" s="1"/>
      <c r="E54" s="1"/>
      <c r="F54" s="1"/>
      <c r="G54" s="2">
        <v>500.0</v>
      </c>
    </row>
    <row r="55" ht="15.75" customHeight="1">
      <c r="A55" s="1"/>
      <c r="B55" s="4" t="s">
        <v>663</v>
      </c>
      <c r="C55" s="15"/>
      <c r="D55" s="1"/>
      <c r="E55" s="1"/>
      <c r="F55" s="1"/>
      <c r="G55" s="2">
        <v>150000.0</v>
      </c>
    </row>
    <row r="56" ht="15.75" customHeight="1">
      <c r="A56" s="1"/>
      <c r="B56" s="4" t="s">
        <v>664</v>
      </c>
      <c r="C56" s="15"/>
      <c r="D56" s="1"/>
      <c r="E56" s="1"/>
      <c r="F56" s="1"/>
      <c r="G56" s="2">
        <v>65250.0</v>
      </c>
    </row>
    <row r="57" ht="15.75" customHeight="1">
      <c r="A57" s="1"/>
      <c r="B57" s="4" t="s">
        <v>665</v>
      </c>
      <c r="C57" s="15"/>
      <c r="D57" s="1"/>
      <c r="E57" s="1"/>
      <c r="F57" s="1"/>
      <c r="G57" s="2">
        <v>4000.0</v>
      </c>
    </row>
    <row r="58" ht="15.75" customHeight="1">
      <c r="A58" s="1"/>
      <c r="B58" s="4" t="s">
        <v>666</v>
      </c>
      <c r="C58" s="15"/>
      <c r="D58" s="1"/>
      <c r="E58" s="1"/>
      <c r="F58" s="1"/>
      <c r="G58" s="2">
        <v>1786.0</v>
      </c>
    </row>
    <row r="59" ht="15.75" customHeight="1">
      <c r="A59" s="1"/>
      <c r="B59" s="4" t="s">
        <v>667</v>
      </c>
      <c r="C59" s="15"/>
      <c r="D59" s="1"/>
      <c r="E59" s="1"/>
      <c r="F59" s="1"/>
      <c r="G59" s="2">
        <v>2000.0</v>
      </c>
    </row>
    <row r="60" ht="15.75" customHeight="1">
      <c r="A60" s="1"/>
      <c r="B60" s="4" t="s">
        <v>668</v>
      </c>
      <c r="C60" s="15"/>
      <c r="D60" s="1"/>
      <c r="E60" s="1"/>
      <c r="F60" s="1"/>
      <c r="G60" s="2">
        <v>2500.0</v>
      </c>
    </row>
    <row r="61" ht="15.75" customHeight="1">
      <c r="A61" s="1"/>
      <c r="B61" s="4" t="s">
        <v>662</v>
      </c>
      <c r="C61" s="15"/>
      <c r="D61" s="1"/>
      <c r="E61" s="1"/>
      <c r="F61" s="1"/>
      <c r="G61" s="2">
        <v>350.0</v>
      </c>
    </row>
    <row r="62" ht="15.75" customHeight="1">
      <c r="A62" s="1"/>
      <c r="B62" s="4" t="s">
        <v>203</v>
      </c>
      <c r="C62" s="15"/>
      <c r="D62" s="1"/>
      <c r="E62" s="1"/>
      <c r="F62" s="1"/>
      <c r="G62" s="2">
        <v>5000.0</v>
      </c>
    </row>
    <row r="63" ht="15.75" customHeight="1">
      <c r="A63" s="1"/>
      <c r="B63" s="4" t="s">
        <v>662</v>
      </c>
      <c r="C63" s="15"/>
      <c r="D63" s="1"/>
      <c r="E63" s="1"/>
      <c r="F63" s="1"/>
      <c r="G63" s="2">
        <v>350.0</v>
      </c>
    </row>
    <row r="64" ht="15.75" customHeight="1">
      <c r="A64" s="1"/>
      <c r="B64" s="16" t="s">
        <v>43</v>
      </c>
      <c r="C64" s="10"/>
      <c r="D64" s="10"/>
      <c r="E64" s="10"/>
      <c r="F64" s="10"/>
      <c r="G64" s="17">
        <f>SUM(G25:G63)</f>
        <v>974371</v>
      </c>
    </row>
    <row r="65" ht="15.75" customHeight="1">
      <c r="A65" s="1"/>
      <c r="B65" s="1"/>
      <c r="C65" s="1"/>
      <c r="D65" s="1"/>
      <c r="E65" s="1"/>
      <c r="F65" s="1"/>
      <c r="G65" s="18" t="s">
        <v>44</v>
      </c>
    </row>
    <row r="66" ht="15.75" customHeight="1">
      <c r="A66" s="1"/>
      <c r="B66" s="19" t="s">
        <v>45</v>
      </c>
      <c r="C66" s="20"/>
      <c r="D66" s="20"/>
      <c r="E66" s="20"/>
      <c r="F66" s="20"/>
      <c r="G66" s="21">
        <f>SUM(G23,G64)</f>
        <v>1608371</v>
      </c>
    </row>
    <row r="67" ht="15.75" customHeight="1">
      <c r="A67" s="1"/>
      <c r="B67" s="4" t="s">
        <v>46</v>
      </c>
      <c r="C67" s="1"/>
      <c r="D67" s="1"/>
      <c r="E67" s="1"/>
      <c r="F67" s="1"/>
      <c r="G67" s="2"/>
    </row>
    <row r="68" ht="15.75" customHeight="1">
      <c r="A68" s="35" t="s">
        <v>669</v>
      </c>
      <c r="B68" s="36"/>
      <c r="C68" s="37"/>
      <c r="D68" s="37"/>
      <c r="E68" s="37"/>
      <c r="F68" s="37"/>
      <c r="G68" s="38">
        <f>(G13-G66)</f>
        <v>1967629</v>
      </c>
    </row>
    <row r="69" ht="15.75" customHeight="1">
      <c r="A69" s="22" t="s">
        <v>254</v>
      </c>
      <c r="B69" s="1" t="s">
        <v>255</v>
      </c>
      <c r="C69" s="1"/>
      <c r="D69" s="1"/>
      <c r="E69" s="1"/>
      <c r="F69" s="1"/>
      <c r="G69" s="2"/>
    </row>
    <row r="70" ht="15.75" customHeight="1">
      <c r="A70" s="22"/>
      <c r="B70" s="1" t="s">
        <v>670</v>
      </c>
      <c r="C70" s="1"/>
      <c r="D70" s="1"/>
      <c r="E70" s="1"/>
      <c r="F70" s="61">
        <v>2990.0</v>
      </c>
      <c r="G70" s="2">
        <f t="shared" ref="G70:G74" si="2">F70*655.957</f>
        <v>1961311.43</v>
      </c>
    </row>
    <row r="71" ht="15.75" customHeight="1">
      <c r="A71" s="22"/>
      <c r="B71" s="1" t="s">
        <v>671</v>
      </c>
      <c r="C71" s="1"/>
      <c r="D71" s="1"/>
      <c r="E71" s="1"/>
      <c r="F71" s="1">
        <v>3581.08</v>
      </c>
      <c r="G71" s="2">
        <f t="shared" si="2"/>
        <v>2349034.494</v>
      </c>
    </row>
    <row r="72" ht="15.75" customHeight="1">
      <c r="A72" s="22"/>
      <c r="B72" s="1" t="s">
        <v>672</v>
      </c>
      <c r="C72" s="1"/>
      <c r="D72" s="1"/>
      <c r="E72" s="1"/>
      <c r="F72" s="1">
        <v>1215.7</v>
      </c>
      <c r="G72" s="2">
        <f t="shared" si="2"/>
        <v>797446.9249</v>
      </c>
    </row>
    <row r="73" ht="15.75" customHeight="1">
      <c r="A73" s="22"/>
      <c r="B73" s="1" t="s">
        <v>673</v>
      </c>
      <c r="C73" s="1"/>
      <c r="D73" s="1"/>
      <c r="E73" s="1"/>
      <c r="F73" s="1">
        <v>27.75</v>
      </c>
      <c r="G73" s="2">
        <f t="shared" si="2"/>
        <v>18202.80675</v>
      </c>
      <c r="L73" s="2">
        <f>SUM(G70:G74)</f>
        <v>5135835.01</v>
      </c>
    </row>
    <row r="74" ht="15.75" customHeight="1">
      <c r="A74" s="22"/>
      <c r="B74" s="1" t="s">
        <v>674</v>
      </c>
      <c r="C74" s="1"/>
      <c r="D74" s="1"/>
      <c r="E74" s="1"/>
      <c r="F74" s="1">
        <v>15.0</v>
      </c>
      <c r="G74" s="2">
        <f t="shared" si="2"/>
        <v>9839.355</v>
      </c>
    </row>
    <row r="75" ht="15.75" customHeight="1">
      <c r="A75" s="22"/>
      <c r="B75" s="1"/>
      <c r="C75" s="1"/>
      <c r="D75" s="1"/>
      <c r="E75" s="1"/>
      <c r="F75" s="1"/>
      <c r="G75" s="2"/>
    </row>
    <row r="76" ht="15.75" customHeight="1">
      <c r="A76" s="1"/>
      <c r="B76" s="27" t="s">
        <v>51</v>
      </c>
      <c r="C76" s="27"/>
      <c r="D76" s="27"/>
      <c r="E76" s="27"/>
      <c r="F76" s="27"/>
      <c r="G76" s="28">
        <f>SUM(G70:G74)</f>
        <v>5135835.01</v>
      </c>
    </row>
    <row r="77" ht="15.75" customHeight="1">
      <c r="A77" s="1"/>
      <c r="B77" s="1"/>
      <c r="C77" s="1"/>
      <c r="D77" s="1"/>
      <c r="E77" s="1"/>
      <c r="F77" s="1"/>
      <c r="G77" s="2"/>
    </row>
    <row r="78" ht="15.75" customHeight="1">
      <c r="A78" s="44"/>
      <c r="B78" s="45" t="s">
        <v>675</v>
      </c>
      <c r="C78" s="46"/>
      <c r="D78" s="46"/>
      <c r="E78" s="46"/>
      <c r="F78" s="46"/>
      <c r="G78" s="47">
        <f>SUM(G4,G68,-G76)</f>
        <v>15606552.99</v>
      </c>
    </row>
    <row r="79" ht="15.75" customHeight="1">
      <c r="A79" s="1"/>
      <c r="B79" s="1"/>
      <c r="C79" s="1"/>
      <c r="D79" s="1"/>
      <c r="E79" s="1"/>
      <c r="F79" s="1"/>
      <c r="G79" s="2"/>
    </row>
    <row r="80" ht="15.75" customHeight="1">
      <c r="A80" s="1"/>
      <c r="B80" s="32" t="s">
        <v>676</v>
      </c>
    </row>
    <row r="81" ht="15.75" customHeight="1">
      <c r="A81" s="1"/>
      <c r="B81" s="1"/>
      <c r="C81" s="1" t="s">
        <v>113</v>
      </c>
      <c r="D81" s="1"/>
      <c r="E81" s="1"/>
      <c r="F81" s="1"/>
      <c r="G81" s="2">
        <v>15400.0</v>
      </c>
    </row>
    <row r="82" ht="15.75" customHeight="1">
      <c r="A82" s="1"/>
      <c r="B82" s="1"/>
      <c r="C82" s="1" t="s">
        <v>114</v>
      </c>
      <c r="D82" s="1"/>
      <c r="E82" s="1"/>
      <c r="F82" s="1"/>
      <c r="G82" s="2">
        <v>112000.0</v>
      </c>
    </row>
    <row r="83" ht="15.75" customHeight="1">
      <c r="A83" s="1"/>
      <c r="B83" s="1"/>
      <c r="C83" s="43" t="s">
        <v>115</v>
      </c>
      <c r="D83" s="1"/>
      <c r="E83" s="1"/>
      <c r="F83" s="1"/>
      <c r="G83" s="2">
        <f>SUM(G81,G82)</f>
        <v>127400</v>
      </c>
    </row>
    <row r="84" ht="15.75" customHeight="1">
      <c r="A84" s="1"/>
      <c r="B84" s="1"/>
      <c r="C84" s="43"/>
      <c r="D84" s="1"/>
      <c r="E84" s="1"/>
      <c r="F84" s="1"/>
      <c r="G84" s="2"/>
    </row>
    <row r="85" ht="15.75" customHeight="1">
      <c r="A85" s="1"/>
      <c r="B85" s="1" t="s">
        <v>677</v>
      </c>
      <c r="C85" s="43"/>
      <c r="D85" s="1"/>
      <c r="E85" s="1"/>
      <c r="F85" s="1"/>
      <c r="G85" s="2"/>
    </row>
    <row r="86" ht="15.75" customHeight="1">
      <c r="A86" s="1"/>
      <c r="B86" s="1" t="s">
        <v>678</v>
      </c>
      <c r="C86" s="43"/>
      <c r="D86" s="1"/>
      <c r="E86" s="1"/>
      <c r="F86" s="1"/>
      <c r="G86" s="1"/>
    </row>
    <row r="87" ht="15.75" customHeight="1">
      <c r="A87" s="1"/>
      <c r="B87" s="33" t="s">
        <v>679</v>
      </c>
      <c r="C87" s="1"/>
      <c r="D87" s="1"/>
      <c r="E87" s="1"/>
      <c r="F87" s="1"/>
      <c r="G87" s="2"/>
    </row>
    <row r="88" ht="15.75" customHeight="1">
      <c r="A88" s="1"/>
      <c r="B88" s="4"/>
      <c r="C88" s="1"/>
      <c r="D88" s="1"/>
      <c r="E88" s="1"/>
      <c r="F88" s="1"/>
      <c r="G88" s="2"/>
    </row>
    <row r="89" ht="15.75" customHeight="1">
      <c r="A89" s="1"/>
      <c r="B89" s="55" t="s">
        <v>531</v>
      </c>
      <c r="C89" s="56"/>
      <c r="D89" s="56"/>
      <c r="E89" s="56"/>
      <c r="F89" s="1"/>
      <c r="G89" s="2"/>
    </row>
    <row r="90" ht="15.75" customHeight="1">
      <c r="A90" s="1"/>
      <c r="B90" s="55" t="s">
        <v>680</v>
      </c>
      <c r="C90" s="56"/>
      <c r="D90" s="56"/>
      <c r="E90" s="56"/>
      <c r="F90" s="1"/>
      <c r="G90" s="2"/>
    </row>
    <row r="91" ht="15.75" customHeight="1">
      <c r="A91" s="1"/>
      <c r="B91" s="55" t="s">
        <v>681</v>
      </c>
      <c r="F91" s="1"/>
      <c r="G91" s="2"/>
    </row>
    <row r="92" ht="15.75" customHeight="1">
      <c r="A92" s="1"/>
      <c r="B92" s="55" t="s">
        <v>682</v>
      </c>
      <c r="C92" s="56"/>
      <c r="D92" s="57"/>
      <c r="E92" s="56"/>
      <c r="F92" s="1"/>
      <c r="G92" s="2"/>
    </row>
    <row r="93" ht="15.75" customHeight="1">
      <c r="A93" s="1"/>
      <c r="B93" s="55" t="s">
        <v>535</v>
      </c>
      <c r="C93" s="56"/>
      <c r="D93" s="57"/>
      <c r="E93" s="56"/>
      <c r="F93" s="1"/>
      <c r="G93" s="2"/>
    </row>
    <row r="94" ht="15.75" customHeight="1">
      <c r="B94" s="55" t="s">
        <v>536</v>
      </c>
      <c r="C94" s="56"/>
      <c r="D94" s="57"/>
      <c r="E94" s="5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80:G80"/>
    <mergeCell ref="B91:E91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57"/>
    <col customWidth="1" min="8" max="26" width="10.71"/>
  </cols>
  <sheetData>
    <row r="2">
      <c r="A2" s="1"/>
      <c r="B2" s="3" t="s">
        <v>683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684</v>
      </c>
      <c r="C4" s="1"/>
      <c r="D4" s="1"/>
      <c r="E4" s="1"/>
      <c r="F4" s="1"/>
      <c r="G4" s="2">
        <v>1.5606553E7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685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758700.0</v>
      </c>
      <c r="G7" s="7">
        <v>309000.0</v>
      </c>
    </row>
    <row r="8">
      <c r="A8" s="1"/>
      <c r="B8" s="4" t="s">
        <v>64</v>
      </c>
      <c r="C8" s="1"/>
      <c r="D8" s="1"/>
      <c r="E8" s="1"/>
      <c r="F8" s="2">
        <v>488900.0</v>
      </c>
      <c r="G8" s="7">
        <v>404000.0</v>
      </c>
    </row>
    <row r="9">
      <c r="A9" s="1"/>
      <c r="B9" s="4" t="s">
        <v>65</v>
      </c>
      <c r="C9" s="1"/>
      <c r="D9" s="1"/>
      <c r="E9" s="1"/>
      <c r="F9" s="2">
        <v>518500.0</v>
      </c>
      <c r="G9" s="7">
        <v>370000.0</v>
      </c>
    </row>
    <row r="10">
      <c r="A10" s="1"/>
      <c r="B10" s="4" t="s">
        <v>66</v>
      </c>
      <c r="C10" s="1"/>
      <c r="D10" s="1"/>
      <c r="E10" s="1"/>
      <c r="F10" s="2">
        <v>353700.0</v>
      </c>
      <c r="G10" s="8">
        <v>291000.0</v>
      </c>
    </row>
    <row r="11">
      <c r="A11" s="1"/>
      <c r="B11" s="4" t="s">
        <v>67</v>
      </c>
      <c r="C11" s="1"/>
      <c r="D11" s="49" t="s">
        <v>8</v>
      </c>
      <c r="E11" s="49"/>
      <c r="F11" s="54">
        <v>0.0</v>
      </c>
      <c r="G11" s="7">
        <v>0.0</v>
      </c>
    </row>
    <row r="12">
      <c r="A12" s="1"/>
      <c r="B12" s="4"/>
      <c r="C12" s="50" t="s">
        <v>405</v>
      </c>
      <c r="E12" s="4"/>
      <c r="F12" s="2">
        <f t="shared" ref="F12:G12" si="1">SUM(F7:F11)</f>
        <v>2119800</v>
      </c>
      <c r="G12" s="7">
        <f t="shared" si="1"/>
        <v>1374000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3493800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686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687</v>
      </c>
      <c r="C17" s="1"/>
      <c r="D17" s="1"/>
      <c r="E17" s="1"/>
      <c r="F17" s="1"/>
      <c r="G17" s="2">
        <v>92000.0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75000.0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65000.0</v>
      </c>
    </row>
    <row r="23" ht="15.75" customHeight="1">
      <c r="A23" s="1"/>
      <c r="B23" s="4" t="s">
        <v>448</v>
      </c>
      <c r="C23" s="1"/>
      <c r="D23" s="1"/>
      <c r="E23" s="1"/>
      <c r="F23" s="1"/>
      <c r="G23" s="2">
        <v>150000.0</v>
      </c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642000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4"/>
      <c r="C26" s="15"/>
      <c r="D26" s="1"/>
      <c r="E26" s="1"/>
      <c r="F26" s="1"/>
      <c r="G26" s="2"/>
    </row>
    <row r="27" ht="15.75" customHeight="1">
      <c r="A27" s="1"/>
      <c r="B27" s="4" t="s">
        <v>639</v>
      </c>
      <c r="C27" s="15"/>
      <c r="D27" s="1"/>
      <c r="E27" s="1"/>
      <c r="F27" s="1"/>
      <c r="G27" s="2">
        <v>30000.0</v>
      </c>
    </row>
    <row r="28" ht="15.75" customHeight="1">
      <c r="A28" s="1"/>
      <c r="B28" s="4" t="s">
        <v>688</v>
      </c>
      <c r="C28" s="15"/>
      <c r="D28" s="1"/>
      <c r="E28" s="1"/>
      <c r="F28" s="1"/>
      <c r="G28" s="2">
        <v>2000.0</v>
      </c>
    </row>
    <row r="29" ht="15.75" customHeight="1">
      <c r="A29" s="1"/>
      <c r="B29" s="4" t="s">
        <v>689</v>
      </c>
      <c r="C29" s="15"/>
      <c r="D29" s="1"/>
      <c r="E29" s="1"/>
      <c r="F29" s="1"/>
      <c r="G29" s="2">
        <v>6500.0</v>
      </c>
    </row>
    <row r="30" ht="15.75" customHeight="1">
      <c r="A30" s="1"/>
      <c r="B30" s="4" t="s">
        <v>463</v>
      </c>
      <c r="C30" s="15"/>
      <c r="D30" s="1"/>
      <c r="E30" s="1"/>
      <c r="F30" s="1"/>
      <c r="G30" s="2">
        <v>10000.0</v>
      </c>
    </row>
    <row r="31" ht="15.75" customHeight="1">
      <c r="A31" s="1"/>
      <c r="B31" s="4" t="s">
        <v>662</v>
      </c>
      <c r="C31" s="15"/>
      <c r="D31" s="1"/>
      <c r="E31" s="1"/>
      <c r="F31" s="1"/>
      <c r="G31" s="2">
        <v>350.0</v>
      </c>
    </row>
    <row r="32" ht="15.75" customHeight="1">
      <c r="A32" s="1"/>
      <c r="B32" s="4" t="s">
        <v>643</v>
      </c>
      <c r="C32" s="15"/>
      <c r="D32" s="1"/>
      <c r="E32" s="1"/>
      <c r="F32" s="1"/>
      <c r="G32" s="2">
        <v>100000.0</v>
      </c>
    </row>
    <row r="33" ht="15.75" customHeight="1">
      <c r="A33" s="1"/>
      <c r="B33" s="4" t="s">
        <v>690</v>
      </c>
      <c r="C33" s="15"/>
      <c r="D33" s="1"/>
      <c r="E33" s="1"/>
      <c r="F33" s="1"/>
      <c r="G33" s="2">
        <v>5000.0</v>
      </c>
    </row>
    <row r="34" ht="15.75" customHeight="1">
      <c r="A34" s="1"/>
      <c r="B34" s="4" t="s">
        <v>691</v>
      </c>
      <c r="C34" s="15"/>
      <c r="D34" s="1"/>
      <c r="E34" s="1"/>
      <c r="F34" s="1"/>
      <c r="G34" s="2">
        <v>284550.0</v>
      </c>
    </row>
    <row r="35" ht="15.75" customHeight="1">
      <c r="A35" s="1"/>
      <c r="B35" s="4" t="s">
        <v>692</v>
      </c>
      <c r="C35" s="15"/>
      <c r="D35" s="1"/>
      <c r="E35" s="1"/>
      <c r="F35" s="1"/>
      <c r="G35" s="2">
        <v>5000.0</v>
      </c>
    </row>
    <row r="36" ht="15.75" customHeight="1">
      <c r="A36" s="1"/>
      <c r="B36" s="4" t="s">
        <v>693</v>
      </c>
      <c r="C36" s="15"/>
      <c r="D36" s="1"/>
      <c r="E36" s="1"/>
      <c r="F36" s="1"/>
      <c r="G36" s="2">
        <v>4200.0</v>
      </c>
    </row>
    <row r="37" ht="15.75" customHeight="1">
      <c r="A37" s="1"/>
      <c r="B37" s="4" t="s">
        <v>694</v>
      </c>
      <c r="C37" s="15"/>
      <c r="D37" s="1"/>
      <c r="E37" s="1"/>
      <c r="F37" s="1"/>
      <c r="G37" s="2">
        <v>2000.0</v>
      </c>
    </row>
    <row r="38" ht="15.75" customHeight="1">
      <c r="A38" s="1"/>
      <c r="B38" s="4" t="s">
        <v>695</v>
      </c>
      <c r="C38" s="15"/>
      <c r="D38" s="1"/>
      <c r="E38" s="1"/>
      <c r="F38" s="1"/>
      <c r="G38" s="2">
        <v>3000.0</v>
      </c>
    </row>
    <row r="39" ht="15.75" customHeight="1">
      <c r="A39" s="1"/>
      <c r="B39" s="4" t="s">
        <v>696</v>
      </c>
      <c r="C39" s="15"/>
      <c r="D39" s="1"/>
      <c r="E39" s="1"/>
      <c r="F39" s="1"/>
      <c r="G39" s="2">
        <v>36000.0</v>
      </c>
    </row>
    <row r="40" ht="15.75" customHeight="1">
      <c r="A40" s="1"/>
      <c r="B40" s="4" t="s">
        <v>697</v>
      </c>
      <c r="C40" s="15"/>
      <c r="D40" s="1"/>
      <c r="E40" s="1"/>
      <c r="F40" s="1"/>
      <c r="G40" s="2">
        <v>5000.0</v>
      </c>
    </row>
    <row r="41" ht="15.75" customHeight="1">
      <c r="A41" s="1"/>
      <c r="B41" s="4" t="s">
        <v>698</v>
      </c>
      <c r="C41" s="15"/>
      <c r="D41" s="1"/>
      <c r="E41" s="1"/>
      <c r="F41" s="1"/>
      <c r="G41" s="2">
        <v>5000.0</v>
      </c>
    </row>
    <row r="42" ht="15.75" customHeight="1">
      <c r="A42" s="1"/>
      <c r="B42" s="4" t="s">
        <v>463</v>
      </c>
      <c r="C42" s="15"/>
      <c r="D42" s="1"/>
      <c r="E42" s="1"/>
      <c r="F42" s="1"/>
      <c r="G42" s="2">
        <v>10000.0</v>
      </c>
    </row>
    <row r="43" ht="15.75" customHeight="1">
      <c r="A43" s="1"/>
      <c r="B43" s="4" t="s">
        <v>699</v>
      </c>
      <c r="C43" s="15"/>
      <c r="D43" s="1"/>
      <c r="E43" s="1"/>
      <c r="F43" s="1"/>
      <c r="G43" s="2">
        <v>4798.0</v>
      </c>
    </row>
    <row r="44" ht="15.75" customHeight="1">
      <c r="A44" s="1"/>
      <c r="B44" s="4" t="s">
        <v>700</v>
      </c>
      <c r="C44" s="15"/>
      <c r="D44" s="1"/>
      <c r="E44" s="1"/>
      <c r="F44" s="1"/>
      <c r="G44" s="2">
        <v>20000.0</v>
      </c>
    </row>
    <row r="45" ht="15.75" customHeight="1">
      <c r="A45" s="1"/>
      <c r="B45" s="4" t="s">
        <v>701</v>
      </c>
      <c r="C45" s="15"/>
      <c r="D45" s="1"/>
      <c r="E45" s="1"/>
      <c r="F45" s="1"/>
      <c r="G45" s="2">
        <v>2000.0</v>
      </c>
    </row>
    <row r="46" ht="15.75" customHeight="1">
      <c r="A46" s="1"/>
      <c r="B46" s="4" t="s">
        <v>699</v>
      </c>
      <c r="C46" s="15"/>
      <c r="D46" s="1"/>
      <c r="E46" s="1"/>
      <c r="F46" s="1"/>
      <c r="G46" s="2">
        <v>5150.0</v>
      </c>
    </row>
    <row r="47" ht="15.75" customHeight="1">
      <c r="A47" s="1"/>
      <c r="B47" s="4" t="s">
        <v>702</v>
      </c>
      <c r="C47" s="15"/>
      <c r="D47" s="1"/>
      <c r="E47" s="1"/>
      <c r="F47" s="1"/>
      <c r="G47" s="2">
        <v>2000.0</v>
      </c>
    </row>
    <row r="48" ht="15.75" customHeight="1">
      <c r="A48" s="1"/>
      <c r="B48" s="4" t="s">
        <v>703</v>
      </c>
      <c r="C48" s="15"/>
      <c r="D48" s="1"/>
      <c r="E48" s="1"/>
      <c r="F48" s="1"/>
      <c r="G48" s="2">
        <v>8244.0</v>
      </c>
    </row>
    <row r="49" ht="15.75" customHeight="1">
      <c r="A49" s="1"/>
      <c r="B49" s="4" t="s">
        <v>704</v>
      </c>
      <c r="C49" s="15"/>
      <c r="D49" s="1"/>
      <c r="E49" s="1"/>
      <c r="F49" s="1"/>
      <c r="G49" s="2">
        <v>1000.0</v>
      </c>
    </row>
    <row r="50" ht="15.75" customHeight="1">
      <c r="A50" s="1"/>
      <c r="B50" s="4" t="s">
        <v>705</v>
      </c>
      <c r="C50" s="15"/>
      <c r="D50" s="1"/>
      <c r="E50" s="1"/>
      <c r="F50" s="1"/>
      <c r="G50" s="2">
        <v>1800.0</v>
      </c>
    </row>
    <row r="51" ht="15.75" customHeight="1">
      <c r="A51" s="1"/>
      <c r="B51" s="4" t="s">
        <v>706</v>
      </c>
      <c r="C51" s="15"/>
      <c r="D51" s="1"/>
      <c r="E51" s="1"/>
      <c r="F51" s="1"/>
      <c r="G51" s="2">
        <v>14400.0</v>
      </c>
    </row>
    <row r="52" ht="15.75" customHeight="1">
      <c r="A52" s="1"/>
      <c r="B52" s="4" t="s">
        <v>707</v>
      </c>
      <c r="C52" s="15"/>
      <c r="D52" s="1"/>
      <c r="E52" s="1"/>
      <c r="F52" s="1"/>
      <c r="G52" s="2">
        <v>56500.0</v>
      </c>
    </row>
    <row r="53" ht="15.75" customHeight="1">
      <c r="A53" s="1"/>
      <c r="B53" s="4" t="s">
        <v>708</v>
      </c>
      <c r="C53" s="15"/>
      <c r="D53" s="1"/>
      <c r="E53" s="1"/>
      <c r="F53" s="1"/>
      <c r="G53" s="2">
        <v>40000.0</v>
      </c>
    </row>
    <row r="54" ht="15.75" customHeight="1">
      <c r="A54" s="1"/>
      <c r="B54" s="4" t="s">
        <v>661</v>
      </c>
      <c r="C54" s="15"/>
      <c r="D54" s="1"/>
      <c r="E54" s="1"/>
      <c r="F54" s="1"/>
      <c r="G54" s="2">
        <v>2800.0</v>
      </c>
    </row>
    <row r="55" ht="15.75" customHeight="1">
      <c r="A55" s="1"/>
      <c r="B55" s="4" t="s">
        <v>662</v>
      </c>
      <c r="C55" s="15"/>
      <c r="D55" s="1"/>
      <c r="E55" s="1"/>
      <c r="F55" s="1"/>
      <c r="G55" s="2">
        <v>500.0</v>
      </c>
    </row>
    <row r="56" ht="15.75" customHeight="1">
      <c r="A56" s="1"/>
      <c r="B56" s="4" t="s">
        <v>663</v>
      </c>
      <c r="C56" s="15"/>
      <c r="D56" s="1"/>
      <c r="E56" s="1"/>
      <c r="F56" s="1"/>
      <c r="G56" s="2">
        <v>212500.0</v>
      </c>
    </row>
    <row r="57" ht="15.75" customHeight="1">
      <c r="A57" s="1"/>
      <c r="B57" s="4" t="s">
        <v>709</v>
      </c>
      <c r="C57" s="15"/>
      <c r="D57" s="1"/>
      <c r="E57" s="1"/>
      <c r="F57" s="1"/>
      <c r="G57" s="2">
        <v>46000.0</v>
      </c>
    </row>
    <row r="58" ht="15.75" customHeight="1">
      <c r="A58" s="1"/>
      <c r="B58" s="4" t="s">
        <v>710</v>
      </c>
      <c r="C58" s="15"/>
      <c r="D58" s="1"/>
      <c r="E58" s="1"/>
      <c r="F58" s="1"/>
      <c r="G58" s="2">
        <v>48000.0</v>
      </c>
    </row>
    <row r="59" ht="15.75" customHeight="1">
      <c r="A59" s="1"/>
      <c r="B59" s="4" t="s">
        <v>711</v>
      </c>
      <c r="C59" s="15"/>
      <c r="D59" s="1"/>
      <c r="E59" s="1"/>
      <c r="F59" s="1"/>
      <c r="G59" s="2">
        <v>3500.0</v>
      </c>
    </row>
    <row r="60" ht="15.75" customHeight="1">
      <c r="A60" s="1"/>
      <c r="B60" s="4" t="s">
        <v>712</v>
      </c>
      <c r="C60" s="15"/>
      <c r="D60" s="1"/>
      <c r="E60" s="1"/>
      <c r="F60" s="1"/>
      <c r="G60" s="2">
        <v>105875.0</v>
      </c>
    </row>
    <row r="61" ht="15.75" customHeight="1">
      <c r="A61" s="1"/>
      <c r="B61" s="4" t="s">
        <v>713</v>
      </c>
      <c r="C61" s="15"/>
      <c r="D61" s="1"/>
      <c r="E61" s="1"/>
      <c r="F61" s="1"/>
      <c r="G61" s="2">
        <v>2500.0</v>
      </c>
    </row>
    <row r="62" ht="15.75" customHeight="1">
      <c r="A62" s="1"/>
      <c r="B62" s="4" t="s">
        <v>714</v>
      </c>
      <c r="C62" s="15"/>
      <c r="D62" s="1"/>
      <c r="E62" s="1"/>
      <c r="F62" s="1"/>
      <c r="G62" s="2">
        <v>2000.0</v>
      </c>
    </row>
    <row r="63" ht="15.75" customHeight="1">
      <c r="A63" s="1"/>
      <c r="B63" s="4" t="s">
        <v>662</v>
      </c>
      <c r="C63" s="15"/>
      <c r="D63" s="1"/>
      <c r="E63" s="1"/>
      <c r="F63" s="1"/>
      <c r="G63" s="2">
        <v>350.0</v>
      </c>
    </row>
    <row r="64" ht="15.75" customHeight="1">
      <c r="A64" s="1"/>
      <c r="B64" s="16" t="s">
        <v>43</v>
      </c>
      <c r="C64" s="10"/>
      <c r="D64" s="10"/>
      <c r="E64" s="10"/>
      <c r="F64" s="10"/>
      <c r="G64" s="17">
        <f>SUM(G26:G63)</f>
        <v>1088517</v>
      </c>
    </row>
    <row r="65" ht="15.75" customHeight="1">
      <c r="A65" s="1"/>
      <c r="B65" s="1"/>
      <c r="C65" s="1"/>
      <c r="D65" s="1"/>
      <c r="E65" s="1"/>
      <c r="F65" s="1"/>
      <c r="G65" s="18" t="s">
        <v>44</v>
      </c>
    </row>
    <row r="66" ht="15.75" customHeight="1">
      <c r="A66" s="1"/>
      <c r="B66" s="19" t="s">
        <v>45</v>
      </c>
      <c r="C66" s="20"/>
      <c r="D66" s="20"/>
      <c r="E66" s="20"/>
      <c r="F66" s="20"/>
      <c r="G66" s="21">
        <f>SUM(G24,G64)</f>
        <v>1730517</v>
      </c>
    </row>
    <row r="67" ht="15.75" customHeight="1">
      <c r="A67" s="1"/>
      <c r="B67" s="4" t="s">
        <v>46</v>
      </c>
      <c r="C67" s="1"/>
      <c r="D67" s="1"/>
      <c r="E67" s="1"/>
      <c r="F67" s="1"/>
      <c r="G67" s="2"/>
    </row>
    <row r="68" ht="15.75" customHeight="1">
      <c r="A68" s="35" t="s">
        <v>715</v>
      </c>
      <c r="B68" s="36"/>
      <c r="C68" s="37"/>
      <c r="D68" s="37"/>
      <c r="E68" s="37"/>
      <c r="F68" s="37"/>
      <c r="G68" s="38">
        <f>(G13-G66)</f>
        <v>1763283</v>
      </c>
    </row>
    <row r="69" ht="15.75" customHeight="1">
      <c r="A69" s="22" t="s">
        <v>254</v>
      </c>
      <c r="B69" s="1" t="s">
        <v>255</v>
      </c>
      <c r="C69" s="1"/>
      <c r="D69" s="1"/>
      <c r="E69" s="1"/>
      <c r="F69" s="1"/>
      <c r="G69" s="2"/>
    </row>
    <row r="70" ht="15.75" customHeight="1">
      <c r="A70" s="22"/>
      <c r="B70" s="1"/>
      <c r="C70" s="1"/>
      <c r="D70" s="1"/>
      <c r="E70" s="1"/>
      <c r="F70" s="1"/>
      <c r="G70" s="2"/>
    </row>
    <row r="71" ht="15.75" customHeight="1">
      <c r="A71" s="1"/>
      <c r="B71" s="27" t="s">
        <v>51</v>
      </c>
      <c r="C71" s="27"/>
      <c r="D71" s="27"/>
      <c r="E71" s="27"/>
      <c r="F71" s="27"/>
      <c r="G71" s="28">
        <f>SUM(G70)</f>
        <v>0</v>
      </c>
    </row>
    <row r="72" ht="15.75" customHeight="1">
      <c r="A72" s="1"/>
      <c r="B72" s="1"/>
      <c r="C72" s="1"/>
      <c r="D72" s="1"/>
      <c r="E72" s="1"/>
      <c r="F72" s="1"/>
      <c r="G72" s="2"/>
    </row>
    <row r="73" ht="15.75" customHeight="1">
      <c r="A73" s="44"/>
      <c r="B73" s="45" t="s">
        <v>716</v>
      </c>
      <c r="C73" s="46"/>
      <c r="D73" s="46"/>
      <c r="E73" s="46"/>
      <c r="F73" s="46"/>
      <c r="G73" s="47">
        <f>SUM(G4,G68,-G71)</f>
        <v>17369836</v>
      </c>
    </row>
    <row r="74" ht="15.75" customHeight="1">
      <c r="A74" s="1"/>
      <c r="B74" s="1"/>
      <c r="C74" s="1"/>
      <c r="D74" s="1"/>
      <c r="E74" s="1"/>
      <c r="F74" s="1"/>
      <c r="G74" s="2"/>
    </row>
    <row r="75" ht="15.75" customHeight="1">
      <c r="A75" s="1"/>
      <c r="B75" s="32" t="s">
        <v>717</v>
      </c>
    </row>
    <row r="76" ht="15.75" customHeight="1">
      <c r="A76" s="1"/>
      <c r="B76" s="1"/>
      <c r="C76" s="1" t="s">
        <v>113</v>
      </c>
      <c r="D76" s="1"/>
      <c r="E76" s="1"/>
      <c r="F76" s="1"/>
      <c r="G76" s="2">
        <v>49100.0</v>
      </c>
    </row>
    <row r="77" ht="15.75" customHeight="1">
      <c r="A77" s="1"/>
      <c r="B77" s="1"/>
      <c r="C77" s="1" t="s">
        <v>114</v>
      </c>
      <c r="D77" s="1"/>
      <c r="E77" s="1"/>
      <c r="F77" s="1"/>
      <c r="G77" s="2">
        <v>109500.0</v>
      </c>
    </row>
    <row r="78" ht="15.75" customHeight="1">
      <c r="A78" s="1"/>
      <c r="B78" s="1"/>
      <c r="C78" s="43" t="s">
        <v>115</v>
      </c>
      <c r="D78" s="1"/>
      <c r="E78" s="1"/>
      <c r="F78" s="1"/>
      <c r="G78" s="2">
        <f>SUM(G76,G77)</f>
        <v>158600</v>
      </c>
    </row>
    <row r="79" ht="15.75" customHeight="1">
      <c r="A79" s="1"/>
      <c r="B79" s="1"/>
      <c r="C79" s="43"/>
      <c r="D79" s="1"/>
      <c r="E79" s="1"/>
      <c r="F79" s="1"/>
      <c r="G79" s="2"/>
    </row>
    <row r="80" ht="15.75" customHeight="1">
      <c r="A80" s="1"/>
      <c r="B80" s="1" t="s">
        <v>677</v>
      </c>
      <c r="C80" s="43"/>
      <c r="D80" s="1"/>
      <c r="E80" s="1"/>
      <c r="F80" s="1"/>
      <c r="G80" s="2"/>
    </row>
    <row r="81" ht="15.75" customHeight="1">
      <c r="A81" s="1"/>
      <c r="B81" s="1" t="s">
        <v>678</v>
      </c>
      <c r="C81" s="43"/>
      <c r="D81" s="1"/>
      <c r="E81" s="1"/>
      <c r="F81" s="1"/>
      <c r="G81" s="1"/>
    </row>
    <row r="82" ht="15.75" customHeight="1">
      <c r="A82" s="1"/>
      <c r="B82" s="33" t="s">
        <v>718</v>
      </c>
      <c r="C82" s="1"/>
      <c r="D82" s="1"/>
      <c r="E82" s="1"/>
      <c r="F82" s="1"/>
      <c r="G82" s="2"/>
    </row>
    <row r="83" ht="15.75" customHeight="1">
      <c r="A83" s="1"/>
      <c r="B83" s="4"/>
      <c r="C83" s="1"/>
      <c r="D83" s="1"/>
      <c r="E83" s="1"/>
      <c r="F83" s="1"/>
      <c r="G83" s="2"/>
    </row>
    <row r="84" ht="15.75" customHeight="1">
      <c r="A84" s="1"/>
      <c r="B84" s="55" t="s">
        <v>531</v>
      </c>
      <c r="C84" s="56"/>
      <c r="D84" s="56"/>
      <c r="E84" s="56"/>
      <c r="F84" s="1"/>
      <c r="G84" s="2"/>
    </row>
    <row r="85" ht="15.75" customHeight="1">
      <c r="A85" s="1"/>
      <c r="B85" s="55" t="s">
        <v>719</v>
      </c>
      <c r="C85" s="56"/>
      <c r="D85" s="56"/>
      <c r="E85" s="56"/>
      <c r="F85" s="1"/>
      <c r="G85" s="2"/>
    </row>
    <row r="86" ht="15.75" customHeight="1">
      <c r="A86" s="1"/>
      <c r="B86" s="55" t="s">
        <v>681</v>
      </c>
      <c r="F86" s="1"/>
      <c r="G86" s="2"/>
    </row>
    <row r="87" ht="15.75" customHeight="1">
      <c r="A87" s="1"/>
      <c r="B87" s="55" t="s">
        <v>720</v>
      </c>
      <c r="C87" s="56"/>
      <c r="D87" s="57"/>
      <c r="E87" s="56"/>
      <c r="F87" s="1"/>
      <c r="G87" s="2"/>
    </row>
    <row r="88" ht="15.75" customHeight="1">
      <c r="A88" s="1"/>
      <c r="B88" s="55" t="s">
        <v>535</v>
      </c>
      <c r="C88" s="56"/>
      <c r="D88" s="57"/>
      <c r="E88" s="56"/>
      <c r="F88" s="1"/>
      <c r="G88" s="2"/>
    </row>
    <row r="89" ht="15.75" customHeight="1">
      <c r="B89" s="55" t="s">
        <v>536</v>
      </c>
      <c r="C89" s="56"/>
      <c r="D89" s="57"/>
      <c r="E89" s="57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75:G75"/>
    <mergeCell ref="B86:E86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5.71"/>
    <col customWidth="1" min="4" max="4" width="9.0"/>
    <col customWidth="1" min="5" max="5" width="10.57"/>
    <col customWidth="1" min="6" max="6" width="22.71"/>
    <col customWidth="1" min="7" max="7" width="18.57"/>
    <col customWidth="1" min="8" max="26" width="10.71"/>
  </cols>
  <sheetData>
    <row r="2">
      <c r="A2" s="1" t="s">
        <v>721</v>
      </c>
      <c r="B2" s="3" t="s">
        <v>722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723</v>
      </c>
      <c r="C4" s="1"/>
      <c r="D4" s="1"/>
      <c r="E4" s="1"/>
      <c r="F4" s="1"/>
      <c r="G4" s="2">
        <v>1.7369836E7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724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610500.0</v>
      </c>
      <c r="G7" s="7">
        <v>307000.0</v>
      </c>
    </row>
    <row r="8">
      <c r="A8" s="1"/>
      <c r="B8" s="4" t="s">
        <v>64</v>
      </c>
      <c r="C8" s="1"/>
      <c r="D8" s="1"/>
      <c r="E8" s="1"/>
      <c r="F8" s="2">
        <v>479700.0</v>
      </c>
      <c r="G8" s="7">
        <v>348000.0</v>
      </c>
    </row>
    <row r="9">
      <c r="A9" s="1"/>
      <c r="B9" s="4" t="s">
        <v>65</v>
      </c>
      <c r="C9" s="1"/>
      <c r="D9" s="1"/>
      <c r="E9" s="1"/>
      <c r="F9" s="2">
        <v>359500.0</v>
      </c>
      <c r="G9" s="7">
        <v>138000.0</v>
      </c>
    </row>
    <row r="10">
      <c r="A10" s="1"/>
      <c r="B10" s="4" t="s">
        <v>66</v>
      </c>
      <c r="C10" s="1"/>
      <c r="D10" s="1"/>
      <c r="E10" s="1"/>
      <c r="F10" s="2">
        <v>175400.0</v>
      </c>
      <c r="G10" s="8">
        <v>36000.0</v>
      </c>
    </row>
    <row r="11">
      <c r="A11" s="1"/>
      <c r="B11" s="4" t="s">
        <v>67</v>
      </c>
      <c r="C11" s="1"/>
      <c r="D11" s="49" t="s">
        <v>8</v>
      </c>
      <c r="E11" s="49"/>
      <c r="F11" s="54">
        <v>81100.0</v>
      </c>
      <c r="G11" s="7">
        <v>32000.0</v>
      </c>
    </row>
    <row r="12">
      <c r="A12" s="1"/>
      <c r="B12" s="4"/>
      <c r="C12" s="50" t="s">
        <v>405</v>
      </c>
      <c r="E12" s="4"/>
      <c r="F12" s="2">
        <f t="shared" ref="F12:G12" si="1">SUM(F7:F11)</f>
        <v>1706200</v>
      </c>
      <c r="G12" s="7">
        <f t="shared" si="1"/>
        <v>861000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2567200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725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726</v>
      </c>
      <c r="C17" s="1"/>
      <c r="D17" s="1"/>
      <c r="E17" s="1"/>
      <c r="F17" s="1"/>
      <c r="G17" s="2">
        <v>24000.0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75000.0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65000.0</v>
      </c>
    </row>
    <row r="23" ht="15.75" customHeight="1">
      <c r="A23" s="1"/>
      <c r="B23" s="4" t="s">
        <v>448</v>
      </c>
      <c r="C23" s="1"/>
      <c r="D23" s="1"/>
      <c r="E23" s="1"/>
      <c r="F23" s="1"/>
      <c r="G23" s="2">
        <v>150000.0</v>
      </c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574000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4"/>
      <c r="C26" s="15"/>
      <c r="D26" s="1"/>
      <c r="E26" s="1"/>
      <c r="F26" s="1"/>
      <c r="G26" s="2"/>
    </row>
    <row r="27" ht="15.75" customHeight="1">
      <c r="A27" s="1"/>
      <c r="B27" s="4" t="s">
        <v>727</v>
      </c>
      <c r="C27" s="15"/>
      <c r="D27" s="1"/>
      <c r="E27" s="1"/>
      <c r="F27" s="1"/>
      <c r="G27" s="2">
        <v>94000.0</v>
      </c>
    </row>
    <row r="28" ht="15.75" customHeight="1">
      <c r="A28" s="1"/>
      <c r="B28" s="4" t="s">
        <v>728</v>
      </c>
      <c r="C28" s="15"/>
      <c r="D28" s="1"/>
      <c r="E28" s="1"/>
      <c r="F28" s="1"/>
      <c r="G28" s="2">
        <v>46000.0</v>
      </c>
    </row>
    <row r="29" ht="15.75" customHeight="1">
      <c r="A29" s="1"/>
      <c r="B29" s="4" t="s">
        <v>652</v>
      </c>
      <c r="C29" s="15"/>
      <c r="D29" s="1"/>
      <c r="E29" s="1"/>
      <c r="F29" s="1"/>
      <c r="G29" s="2">
        <v>8000.0</v>
      </c>
    </row>
    <row r="30" ht="15.75" customHeight="1">
      <c r="A30" s="1"/>
      <c r="B30" s="4" t="s">
        <v>729</v>
      </c>
      <c r="C30" s="15"/>
      <c r="D30" s="1"/>
      <c r="E30" s="1"/>
      <c r="F30" s="1"/>
      <c r="G30" s="2">
        <v>2000.0</v>
      </c>
    </row>
    <row r="31" ht="15.75" customHeight="1">
      <c r="A31" s="1"/>
      <c r="B31" s="4" t="s">
        <v>730</v>
      </c>
      <c r="C31" s="15"/>
      <c r="D31" s="1"/>
      <c r="E31" s="1"/>
      <c r="F31" s="1"/>
      <c r="G31" s="2">
        <v>65250.0</v>
      </c>
    </row>
    <row r="32" ht="15.75" customHeight="1">
      <c r="A32" s="1"/>
      <c r="B32" s="4" t="s">
        <v>731</v>
      </c>
      <c r="C32" s="15"/>
      <c r="D32" s="1"/>
      <c r="E32" s="1"/>
      <c r="F32" s="1"/>
      <c r="G32" s="2">
        <v>2500.0</v>
      </c>
    </row>
    <row r="33" ht="15.75" customHeight="1">
      <c r="A33" s="1"/>
      <c r="B33" s="4" t="s">
        <v>732</v>
      </c>
      <c r="C33" s="15"/>
      <c r="D33" s="1"/>
      <c r="E33" s="1"/>
      <c r="F33" s="1"/>
      <c r="G33" s="2">
        <v>100000.0</v>
      </c>
    </row>
    <row r="34" ht="15.75" customHeight="1">
      <c r="A34" s="1"/>
      <c r="B34" s="4" t="s">
        <v>733</v>
      </c>
      <c r="C34" s="15"/>
      <c r="D34" s="1"/>
      <c r="E34" s="1"/>
      <c r="F34" s="1"/>
      <c r="G34" s="2">
        <v>14000.0</v>
      </c>
    </row>
    <row r="35" ht="15.75" customHeight="1">
      <c r="A35" s="1"/>
      <c r="B35" s="4" t="s">
        <v>734</v>
      </c>
      <c r="C35" s="15"/>
      <c r="D35" s="1"/>
      <c r="E35" s="1"/>
      <c r="F35" s="1"/>
      <c r="G35" s="2">
        <v>65000.0</v>
      </c>
    </row>
    <row r="36" ht="15.75" customHeight="1">
      <c r="A36" s="1"/>
      <c r="B36" s="4" t="s">
        <v>735</v>
      </c>
      <c r="C36" s="15"/>
      <c r="D36" s="1"/>
      <c r="E36" s="1"/>
      <c r="F36" s="1"/>
      <c r="G36" s="2">
        <v>2000.0</v>
      </c>
    </row>
    <row r="37" ht="15.75" customHeight="1">
      <c r="A37" s="1"/>
      <c r="B37" s="4" t="s">
        <v>736</v>
      </c>
      <c r="C37" s="15"/>
      <c r="D37" s="1"/>
      <c r="E37" s="1"/>
      <c r="F37" s="1"/>
      <c r="G37" s="2">
        <v>8000.0</v>
      </c>
    </row>
    <row r="38" ht="15.75" customHeight="1">
      <c r="A38" s="1"/>
      <c r="B38" s="4" t="s">
        <v>737</v>
      </c>
      <c r="C38" s="15"/>
      <c r="D38" s="1"/>
      <c r="E38" s="1"/>
      <c r="F38" s="1"/>
      <c r="G38" s="2">
        <v>425000.0</v>
      </c>
    </row>
    <row r="39" ht="15.75" customHeight="1">
      <c r="A39" s="1"/>
      <c r="B39" s="4" t="s">
        <v>738</v>
      </c>
      <c r="C39" s="15"/>
      <c r="D39" s="1"/>
      <c r="E39" s="1"/>
      <c r="F39" s="1"/>
      <c r="G39" s="2">
        <v>5000.0</v>
      </c>
    </row>
    <row r="40" ht="15.75" customHeight="1">
      <c r="A40" s="1"/>
      <c r="B40" s="4" t="s">
        <v>739</v>
      </c>
      <c r="C40" s="15"/>
      <c r="D40" s="1"/>
      <c r="E40" s="1"/>
      <c r="F40" s="1"/>
      <c r="G40" s="2">
        <v>2000.0</v>
      </c>
    </row>
    <row r="41" ht="15.75" customHeight="1">
      <c r="A41" s="1"/>
      <c r="B41" s="4" t="s">
        <v>740</v>
      </c>
      <c r="C41" s="15"/>
      <c r="D41" s="1"/>
      <c r="E41" s="1"/>
      <c r="F41" s="1"/>
      <c r="G41" s="2">
        <v>30000.0</v>
      </c>
    </row>
    <row r="42" ht="15.75" customHeight="1">
      <c r="A42" s="1"/>
      <c r="B42" s="4" t="s">
        <v>741</v>
      </c>
      <c r="C42" s="15"/>
      <c r="D42" s="1"/>
      <c r="E42" s="1"/>
      <c r="F42" s="1"/>
      <c r="G42" s="2">
        <v>2500.0</v>
      </c>
    </row>
    <row r="43" ht="15.75" customHeight="1">
      <c r="A43" s="1"/>
      <c r="B43" s="4" t="s">
        <v>742</v>
      </c>
      <c r="C43" s="15"/>
      <c r="D43" s="1"/>
      <c r="E43" s="1"/>
      <c r="F43" s="1"/>
      <c r="G43" s="2">
        <v>15000.0</v>
      </c>
    </row>
    <row r="44" ht="15.75" customHeight="1">
      <c r="A44" s="1"/>
      <c r="B44" s="4" t="s">
        <v>652</v>
      </c>
      <c r="C44" s="15"/>
      <c r="D44" s="1"/>
      <c r="E44" s="1"/>
      <c r="F44" s="1"/>
      <c r="G44" s="2">
        <v>8000.0</v>
      </c>
    </row>
    <row r="45" ht="15.75" customHeight="1">
      <c r="A45" s="1"/>
      <c r="B45" s="4" t="s">
        <v>743</v>
      </c>
      <c r="C45" s="15"/>
      <c r="D45" s="1"/>
      <c r="E45" s="1"/>
      <c r="F45" s="1"/>
      <c r="G45" s="2">
        <v>3000.0</v>
      </c>
    </row>
    <row r="46" ht="15.75" customHeight="1">
      <c r="A46" s="1"/>
      <c r="B46" s="4" t="s">
        <v>729</v>
      </c>
      <c r="C46" s="15"/>
      <c r="D46" s="1"/>
      <c r="E46" s="1"/>
      <c r="F46" s="1"/>
      <c r="G46" s="2">
        <v>2000.0</v>
      </c>
    </row>
    <row r="47" ht="15.75" customHeight="1">
      <c r="A47" s="1"/>
      <c r="B47" s="4" t="s">
        <v>744</v>
      </c>
      <c r="C47" s="15"/>
      <c r="D47" s="1"/>
      <c r="E47" s="1"/>
      <c r="F47" s="1"/>
      <c r="G47" s="2">
        <v>20000.0</v>
      </c>
    </row>
    <row r="48" ht="15.75" customHeight="1">
      <c r="A48" s="1"/>
      <c r="B48" s="4" t="s">
        <v>745</v>
      </c>
      <c r="C48" s="15"/>
      <c r="D48" s="1"/>
      <c r="E48" s="1"/>
      <c r="F48" s="1"/>
      <c r="G48" s="2">
        <v>10000.0</v>
      </c>
    </row>
    <row r="49" ht="15.75" customHeight="1">
      <c r="A49" s="1"/>
      <c r="B49" s="4" t="s">
        <v>580</v>
      </c>
      <c r="C49" s="15"/>
      <c r="D49" s="1"/>
      <c r="E49" s="1"/>
      <c r="F49" s="1"/>
      <c r="G49" s="2">
        <v>15000.0</v>
      </c>
    </row>
    <row r="50" ht="15.75" customHeight="1">
      <c r="A50" s="1"/>
      <c r="B50" s="4" t="s">
        <v>700</v>
      </c>
      <c r="C50" s="15"/>
      <c r="D50" s="1"/>
      <c r="E50" s="1"/>
      <c r="F50" s="1"/>
      <c r="G50" s="2">
        <v>20000.0</v>
      </c>
    </row>
    <row r="51" ht="15.75" customHeight="1">
      <c r="A51" s="1"/>
      <c r="B51" s="4" t="s">
        <v>746</v>
      </c>
      <c r="C51" s="15"/>
      <c r="D51" s="1"/>
      <c r="E51" s="1"/>
      <c r="F51" s="1"/>
      <c r="G51" s="2">
        <v>94000.0</v>
      </c>
    </row>
    <row r="52" ht="15.75" customHeight="1">
      <c r="A52" s="1"/>
      <c r="B52" s="4" t="s">
        <v>747</v>
      </c>
      <c r="C52" s="15"/>
      <c r="D52" s="1"/>
      <c r="E52" s="1"/>
      <c r="F52" s="1"/>
      <c r="G52" s="2">
        <v>210000.0</v>
      </c>
    </row>
    <row r="53" ht="15.75" customHeight="1">
      <c r="A53" s="1"/>
      <c r="B53" s="4" t="s">
        <v>748</v>
      </c>
      <c r="C53" s="15"/>
      <c r="D53" s="1"/>
      <c r="E53" s="1"/>
      <c r="F53" s="1"/>
      <c r="G53" s="2">
        <v>60000.0</v>
      </c>
    </row>
    <row r="54" ht="15.75" customHeight="1">
      <c r="A54" s="1"/>
      <c r="B54" s="16" t="s">
        <v>43</v>
      </c>
      <c r="C54" s="10"/>
      <c r="D54" s="10"/>
      <c r="E54" s="10"/>
      <c r="F54" s="10"/>
      <c r="G54" s="17">
        <f>SUM(G26:G53)</f>
        <v>1328250</v>
      </c>
    </row>
    <row r="55" ht="15.75" customHeight="1">
      <c r="A55" s="1"/>
      <c r="B55" s="1"/>
      <c r="C55" s="1"/>
      <c r="D55" s="1"/>
      <c r="E55" s="1"/>
      <c r="F55" s="1"/>
      <c r="G55" s="18" t="s">
        <v>44</v>
      </c>
    </row>
    <row r="56" ht="15.75" customHeight="1">
      <c r="A56" s="1"/>
      <c r="B56" s="19" t="s">
        <v>45</v>
      </c>
      <c r="C56" s="20"/>
      <c r="D56" s="20"/>
      <c r="E56" s="20"/>
      <c r="F56" s="20"/>
      <c r="G56" s="21">
        <f>SUM(G24,G54)</f>
        <v>1902250</v>
      </c>
    </row>
    <row r="57" ht="15.75" customHeight="1">
      <c r="A57" s="1"/>
      <c r="B57" s="4" t="s">
        <v>46</v>
      </c>
      <c r="C57" s="1"/>
      <c r="D57" s="1"/>
      <c r="E57" s="1"/>
      <c r="F57" s="1"/>
      <c r="G57" s="2"/>
    </row>
    <row r="58" ht="15.75" customHeight="1">
      <c r="A58" s="35" t="s">
        <v>749</v>
      </c>
      <c r="B58" s="36"/>
      <c r="C58" s="37"/>
      <c r="D58" s="37"/>
      <c r="E58" s="37"/>
      <c r="F58" s="37"/>
      <c r="G58" s="38">
        <f>(G13-G56)</f>
        <v>664950</v>
      </c>
    </row>
    <row r="59" ht="15.75" customHeight="1">
      <c r="A59" s="22" t="s">
        <v>254</v>
      </c>
      <c r="B59" s="1" t="s">
        <v>255</v>
      </c>
      <c r="C59" s="1"/>
      <c r="D59" s="1"/>
      <c r="E59" s="1"/>
      <c r="F59" s="1"/>
      <c r="G59" s="2">
        <v>0.0</v>
      </c>
    </row>
    <row r="60" ht="15.75" customHeight="1">
      <c r="A60" s="22"/>
      <c r="B60" s="1"/>
      <c r="C60" s="1"/>
      <c r="D60" s="1"/>
      <c r="E60" s="1"/>
      <c r="F60" s="1"/>
      <c r="G60" s="2"/>
    </row>
    <row r="61" ht="15.75" customHeight="1">
      <c r="A61" s="22"/>
      <c r="B61" s="1"/>
      <c r="C61" s="1"/>
      <c r="D61" s="1"/>
      <c r="E61" s="1"/>
      <c r="F61" s="1"/>
      <c r="G61" s="2"/>
    </row>
    <row r="62" ht="15.75" customHeight="1">
      <c r="A62" s="22"/>
      <c r="B62" s="1"/>
      <c r="C62" s="1"/>
      <c r="D62" s="1"/>
      <c r="E62" s="1"/>
      <c r="F62" s="1"/>
      <c r="G62" s="2"/>
    </row>
    <row r="63" ht="15.75" customHeight="1">
      <c r="A63" s="1"/>
      <c r="B63" s="27" t="s">
        <v>51</v>
      </c>
      <c r="C63" s="27"/>
      <c r="D63" s="27"/>
      <c r="E63" s="27"/>
      <c r="F63" s="27"/>
      <c r="G63" s="28">
        <v>0.0</v>
      </c>
    </row>
    <row r="64" ht="15.75" customHeight="1">
      <c r="A64" s="1"/>
      <c r="B64" s="1"/>
      <c r="C64" s="1"/>
      <c r="D64" s="1"/>
      <c r="E64" s="1"/>
      <c r="F64" s="1"/>
      <c r="G64" s="2"/>
    </row>
    <row r="65" ht="15.75" customHeight="1">
      <c r="A65" s="44"/>
      <c r="B65" s="45" t="s">
        <v>750</v>
      </c>
      <c r="C65" s="46"/>
      <c r="D65" s="46"/>
      <c r="E65" s="46"/>
      <c r="F65" s="46"/>
      <c r="G65" s="47">
        <f>SUM(17369836,664950,0)</f>
        <v>18034786</v>
      </c>
    </row>
    <row r="66" ht="15.75" customHeight="1">
      <c r="A66" s="1"/>
      <c r="B66" s="1"/>
      <c r="C66" s="1"/>
      <c r="D66" s="1"/>
      <c r="E66" s="1"/>
      <c r="F66" s="1"/>
      <c r="G66" s="2"/>
    </row>
    <row r="67" ht="15.75" customHeight="1">
      <c r="A67" s="1"/>
      <c r="B67" s="32" t="s">
        <v>751</v>
      </c>
    </row>
    <row r="68" ht="15.75" customHeight="1">
      <c r="A68" s="1"/>
      <c r="B68" s="1"/>
      <c r="C68" s="1" t="s">
        <v>113</v>
      </c>
      <c r="D68" s="1"/>
      <c r="E68" s="1"/>
      <c r="F68" s="1"/>
      <c r="G68" s="2">
        <v>58800.0</v>
      </c>
    </row>
    <row r="69" ht="15.75" customHeight="1">
      <c r="A69" s="1"/>
      <c r="B69" s="1"/>
      <c r="C69" s="1" t="s">
        <v>114</v>
      </c>
      <c r="D69" s="1"/>
      <c r="E69" s="1"/>
      <c r="F69" s="1"/>
      <c r="G69" s="2">
        <v>377700.0</v>
      </c>
    </row>
    <row r="70" ht="15.75" customHeight="1">
      <c r="A70" s="1"/>
      <c r="B70" s="1"/>
      <c r="C70" s="43" t="s">
        <v>115</v>
      </c>
      <c r="D70" s="1"/>
      <c r="E70" s="1"/>
      <c r="F70" s="1"/>
      <c r="G70" s="2">
        <f>SUM(G68,G69)</f>
        <v>436500</v>
      </c>
    </row>
    <row r="71" ht="15.75" customHeight="1">
      <c r="A71" s="1"/>
      <c r="B71" s="1"/>
      <c r="C71" s="43"/>
      <c r="D71" s="1"/>
      <c r="E71" s="1"/>
      <c r="F71" s="1"/>
      <c r="G71" s="2"/>
    </row>
    <row r="72" ht="15.75" customHeight="1">
      <c r="A72" s="1"/>
      <c r="B72" s="1" t="s">
        <v>752</v>
      </c>
      <c r="C72" s="43"/>
      <c r="D72" s="1"/>
      <c r="E72" s="1"/>
      <c r="F72" s="1"/>
      <c r="G72" s="2"/>
    </row>
    <row r="73" ht="15.75" customHeight="1">
      <c r="A73" s="1"/>
      <c r="B73" s="1" t="s">
        <v>753</v>
      </c>
      <c r="C73" s="43"/>
      <c r="D73" s="1"/>
      <c r="E73" s="1"/>
      <c r="F73" s="1"/>
      <c r="G73" s="1"/>
    </row>
    <row r="74" ht="15.75" customHeight="1">
      <c r="A74" s="1"/>
      <c r="B74" s="33" t="s">
        <v>754</v>
      </c>
      <c r="C74" s="1"/>
      <c r="D74" s="1"/>
      <c r="E74" s="1"/>
      <c r="F74" s="1"/>
      <c r="G74" s="2"/>
    </row>
    <row r="75" ht="15.75" customHeight="1">
      <c r="A75" s="1"/>
      <c r="B75" s="4"/>
      <c r="C75" s="1"/>
      <c r="D75" s="1"/>
      <c r="E75" s="1"/>
      <c r="F75" s="1"/>
      <c r="G75" s="2"/>
    </row>
    <row r="76" ht="15.75" customHeight="1">
      <c r="A76" s="1"/>
      <c r="B76" s="55" t="s">
        <v>531</v>
      </c>
      <c r="C76" s="56"/>
      <c r="D76" s="56"/>
      <c r="E76" s="56"/>
      <c r="F76" s="1"/>
      <c r="G76" s="2"/>
    </row>
    <row r="77" ht="15.75" customHeight="1">
      <c r="A77" s="1"/>
      <c r="B77" s="55" t="s">
        <v>755</v>
      </c>
      <c r="C77" s="56"/>
      <c r="D77" s="56"/>
      <c r="E77" s="56"/>
      <c r="F77" s="1"/>
      <c r="G77" s="2"/>
    </row>
    <row r="78" ht="15.75" customHeight="1">
      <c r="A78" s="1"/>
      <c r="B78" s="55" t="s">
        <v>681</v>
      </c>
      <c r="F78" s="1"/>
      <c r="G78" s="2"/>
    </row>
    <row r="79" ht="15.75" customHeight="1">
      <c r="A79" s="1"/>
      <c r="B79" s="55" t="s">
        <v>756</v>
      </c>
      <c r="C79" s="56"/>
      <c r="D79" s="57"/>
      <c r="E79" s="56"/>
      <c r="F79" s="1"/>
      <c r="G79" s="2"/>
    </row>
    <row r="80" ht="15.75" customHeight="1">
      <c r="A80" s="1"/>
      <c r="B80" s="55" t="s">
        <v>535</v>
      </c>
      <c r="C80" s="56"/>
      <c r="D80" s="57"/>
      <c r="E80" s="56"/>
      <c r="F80" s="1"/>
      <c r="G80" s="2"/>
    </row>
    <row r="81" ht="15.75" customHeight="1">
      <c r="B81" s="55" t="s">
        <v>536</v>
      </c>
      <c r="C81" s="56"/>
      <c r="D81" s="57"/>
      <c r="E81" s="57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67:G67"/>
    <mergeCell ref="B78:E78"/>
  </mergeCells>
  <printOptions/>
  <pageMargins bottom="0.75" footer="0.0" header="0.0" left="0.25" right="0.25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2">
      <c r="A2" s="1" t="s">
        <v>721</v>
      </c>
      <c r="B2" s="3" t="s">
        <v>757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758</v>
      </c>
      <c r="C4" s="1"/>
      <c r="D4" s="1"/>
      <c r="E4" s="1"/>
      <c r="F4" s="1"/>
      <c r="G4" s="2">
        <v>1.8034786E7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759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183000.0</v>
      </c>
      <c r="G7" s="7">
        <v>48000.0</v>
      </c>
    </row>
    <row r="8">
      <c r="A8" s="1"/>
      <c r="B8" s="4" t="s">
        <v>64</v>
      </c>
      <c r="C8" s="1"/>
      <c r="D8" s="1"/>
      <c r="E8" s="1"/>
      <c r="F8" s="2">
        <v>246600.0</v>
      </c>
      <c r="G8" s="7">
        <v>32000.0</v>
      </c>
    </row>
    <row r="9">
      <c r="A9" s="1"/>
      <c r="B9" s="4" t="s">
        <v>65</v>
      </c>
      <c r="C9" s="1"/>
      <c r="D9" s="1"/>
      <c r="E9" s="1"/>
      <c r="F9" s="2">
        <v>236800.0</v>
      </c>
      <c r="G9" s="7">
        <v>12000.0</v>
      </c>
    </row>
    <row r="10">
      <c r="A10" s="1"/>
      <c r="B10" s="4" t="s">
        <v>66</v>
      </c>
      <c r="C10" s="1"/>
      <c r="D10" s="1"/>
      <c r="E10" s="1"/>
      <c r="F10" s="2">
        <v>237600.0</v>
      </c>
      <c r="G10" s="8">
        <v>6000.0</v>
      </c>
    </row>
    <row r="11">
      <c r="A11" s="1"/>
      <c r="B11" s="4" t="s">
        <v>67</v>
      </c>
      <c r="C11" s="1"/>
      <c r="D11" s="49" t="s">
        <v>8</v>
      </c>
      <c r="E11" s="49"/>
      <c r="F11" s="54">
        <v>185600.0</v>
      </c>
      <c r="G11" s="7">
        <v>10000.0</v>
      </c>
    </row>
    <row r="12">
      <c r="A12" s="1"/>
      <c r="B12" s="4"/>
      <c r="C12" s="50" t="s">
        <v>405</v>
      </c>
      <c r="E12" s="4"/>
      <c r="F12" s="2">
        <f t="shared" ref="F12:G12" si="1">SUM(F7:F11)</f>
        <v>1089600</v>
      </c>
      <c r="G12" s="7">
        <f t="shared" si="1"/>
        <v>108000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1197600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760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761</v>
      </c>
      <c r="C17" s="1"/>
      <c r="D17" s="1"/>
      <c r="E17" s="1"/>
      <c r="F17" s="1"/>
      <c r="G17" s="2">
        <v>56000.0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75000.0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65000.0</v>
      </c>
    </row>
    <row r="23" ht="15.75" customHeight="1">
      <c r="A23" s="1"/>
      <c r="B23" s="4" t="s">
        <v>448</v>
      </c>
      <c r="C23" s="1"/>
      <c r="D23" s="1"/>
      <c r="E23" s="1"/>
      <c r="F23" s="1"/>
      <c r="G23" s="2">
        <v>150000.0</v>
      </c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606000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4"/>
      <c r="C26" s="15"/>
      <c r="D26" s="1"/>
      <c r="E26" s="1"/>
      <c r="F26" s="1"/>
      <c r="G26" s="2"/>
    </row>
    <row r="27" ht="15.75" customHeight="1">
      <c r="A27" s="1"/>
      <c r="B27" s="4" t="s">
        <v>762</v>
      </c>
      <c r="C27" s="15"/>
      <c r="D27" s="1"/>
      <c r="E27" s="1"/>
      <c r="F27" s="1"/>
      <c r="G27" s="2">
        <v>2000.0</v>
      </c>
    </row>
    <row r="28" ht="15.75" customHeight="1">
      <c r="A28" s="1"/>
      <c r="B28" s="4" t="s">
        <v>763</v>
      </c>
      <c r="C28" s="15"/>
      <c r="D28" s="1"/>
      <c r="E28" s="1"/>
      <c r="F28" s="1"/>
      <c r="G28" s="2">
        <v>11000.0</v>
      </c>
    </row>
    <row r="29" ht="15.75" customHeight="1">
      <c r="A29" s="1"/>
      <c r="B29" s="4" t="s">
        <v>764</v>
      </c>
      <c r="C29" s="15"/>
      <c r="D29" s="1"/>
      <c r="E29" s="1"/>
      <c r="F29" s="1"/>
      <c r="G29" s="2">
        <v>1000.0</v>
      </c>
    </row>
    <row r="30" ht="15.75" customHeight="1">
      <c r="A30" s="1"/>
      <c r="B30" s="4" t="s">
        <v>765</v>
      </c>
      <c r="C30" s="15"/>
      <c r="D30" s="1"/>
      <c r="E30" s="1"/>
      <c r="F30" s="1"/>
      <c r="G30" s="2">
        <v>54800.0</v>
      </c>
    </row>
    <row r="31" ht="15.75" customHeight="1">
      <c r="A31" s="1"/>
      <c r="B31" s="4" t="s">
        <v>766</v>
      </c>
      <c r="C31" s="15"/>
      <c r="D31" s="1"/>
      <c r="E31" s="1"/>
      <c r="F31" s="1"/>
      <c r="G31" s="2">
        <v>65250.0</v>
      </c>
    </row>
    <row r="32" ht="15.75" customHeight="1">
      <c r="A32" s="1"/>
      <c r="B32" s="4" t="s">
        <v>767</v>
      </c>
      <c r="C32" s="15"/>
      <c r="D32" s="1"/>
      <c r="E32" s="1"/>
      <c r="F32" s="1"/>
      <c r="G32" s="2">
        <v>125000.0</v>
      </c>
    </row>
    <row r="33" ht="15.75" customHeight="1">
      <c r="A33" s="1"/>
      <c r="B33" s="4" t="s">
        <v>768</v>
      </c>
      <c r="C33" s="15"/>
      <c r="D33" s="1"/>
      <c r="E33" s="1"/>
      <c r="F33" s="1"/>
      <c r="G33" s="2">
        <v>1000.0</v>
      </c>
    </row>
    <row r="34" ht="15.75" customHeight="1">
      <c r="A34" s="1"/>
      <c r="B34" s="4" t="s">
        <v>769</v>
      </c>
      <c r="C34" s="15"/>
      <c r="D34" s="1"/>
      <c r="E34" s="1"/>
      <c r="F34" s="1"/>
      <c r="G34" s="2">
        <v>1400.0</v>
      </c>
    </row>
    <row r="35" ht="15.75" customHeight="1">
      <c r="A35" s="1"/>
      <c r="B35" s="4" t="s">
        <v>770</v>
      </c>
      <c r="C35" s="15"/>
      <c r="D35" s="1"/>
      <c r="E35" s="1"/>
      <c r="F35" s="1"/>
      <c r="G35" s="2">
        <v>2000.0</v>
      </c>
    </row>
    <row r="36" ht="15.75" customHeight="1">
      <c r="A36" s="1"/>
      <c r="B36" s="4" t="s">
        <v>771</v>
      </c>
      <c r="C36" s="15"/>
      <c r="D36" s="1"/>
      <c r="E36" s="1"/>
      <c r="F36" s="1"/>
      <c r="G36" s="2">
        <v>74400.0</v>
      </c>
    </row>
    <row r="37" ht="15.75" customHeight="1">
      <c r="A37" s="1"/>
      <c r="B37" s="4" t="s">
        <v>772</v>
      </c>
      <c r="C37" s="15"/>
      <c r="D37" s="1"/>
      <c r="E37" s="1"/>
      <c r="F37" s="1"/>
      <c r="G37" s="2">
        <v>6000.0</v>
      </c>
    </row>
    <row r="38" ht="15.75" customHeight="1">
      <c r="A38" s="1"/>
      <c r="B38" s="4" t="s">
        <v>700</v>
      </c>
      <c r="C38" s="15"/>
      <c r="D38" s="1"/>
      <c r="E38" s="1"/>
      <c r="F38" s="1"/>
      <c r="G38" s="2">
        <v>20000.0</v>
      </c>
    </row>
    <row r="39" ht="15.75" customHeight="1">
      <c r="A39" s="1"/>
      <c r="B39" s="4" t="s">
        <v>773</v>
      </c>
      <c r="C39" s="15"/>
      <c r="D39" s="1"/>
      <c r="E39" s="1"/>
      <c r="F39" s="1"/>
      <c r="G39" s="2">
        <v>2000.0</v>
      </c>
    </row>
    <row r="40" ht="15.75" customHeight="1">
      <c r="A40" s="1"/>
      <c r="B40" s="4" t="s">
        <v>774</v>
      </c>
      <c r="C40" s="15"/>
      <c r="D40" s="1"/>
      <c r="E40" s="1"/>
      <c r="F40" s="1"/>
      <c r="G40" s="2">
        <v>12000.0</v>
      </c>
    </row>
    <row r="41" ht="15.75" customHeight="1">
      <c r="A41" s="1"/>
      <c r="B41" s="4" t="s">
        <v>775</v>
      </c>
      <c r="C41" s="15"/>
      <c r="D41" s="1"/>
      <c r="E41" s="1"/>
      <c r="F41" s="1"/>
      <c r="G41" s="2">
        <v>10000.0</v>
      </c>
    </row>
    <row r="42" ht="15.75" customHeight="1">
      <c r="A42" s="1"/>
      <c r="B42" s="4" t="s">
        <v>776</v>
      </c>
      <c r="C42" s="15"/>
      <c r="D42" s="1"/>
      <c r="E42" s="1"/>
      <c r="F42" s="1"/>
      <c r="G42" s="2">
        <v>2000.0</v>
      </c>
    </row>
    <row r="43" ht="15.75" customHeight="1">
      <c r="A43" s="1"/>
      <c r="B43" s="4" t="s">
        <v>777</v>
      </c>
      <c r="C43" s="15"/>
      <c r="D43" s="1"/>
      <c r="E43" s="1"/>
      <c r="F43" s="1"/>
      <c r="G43" s="2">
        <v>16400.0</v>
      </c>
    </row>
    <row r="44" ht="15.75" customHeight="1">
      <c r="A44" s="1"/>
      <c r="B44" s="4" t="s">
        <v>778</v>
      </c>
      <c r="C44" s="15"/>
      <c r="D44" s="1"/>
      <c r="E44" s="1"/>
      <c r="F44" s="1"/>
      <c r="G44" s="2">
        <v>10000.0</v>
      </c>
    </row>
    <row r="45" ht="15.75" customHeight="1">
      <c r="A45" s="1"/>
      <c r="B45" s="4" t="s">
        <v>779</v>
      </c>
      <c r="C45" s="15"/>
      <c r="D45" s="1"/>
      <c r="E45" s="1"/>
      <c r="F45" s="1"/>
      <c r="G45" s="2">
        <v>9231.0</v>
      </c>
    </row>
    <row r="46" ht="15.75" customHeight="1">
      <c r="A46" s="1"/>
      <c r="B46" s="4" t="s">
        <v>780</v>
      </c>
      <c r="C46" s="15"/>
      <c r="D46" s="1"/>
      <c r="E46" s="1"/>
      <c r="F46" s="1"/>
      <c r="G46" s="2">
        <v>5500.0</v>
      </c>
    </row>
    <row r="47" ht="15.75" customHeight="1">
      <c r="A47" s="1"/>
      <c r="B47" s="4" t="s">
        <v>781</v>
      </c>
      <c r="C47" s="15"/>
      <c r="D47" s="1"/>
      <c r="E47" s="1"/>
      <c r="F47" s="1"/>
      <c r="G47" s="2">
        <v>5000.0</v>
      </c>
    </row>
    <row r="48" ht="15.75" customHeight="1">
      <c r="A48" s="1"/>
      <c r="B48" s="4" t="s">
        <v>782</v>
      </c>
      <c r="C48" s="15"/>
      <c r="D48" s="1"/>
      <c r="E48" s="1"/>
      <c r="F48" s="1"/>
      <c r="G48" s="2">
        <v>2000.0</v>
      </c>
    </row>
    <row r="49" ht="15.75" customHeight="1">
      <c r="A49" s="1"/>
      <c r="B49" s="4"/>
      <c r="C49" s="15"/>
      <c r="D49" s="1"/>
      <c r="E49" s="1"/>
      <c r="F49" s="1"/>
      <c r="G49" s="2"/>
    </row>
    <row r="50" ht="15.75" customHeight="1">
      <c r="A50" s="1"/>
      <c r="B50" s="16" t="s">
        <v>43</v>
      </c>
      <c r="C50" s="10"/>
      <c r="D50" s="10"/>
      <c r="E50" s="10"/>
      <c r="F50" s="10"/>
      <c r="G50" s="17">
        <f>SUM(G26:G49)</f>
        <v>437981</v>
      </c>
    </row>
    <row r="51" ht="15.75" customHeight="1">
      <c r="A51" s="1"/>
      <c r="B51" s="1"/>
      <c r="C51" s="1"/>
      <c r="D51" s="1"/>
      <c r="E51" s="1"/>
      <c r="F51" s="1"/>
      <c r="G51" s="18" t="s">
        <v>44</v>
      </c>
    </row>
    <row r="52" ht="15.75" customHeight="1">
      <c r="A52" s="1"/>
      <c r="B52" s="19" t="s">
        <v>45</v>
      </c>
      <c r="C52" s="20"/>
      <c r="D52" s="20"/>
      <c r="E52" s="20"/>
      <c r="F52" s="20"/>
      <c r="G52" s="21">
        <f>SUM(G24,G50)</f>
        <v>1043981</v>
      </c>
    </row>
    <row r="53" ht="15.75" customHeight="1">
      <c r="A53" s="1"/>
      <c r="B53" s="4" t="s">
        <v>46</v>
      </c>
      <c r="C53" s="1"/>
      <c r="D53" s="1"/>
      <c r="E53" s="1"/>
      <c r="F53" s="1"/>
      <c r="G53" s="2"/>
    </row>
    <row r="54" ht="15.75" customHeight="1">
      <c r="A54" s="35" t="s">
        <v>783</v>
      </c>
      <c r="B54" s="36"/>
      <c r="C54" s="37"/>
      <c r="D54" s="37"/>
      <c r="E54" s="37"/>
      <c r="F54" s="37"/>
      <c r="G54" s="38">
        <f>(G13-G52)</f>
        <v>153619</v>
      </c>
    </row>
    <row r="55" ht="15.75" customHeight="1">
      <c r="A55" s="22" t="s">
        <v>254</v>
      </c>
      <c r="B55" s="1" t="s">
        <v>255</v>
      </c>
      <c r="C55" s="1"/>
      <c r="D55" s="1"/>
      <c r="E55" s="1"/>
      <c r="F55" s="1"/>
      <c r="G55" s="2">
        <v>0.0</v>
      </c>
    </row>
    <row r="56" ht="15.75" customHeight="1">
      <c r="A56" s="22"/>
      <c r="B56" s="1"/>
      <c r="C56" s="1"/>
      <c r="D56" s="1"/>
      <c r="E56" s="1"/>
      <c r="F56" s="1"/>
      <c r="G56" s="2"/>
    </row>
    <row r="57" ht="15.75" customHeight="1">
      <c r="A57" s="22"/>
      <c r="B57" s="1"/>
      <c r="C57" s="1"/>
      <c r="D57" s="1"/>
      <c r="E57" s="1"/>
      <c r="F57" s="1"/>
      <c r="G57" s="2"/>
    </row>
    <row r="58" ht="15.75" customHeight="1">
      <c r="A58" s="22"/>
      <c r="B58" s="1"/>
      <c r="C58" s="1"/>
      <c r="D58" s="1"/>
      <c r="E58" s="1"/>
      <c r="F58" s="1"/>
      <c r="G58" s="2"/>
    </row>
    <row r="59" ht="15.75" customHeight="1">
      <c r="A59" s="1"/>
      <c r="B59" s="27" t="s">
        <v>51</v>
      </c>
      <c r="C59" s="27"/>
      <c r="D59" s="27"/>
      <c r="E59" s="27"/>
      <c r="F59" s="27"/>
      <c r="G59" s="28">
        <v>0.0</v>
      </c>
    </row>
    <row r="60" ht="15.75" customHeight="1">
      <c r="A60" s="1"/>
      <c r="B60" s="1"/>
      <c r="C60" s="1"/>
      <c r="D60" s="1"/>
      <c r="E60" s="1"/>
      <c r="F60" s="1"/>
      <c r="G60" s="2"/>
    </row>
    <row r="61" ht="15.75" customHeight="1">
      <c r="A61" s="44"/>
      <c r="B61" s="45" t="s">
        <v>784</v>
      </c>
      <c r="C61" s="46"/>
      <c r="D61" s="46"/>
      <c r="E61" s="46"/>
      <c r="F61" s="46"/>
      <c r="G61" s="47">
        <f>SUM(G4+G54)</f>
        <v>18188405</v>
      </c>
    </row>
    <row r="62" ht="15.75" customHeight="1">
      <c r="A62" s="1"/>
      <c r="B62" s="1"/>
      <c r="C62" s="1"/>
      <c r="D62" s="1"/>
      <c r="E62" s="1"/>
      <c r="F62" s="1"/>
      <c r="G62" s="2"/>
    </row>
    <row r="63" ht="15.75" customHeight="1">
      <c r="A63" s="1"/>
      <c r="B63" s="32" t="s">
        <v>785</v>
      </c>
    </row>
    <row r="64" ht="15.75" customHeight="1">
      <c r="A64" s="1"/>
      <c r="B64" s="1"/>
      <c r="C64" s="1" t="s">
        <v>113</v>
      </c>
      <c r="D64" s="1"/>
      <c r="E64" s="1"/>
      <c r="F64" s="1"/>
      <c r="G64" s="2">
        <v>0.0</v>
      </c>
    </row>
    <row r="65" ht="15.75" customHeight="1">
      <c r="A65" s="1"/>
      <c r="B65" s="1"/>
      <c r="C65" s="1" t="s">
        <v>114</v>
      </c>
      <c r="D65" s="1"/>
      <c r="E65" s="1"/>
      <c r="F65" s="1"/>
      <c r="G65" s="2">
        <v>97600.0</v>
      </c>
    </row>
    <row r="66" ht="15.75" customHeight="1">
      <c r="A66" s="1"/>
      <c r="B66" s="1"/>
      <c r="C66" s="43" t="s">
        <v>115</v>
      </c>
      <c r="D66" s="1"/>
      <c r="E66" s="1"/>
      <c r="F66" s="1"/>
      <c r="G66" s="2">
        <f>SUM(G64,G65)</f>
        <v>97600</v>
      </c>
    </row>
    <row r="67" ht="15.75" customHeight="1">
      <c r="A67" s="1"/>
      <c r="B67" s="1"/>
      <c r="C67" s="43"/>
      <c r="D67" s="1"/>
      <c r="E67" s="1"/>
      <c r="F67" s="1"/>
      <c r="G67" s="2"/>
    </row>
    <row r="68" ht="15.75" customHeight="1">
      <c r="A68" s="1"/>
      <c r="B68" s="1" t="s">
        <v>786</v>
      </c>
      <c r="C68" s="43"/>
      <c r="D68" s="1"/>
      <c r="E68" s="1"/>
      <c r="F68" s="1"/>
      <c r="G68" s="2"/>
    </row>
    <row r="69" ht="15.75" customHeight="1">
      <c r="A69" s="1"/>
      <c r="B69" s="1" t="s">
        <v>787</v>
      </c>
      <c r="C69" s="43"/>
      <c r="D69" s="1"/>
      <c r="E69" s="1"/>
      <c r="F69" s="1"/>
      <c r="G69" s="2"/>
    </row>
    <row r="70" ht="15.75" customHeight="1">
      <c r="A70" s="1"/>
      <c r="B70" s="1" t="s">
        <v>788</v>
      </c>
      <c r="C70" s="43"/>
      <c r="D70" s="1"/>
      <c r="E70" s="1"/>
      <c r="F70" s="1"/>
      <c r="G70" s="1"/>
    </row>
    <row r="71" ht="15.75" customHeight="1">
      <c r="A71" s="1"/>
      <c r="B71" s="33" t="s">
        <v>789</v>
      </c>
      <c r="C71" s="1"/>
      <c r="D71" s="1"/>
      <c r="E71" s="1"/>
      <c r="F71" s="1"/>
      <c r="G71" s="2"/>
    </row>
    <row r="72" ht="15.75" customHeight="1">
      <c r="A72" s="1"/>
      <c r="B72" s="4"/>
      <c r="C72" s="1"/>
      <c r="D72" s="1"/>
      <c r="E72" s="1"/>
      <c r="F72" s="1"/>
      <c r="G72" s="2"/>
    </row>
    <row r="73" ht="15.75" customHeight="1">
      <c r="A73" s="1"/>
      <c r="B73" s="55" t="s">
        <v>531</v>
      </c>
      <c r="C73" s="56"/>
      <c r="D73" s="56"/>
      <c r="E73" s="56"/>
      <c r="F73" s="1"/>
      <c r="G73" s="2"/>
    </row>
    <row r="74" ht="15.75" customHeight="1">
      <c r="A74" s="1"/>
      <c r="B74" s="55"/>
      <c r="C74" s="56"/>
      <c r="D74" s="56"/>
      <c r="E74" s="56"/>
      <c r="F74" s="1"/>
      <c r="G74" s="2"/>
    </row>
    <row r="75" ht="15.75" customHeight="1">
      <c r="A75" s="1"/>
      <c r="B75" s="55" t="s">
        <v>790</v>
      </c>
      <c r="C75" s="56"/>
      <c r="D75" s="56"/>
      <c r="E75" s="56"/>
      <c r="F75" s="1"/>
      <c r="G75" s="2"/>
    </row>
    <row r="76" ht="15.75" customHeight="1">
      <c r="A76" s="1"/>
      <c r="B76" s="55"/>
      <c r="C76" s="56"/>
      <c r="D76" s="56"/>
      <c r="E76" s="56"/>
      <c r="F76" s="1"/>
      <c r="G76" s="2"/>
    </row>
    <row r="77" ht="15.75" customHeight="1">
      <c r="A77" s="1"/>
      <c r="B77" s="55" t="s">
        <v>681</v>
      </c>
      <c r="F77" s="1"/>
      <c r="G77" s="2"/>
    </row>
    <row r="78" ht="15.75" customHeight="1">
      <c r="A78" s="1"/>
      <c r="B78" s="55"/>
      <c r="C78" s="55"/>
      <c r="D78" s="55"/>
      <c r="E78" s="55"/>
      <c r="F78" s="1"/>
      <c r="G78" s="2"/>
    </row>
    <row r="79" ht="15.75" customHeight="1">
      <c r="A79" s="1"/>
      <c r="B79" s="55" t="s">
        <v>791</v>
      </c>
      <c r="C79" s="56"/>
      <c r="D79" s="57"/>
      <c r="E79" s="56"/>
      <c r="F79" s="1"/>
      <c r="G79" s="2"/>
    </row>
    <row r="80" ht="15.75" customHeight="1">
      <c r="A80" s="1"/>
      <c r="B80" s="55"/>
      <c r="C80" s="56"/>
      <c r="D80" s="57"/>
      <c r="E80" s="56"/>
      <c r="F80" s="1"/>
      <c r="G80" s="2"/>
    </row>
    <row r="81" ht="15.75" customHeight="1">
      <c r="A81" s="1"/>
      <c r="B81" s="55" t="s">
        <v>535</v>
      </c>
      <c r="C81" s="56"/>
      <c r="D81" s="57"/>
      <c r="E81" s="56"/>
      <c r="F81" s="1"/>
      <c r="G81" s="2"/>
    </row>
    <row r="82" ht="15.75" customHeight="1">
      <c r="A82" s="1"/>
      <c r="B82" s="55"/>
      <c r="C82" s="56"/>
      <c r="D82" s="57"/>
      <c r="E82" s="56"/>
      <c r="F82" s="1"/>
      <c r="G82" s="2"/>
    </row>
    <row r="83" ht="15.75" customHeight="1">
      <c r="B83" s="55" t="s">
        <v>536</v>
      </c>
      <c r="C83" s="56"/>
      <c r="D83" s="57"/>
      <c r="E83" s="57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63:G63"/>
    <mergeCell ref="B77:E77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2">
      <c r="A2" s="1" t="s">
        <v>721</v>
      </c>
      <c r="B2" s="3" t="s">
        <v>792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793</v>
      </c>
      <c r="C4" s="1"/>
      <c r="D4" s="1"/>
      <c r="E4" s="1"/>
      <c r="F4" s="1"/>
      <c r="G4" s="2">
        <v>1.8188405E7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794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134300.0</v>
      </c>
      <c r="G7" s="7">
        <v>1000.0</v>
      </c>
    </row>
    <row r="8">
      <c r="A8" s="1"/>
      <c r="B8" s="4" t="s">
        <v>64</v>
      </c>
      <c r="C8" s="1"/>
      <c r="D8" s="1"/>
      <c r="E8" s="1"/>
      <c r="F8" s="2">
        <v>227600.0</v>
      </c>
      <c r="G8" s="7">
        <v>6000.0</v>
      </c>
    </row>
    <row r="9">
      <c r="A9" s="1"/>
      <c r="B9" s="4" t="s">
        <v>65</v>
      </c>
      <c r="C9" s="1"/>
      <c r="D9" s="1"/>
      <c r="E9" s="1"/>
      <c r="F9" s="2">
        <v>94100.0</v>
      </c>
      <c r="G9" s="7">
        <v>14000.0</v>
      </c>
    </row>
    <row r="10">
      <c r="A10" s="1"/>
      <c r="B10" s="4" t="s">
        <v>66</v>
      </c>
      <c r="C10" s="1"/>
      <c r="D10" s="1"/>
      <c r="E10" s="1"/>
      <c r="F10" s="2">
        <v>273300.0</v>
      </c>
      <c r="G10" s="8">
        <v>34000.0</v>
      </c>
    </row>
    <row r="11">
      <c r="A11" s="1"/>
      <c r="B11" s="4" t="s">
        <v>67</v>
      </c>
      <c r="C11" s="1"/>
      <c r="D11" s="49" t="s">
        <v>8</v>
      </c>
      <c r="E11" s="49"/>
      <c r="F11" s="54">
        <v>0.0</v>
      </c>
      <c r="G11" s="7">
        <v>0.0</v>
      </c>
    </row>
    <row r="12">
      <c r="A12" s="1"/>
      <c r="B12" s="4"/>
      <c r="C12" s="50" t="s">
        <v>405</v>
      </c>
      <c r="E12" s="4"/>
      <c r="F12" s="2">
        <f t="shared" ref="F12:G12" si="1">SUM(F7:F11)</f>
        <v>729300</v>
      </c>
      <c r="G12" s="7">
        <f t="shared" si="1"/>
        <v>55000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784300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795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796</v>
      </c>
      <c r="C17" s="1"/>
      <c r="D17" s="1"/>
      <c r="E17" s="1"/>
      <c r="F17" s="1"/>
      <c r="G17" s="2">
        <v>54000.0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75000.0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65000.0</v>
      </c>
    </row>
    <row r="23" ht="15.75" customHeight="1">
      <c r="A23" s="1"/>
      <c r="B23" s="4" t="s">
        <v>448</v>
      </c>
      <c r="C23" s="1"/>
      <c r="D23" s="1"/>
      <c r="E23" s="1"/>
      <c r="F23" s="1"/>
      <c r="G23" s="2">
        <v>100000.0</v>
      </c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554000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4"/>
      <c r="C26" s="15"/>
      <c r="D26" s="1"/>
      <c r="E26" s="1"/>
      <c r="F26" s="1"/>
      <c r="G26" s="2"/>
    </row>
    <row r="27" ht="15.75" customHeight="1">
      <c r="A27" s="1"/>
      <c r="B27" s="4" t="s">
        <v>797</v>
      </c>
      <c r="C27" s="15"/>
      <c r="D27" s="1"/>
      <c r="E27" s="1"/>
      <c r="F27" s="1"/>
      <c r="G27" s="2">
        <v>40000.0</v>
      </c>
    </row>
    <row r="28" ht="15.75" customHeight="1">
      <c r="A28" s="1"/>
      <c r="B28" s="4" t="s">
        <v>798</v>
      </c>
      <c r="C28" s="15"/>
      <c r="D28" s="1"/>
      <c r="E28" s="1"/>
      <c r="F28" s="1"/>
      <c r="G28" s="2">
        <v>6000.0</v>
      </c>
    </row>
    <row r="29" ht="15.75" customHeight="1">
      <c r="A29" s="1"/>
      <c r="B29" s="4" t="s">
        <v>799</v>
      </c>
      <c r="C29" s="15"/>
      <c r="D29" s="1"/>
      <c r="E29" s="1"/>
      <c r="F29" s="1"/>
      <c r="G29" s="2">
        <v>2000.0</v>
      </c>
    </row>
    <row r="30" ht="15.75" customHeight="1">
      <c r="A30" s="1"/>
      <c r="B30" s="4" t="s">
        <v>800</v>
      </c>
      <c r="C30" s="15"/>
      <c r="D30" s="1"/>
      <c r="E30" s="1"/>
      <c r="F30" s="1"/>
      <c r="G30" s="2">
        <v>65250.0</v>
      </c>
    </row>
    <row r="31" ht="15.75" customHeight="1">
      <c r="A31" s="1"/>
      <c r="B31" s="4" t="s">
        <v>801</v>
      </c>
      <c r="C31" s="15"/>
      <c r="D31" s="1"/>
      <c r="E31" s="1"/>
      <c r="F31" s="1"/>
      <c r="G31" s="2"/>
    </row>
    <row r="32" ht="15.75" customHeight="1">
      <c r="A32" s="1"/>
      <c r="B32" s="4" t="s">
        <v>802</v>
      </c>
      <c r="C32" s="15"/>
      <c r="D32" s="1"/>
      <c r="E32" s="1"/>
      <c r="F32" s="1"/>
      <c r="G32" s="2">
        <v>250440.0</v>
      </c>
    </row>
    <row r="33" ht="15.75" customHeight="1">
      <c r="A33" s="1"/>
      <c r="B33" s="4" t="s">
        <v>803</v>
      </c>
      <c r="C33" s="15"/>
      <c r="D33" s="1"/>
      <c r="E33" s="1"/>
      <c r="F33" s="1"/>
      <c r="G33" s="2">
        <v>82925.0</v>
      </c>
    </row>
    <row r="34" ht="15.75" customHeight="1">
      <c r="A34" s="1"/>
      <c r="B34" s="4" t="s">
        <v>804</v>
      </c>
      <c r="C34" s="15"/>
      <c r="D34" s="1"/>
      <c r="E34" s="1"/>
      <c r="F34" s="1"/>
      <c r="G34" s="2">
        <v>50000.0</v>
      </c>
    </row>
    <row r="35" ht="15.75" customHeight="1">
      <c r="A35" s="1"/>
      <c r="B35" s="4" t="s">
        <v>805</v>
      </c>
      <c r="C35" s="15"/>
      <c r="D35" s="1"/>
      <c r="E35" s="1"/>
      <c r="F35" s="1"/>
      <c r="G35" s="2">
        <v>15000.0</v>
      </c>
    </row>
    <row r="36" ht="15.75" customHeight="1">
      <c r="A36" s="1"/>
      <c r="B36" s="4" t="s">
        <v>806</v>
      </c>
      <c r="C36" s="15"/>
      <c r="D36" s="1"/>
      <c r="E36" s="1"/>
      <c r="F36" s="1"/>
      <c r="G36" s="2">
        <v>12000.0</v>
      </c>
    </row>
    <row r="37" ht="15.75" customHeight="1">
      <c r="A37" s="1"/>
      <c r="B37" s="4" t="s">
        <v>807</v>
      </c>
      <c r="C37" s="15"/>
      <c r="D37" s="1"/>
      <c r="E37" s="1"/>
      <c r="F37" s="1"/>
      <c r="G37" s="2">
        <v>2000.0</v>
      </c>
    </row>
    <row r="38" ht="15.75" customHeight="1">
      <c r="A38" s="1"/>
      <c r="B38" s="4" t="s">
        <v>808</v>
      </c>
      <c r="C38" s="15"/>
      <c r="D38" s="1"/>
      <c r="E38" s="1"/>
      <c r="F38" s="1"/>
      <c r="G38" s="2">
        <v>150000.0</v>
      </c>
    </row>
    <row r="39" ht="15.75" customHeight="1">
      <c r="A39" s="1"/>
      <c r="B39" s="4" t="s">
        <v>809</v>
      </c>
      <c r="C39" s="15"/>
      <c r="D39" s="1"/>
      <c r="E39" s="1"/>
      <c r="F39" s="1"/>
      <c r="G39" s="2">
        <v>10000.0</v>
      </c>
    </row>
    <row r="40" ht="15.75" customHeight="1">
      <c r="A40" s="1"/>
      <c r="B40" s="4" t="s">
        <v>810</v>
      </c>
      <c r="C40" s="15"/>
      <c r="D40" s="1"/>
      <c r="E40" s="1"/>
      <c r="F40" s="1"/>
      <c r="G40" s="2">
        <v>6000.0</v>
      </c>
    </row>
    <row r="41" ht="15.75" customHeight="1">
      <c r="A41" s="1"/>
      <c r="B41" s="4" t="s">
        <v>811</v>
      </c>
      <c r="C41" s="15"/>
      <c r="D41" s="1"/>
      <c r="E41" s="1"/>
      <c r="F41" s="1"/>
      <c r="G41" s="2">
        <v>12000.0</v>
      </c>
    </row>
    <row r="42" ht="15.75" customHeight="1">
      <c r="A42" s="1"/>
      <c r="B42" s="4" t="s">
        <v>812</v>
      </c>
      <c r="C42" s="15"/>
      <c r="D42" s="1"/>
      <c r="E42" s="1"/>
      <c r="F42" s="1"/>
      <c r="G42" s="2">
        <v>6500.0</v>
      </c>
    </row>
    <row r="43" ht="15.75" customHeight="1">
      <c r="A43" s="1"/>
      <c r="B43" s="4" t="s">
        <v>813</v>
      </c>
      <c r="C43" s="15"/>
      <c r="D43" s="1"/>
      <c r="E43" s="1"/>
      <c r="F43" s="1"/>
      <c r="G43" s="2">
        <v>2000.0</v>
      </c>
    </row>
    <row r="44" ht="15.75" customHeight="1">
      <c r="A44" s="1"/>
      <c r="B44" s="4" t="s">
        <v>507</v>
      </c>
      <c r="C44" s="15"/>
      <c r="D44" s="1"/>
      <c r="E44" s="1"/>
      <c r="F44" s="1"/>
      <c r="G44" s="2">
        <v>1000.0</v>
      </c>
    </row>
    <row r="45" ht="15.75" customHeight="1">
      <c r="A45" s="1"/>
      <c r="B45" s="4" t="s">
        <v>814</v>
      </c>
      <c r="C45" s="15"/>
      <c r="D45" s="1"/>
      <c r="E45" s="1"/>
      <c r="F45" s="1"/>
      <c r="G45" s="2">
        <v>2000.0</v>
      </c>
    </row>
    <row r="46" ht="15.75" customHeight="1">
      <c r="A46" s="1"/>
      <c r="B46" s="4"/>
      <c r="C46" s="15"/>
      <c r="D46" s="1"/>
      <c r="E46" s="1"/>
      <c r="F46" s="1"/>
      <c r="G46" s="2"/>
    </row>
    <row r="47" ht="15.75" customHeight="1">
      <c r="A47" s="1"/>
      <c r="B47" s="4"/>
      <c r="C47" s="15"/>
      <c r="D47" s="1"/>
      <c r="E47" s="1"/>
      <c r="F47" s="1"/>
      <c r="G47" s="2"/>
    </row>
    <row r="48" ht="15.75" customHeight="1">
      <c r="A48" s="1"/>
      <c r="B48" s="4"/>
      <c r="C48" s="15"/>
      <c r="D48" s="1"/>
      <c r="E48" s="1"/>
      <c r="F48" s="1"/>
      <c r="G48" s="2"/>
    </row>
    <row r="49" ht="15.75" customHeight="1">
      <c r="A49" s="1"/>
      <c r="B49" s="4"/>
      <c r="C49" s="15"/>
      <c r="D49" s="1"/>
      <c r="E49" s="1"/>
      <c r="F49" s="1"/>
      <c r="G49" s="2"/>
    </row>
    <row r="50" ht="15.75" customHeight="1">
      <c r="A50" s="1"/>
      <c r="B50" s="4"/>
      <c r="C50" s="15"/>
      <c r="D50" s="1"/>
      <c r="E50" s="1"/>
      <c r="F50" s="1"/>
      <c r="G50" s="2"/>
    </row>
    <row r="51" ht="15.75" customHeight="1">
      <c r="A51" s="1"/>
      <c r="B51" s="16" t="s">
        <v>43</v>
      </c>
      <c r="C51" s="10"/>
      <c r="D51" s="10"/>
      <c r="E51" s="10"/>
      <c r="F51" s="10"/>
      <c r="G51" s="17">
        <f>SUM(G26:G50)</f>
        <v>715115</v>
      </c>
    </row>
    <row r="52" ht="15.75" customHeight="1">
      <c r="A52" s="1"/>
      <c r="B52" s="1"/>
      <c r="C52" s="1"/>
      <c r="D52" s="1"/>
      <c r="E52" s="1"/>
      <c r="F52" s="1"/>
      <c r="G52" s="18" t="s">
        <v>44</v>
      </c>
    </row>
    <row r="53" ht="15.75" customHeight="1">
      <c r="A53" s="1"/>
      <c r="B53" s="19" t="s">
        <v>45</v>
      </c>
      <c r="C53" s="20"/>
      <c r="D53" s="20"/>
      <c r="E53" s="20"/>
      <c r="F53" s="20"/>
      <c r="G53" s="21">
        <f>SUM(G24,G51)</f>
        <v>1269115</v>
      </c>
    </row>
    <row r="54" ht="15.75" customHeight="1">
      <c r="A54" s="1"/>
      <c r="B54" s="4" t="s">
        <v>46</v>
      </c>
      <c r="C54" s="1"/>
      <c r="D54" s="1"/>
      <c r="E54" s="1"/>
      <c r="F54" s="1"/>
      <c r="G54" s="2"/>
    </row>
    <row r="55" ht="15.75" customHeight="1">
      <c r="A55" s="35" t="s">
        <v>815</v>
      </c>
      <c r="B55" s="36"/>
      <c r="C55" s="37"/>
      <c r="D55" s="37"/>
      <c r="E55" s="37"/>
      <c r="F55" s="37"/>
      <c r="G55" s="17">
        <f>SUM(G30:G54)</f>
        <v>2651345</v>
      </c>
    </row>
    <row r="56" ht="15.75" customHeight="1">
      <c r="A56" s="22" t="s">
        <v>254</v>
      </c>
      <c r="B56" s="1" t="s">
        <v>255</v>
      </c>
      <c r="C56" s="1"/>
      <c r="D56" s="1"/>
      <c r="E56" s="1"/>
      <c r="F56" s="1"/>
      <c r="G56" s="2">
        <v>0.0</v>
      </c>
    </row>
    <row r="57" ht="15.75" customHeight="1">
      <c r="A57" s="22"/>
      <c r="B57" s="1"/>
      <c r="C57" s="1"/>
      <c r="D57" s="1"/>
      <c r="E57" s="1"/>
      <c r="F57" s="1"/>
      <c r="G57" s="2"/>
    </row>
    <row r="58" ht="15.75" customHeight="1">
      <c r="A58" s="22"/>
      <c r="B58" s="1"/>
      <c r="C58" s="1"/>
      <c r="D58" s="1"/>
      <c r="E58" s="1"/>
      <c r="F58" s="1"/>
      <c r="G58" s="2"/>
    </row>
    <row r="59" ht="15.75" customHeight="1">
      <c r="A59" s="22"/>
      <c r="B59" s="1"/>
      <c r="C59" s="1"/>
      <c r="D59" s="1"/>
      <c r="E59" s="1"/>
      <c r="F59" s="1"/>
      <c r="G59" s="2"/>
    </row>
    <row r="60" ht="15.75" customHeight="1">
      <c r="A60" s="1"/>
      <c r="B60" s="27" t="s">
        <v>51</v>
      </c>
      <c r="C60" s="27"/>
      <c r="D60" s="27"/>
      <c r="E60" s="27"/>
      <c r="F60" s="27"/>
      <c r="G60" s="28">
        <v>0.0</v>
      </c>
    </row>
    <row r="61" ht="15.75" customHeight="1">
      <c r="A61" s="1"/>
      <c r="B61" s="1"/>
      <c r="C61" s="1"/>
      <c r="D61" s="1"/>
      <c r="E61" s="1"/>
      <c r="F61" s="1"/>
      <c r="G61" s="2"/>
    </row>
    <row r="62" ht="15.75" customHeight="1">
      <c r="A62" s="44"/>
      <c r="B62" s="45" t="s">
        <v>816</v>
      </c>
      <c r="C62" s="46"/>
      <c r="D62" s="46"/>
      <c r="E62" s="46"/>
      <c r="F62" s="46"/>
      <c r="G62" s="47">
        <f>SUM(G4+G55)</f>
        <v>20839750</v>
      </c>
    </row>
    <row r="63" ht="15.75" customHeight="1">
      <c r="A63" s="1"/>
      <c r="B63" s="1"/>
      <c r="C63" s="1"/>
      <c r="D63" s="1"/>
      <c r="E63" s="1"/>
      <c r="F63" s="1"/>
      <c r="G63" s="2"/>
    </row>
    <row r="64" ht="15.75" customHeight="1">
      <c r="A64" s="1"/>
      <c r="B64" s="32" t="s">
        <v>817</v>
      </c>
    </row>
    <row r="65" ht="15.75" customHeight="1">
      <c r="A65" s="1"/>
      <c r="B65" s="1"/>
      <c r="C65" s="1" t="s">
        <v>113</v>
      </c>
      <c r="D65" s="1"/>
      <c r="E65" s="1"/>
      <c r="F65" s="1"/>
      <c r="G65" s="2">
        <v>0.0</v>
      </c>
    </row>
    <row r="66" ht="15.75" customHeight="1">
      <c r="A66" s="1"/>
      <c r="B66" s="1"/>
      <c r="C66" s="1" t="s">
        <v>114</v>
      </c>
      <c r="D66" s="1"/>
      <c r="E66" s="1"/>
      <c r="F66" s="1"/>
      <c r="G66" s="2">
        <v>68000.0</v>
      </c>
    </row>
    <row r="67" ht="15.75" customHeight="1">
      <c r="A67" s="1"/>
      <c r="B67" s="1"/>
      <c r="C67" s="43" t="s">
        <v>115</v>
      </c>
      <c r="D67" s="1"/>
      <c r="E67" s="1"/>
      <c r="F67" s="1"/>
      <c r="G67" s="2">
        <f>SUM(G65,G66)</f>
        <v>68000</v>
      </c>
    </row>
    <row r="68" ht="15.75" customHeight="1">
      <c r="A68" s="1"/>
      <c r="B68" s="1"/>
      <c r="C68" s="43"/>
      <c r="D68" s="1"/>
      <c r="E68" s="1"/>
      <c r="F68" s="1"/>
      <c r="G68" s="2"/>
    </row>
    <row r="69" ht="15.75" customHeight="1">
      <c r="A69" s="1"/>
      <c r="B69" s="1" t="s">
        <v>786</v>
      </c>
      <c r="C69" s="43"/>
      <c r="D69" s="1"/>
      <c r="E69" s="1"/>
      <c r="F69" s="1"/>
      <c r="G69" s="2"/>
    </row>
    <row r="70" ht="15.75" customHeight="1">
      <c r="A70" s="1"/>
      <c r="B70" s="1" t="s">
        <v>787</v>
      </c>
      <c r="C70" s="43"/>
      <c r="D70" s="1"/>
      <c r="E70" s="1"/>
      <c r="F70" s="1"/>
      <c r="G70" s="2"/>
    </row>
    <row r="71" ht="15.75" customHeight="1">
      <c r="A71" s="1"/>
      <c r="B71" s="1" t="s">
        <v>788</v>
      </c>
      <c r="C71" s="43"/>
      <c r="D71" s="1"/>
      <c r="E71" s="1"/>
      <c r="F71" s="1"/>
      <c r="G71" s="1"/>
    </row>
    <row r="72" ht="15.75" customHeight="1">
      <c r="A72" s="1"/>
      <c r="B72" s="33" t="s">
        <v>818</v>
      </c>
      <c r="C72" s="1"/>
      <c r="D72" s="1"/>
      <c r="E72" s="1"/>
      <c r="F72" s="1"/>
      <c r="G72" s="2"/>
    </row>
    <row r="73" ht="15.75" customHeight="1">
      <c r="A73" s="1"/>
      <c r="B73" s="4"/>
      <c r="C73" s="1"/>
      <c r="D73" s="1"/>
      <c r="E73" s="1"/>
      <c r="F73" s="1"/>
      <c r="G73" s="2"/>
    </row>
    <row r="74" ht="15.75" customHeight="1">
      <c r="A74" s="1"/>
      <c r="B74" s="55" t="s">
        <v>531</v>
      </c>
      <c r="C74" s="56"/>
      <c r="D74" s="56"/>
      <c r="E74" s="56"/>
      <c r="F74" s="1"/>
      <c r="G74" s="2"/>
    </row>
    <row r="75" ht="15.75" customHeight="1">
      <c r="A75" s="1"/>
      <c r="B75" s="55"/>
      <c r="C75" s="56"/>
      <c r="D75" s="56"/>
      <c r="E75" s="56"/>
      <c r="F75" s="1"/>
      <c r="G75" s="2"/>
    </row>
    <row r="76" ht="15.75" customHeight="1">
      <c r="A76" s="1"/>
      <c r="B76" s="55" t="s">
        <v>819</v>
      </c>
      <c r="C76" s="56"/>
      <c r="D76" s="56"/>
      <c r="E76" s="56"/>
      <c r="F76" s="1"/>
      <c r="G76" s="2"/>
    </row>
    <row r="77" ht="15.75" customHeight="1">
      <c r="A77" s="1"/>
      <c r="B77" s="55"/>
      <c r="C77" s="56"/>
      <c r="D77" s="56"/>
      <c r="E77" s="56"/>
      <c r="F77" s="1"/>
      <c r="G77" s="2"/>
    </row>
    <row r="78" ht="15.75" customHeight="1">
      <c r="A78" s="1"/>
      <c r="B78" s="55" t="s">
        <v>681</v>
      </c>
      <c r="F78" s="1"/>
      <c r="G78" s="2"/>
    </row>
    <row r="79" ht="15.75" customHeight="1">
      <c r="A79" s="1"/>
      <c r="B79" s="55"/>
      <c r="C79" s="55"/>
      <c r="D79" s="55"/>
      <c r="E79" s="55"/>
      <c r="F79" s="1"/>
      <c r="G79" s="2"/>
    </row>
    <row r="80" ht="15.75" customHeight="1">
      <c r="A80" s="1"/>
      <c r="B80" s="55" t="s">
        <v>820</v>
      </c>
      <c r="C80" s="56"/>
      <c r="D80" s="57"/>
      <c r="E80" s="56"/>
      <c r="F80" s="1"/>
      <c r="G80" s="2"/>
    </row>
    <row r="81" ht="15.75" customHeight="1">
      <c r="A81" s="1"/>
      <c r="B81" s="55"/>
      <c r="C81" s="56"/>
      <c r="D81" s="57"/>
      <c r="E81" s="56"/>
      <c r="F81" s="1"/>
      <c r="G81" s="2"/>
    </row>
    <row r="82" ht="15.75" customHeight="1">
      <c r="A82" s="1"/>
      <c r="B82" s="55" t="s">
        <v>535</v>
      </c>
      <c r="C82" s="56"/>
      <c r="D82" s="57"/>
      <c r="E82" s="56"/>
      <c r="F82" s="1"/>
      <c r="G82" s="2"/>
    </row>
    <row r="83" ht="15.75" customHeight="1">
      <c r="A83" s="1"/>
      <c r="B83" s="55"/>
      <c r="C83" s="56"/>
      <c r="D83" s="57"/>
      <c r="E83" s="56"/>
      <c r="F83" s="1"/>
      <c r="G83" s="2"/>
    </row>
    <row r="84" ht="15.75" customHeight="1">
      <c r="B84" s="55" t="s">
        <v>536</v>
      </c>
      <c r="C84" s="56"/>
      <c r="D84" s="57"/>
      <c r="E84" s="57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64:G64"/>
    <mergeCell ref="B78:E78"/>
  </mergeCell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3.14"/>
    <col customWidth="1" min="7" max="7" width="16.86"/>
    <col customWidth="1" min="8" max="26" width="10.71"/>
  </cols>
  <sheetData>
    <row r="2">
      <c r="A2" s="1" t="s">
        <v>721</v>
      </c>
      <c r="B2" s="3" t="s">
        <v>821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822</v>
      </c>
      <c r="C4" s="1"/>
      <c r="D4" s="1"/>
      <c r="E4" s="1"/>
      <c r="F4" s="1"/>
      <c r="G4" s="2">
        <v>2.083975E7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823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359500.0</v>
      </c>
      <c r="G7" s="7">
        <v>96000.0</v>
      </c>
    </row>
    <row r="8">
      <c r="A8" s="1"/>
      <c r="B8" s="4" t="s">
        <v>64</v>
      </c>
      <c r="C8" s="1"/>
      <c r="D8" s="1"/>
      <c r="E8" s="1"/>
      <c r="F8" s="2">
        <v>467300.0</v>
      </c>
      <c r="G8" s="7">
        <v>202000.0</v>
      </c>
    </row>
    <row r="9">
      <c r="A9" s="1"/>
      <c r="B9" s="4" t="s">
        <v>65</v>
      </c>
      <c r="C9" s="1"/>
      <c r="D9" s="1"/>
      <c r="E9" s="1"/>
      <c r="F9" s="2">
        <v>324800.0</v>
      </c>
      <c r="G9" s="7">
        <v>256000.0</v>
      </c>
    </row>
    <row r="10">
      <c r="A10" s="1"/>
      <c r="B10" s="4" t="s">
        <v>66</v>
      </c>
      <c r="C10" s="1"/>
      <c r="D10" s="1"/>
      <c r="E10" s="1"/>
      <c r="F10" s="2">
        <v>610100.0</v>
      </c>
      <c r="G10" s="8">
        <v>247000.0</v>
      </c>
    </row>
    <row r="11">
      <c r="A11" s="1"/>
      <c r="B11" s="4" t="s">
        <v>67</v>
      </c>
      <c r="C11" s="1"/>
      <c r="D11" s="49" t="s">
        <v>8</v>
      </c>
      <c r="E11" s="49"/>
      <c r="F11" s="54">
        <v>246400.0</v>
      </c>
      <c r="G11" s="7">
        <v>41000.0</v>
      </c>
    </row>
    <row r="12">
      <c r="A12" s="1"/>
      <c r="B12" s="4"/>
      <c r="C12" s="50" t="s">
        <v>405</v>
      </c>
      <c r="E12" s="4"/>
      <c r="F12" s="2">
        <f t="shared" ref="F12:G12" si="1">SUM(F7:F11)</f>
        <v>2008100</v>
      </c>
      <c r="G12" s="7">
        <f t="shared" si="1"/>
        <v>842000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2850100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824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825</v>
      </c>
      <c r="C17" s="1"/>
      <c r="D17" s="1"/>
      <c r="E17" s="1"/>
      <c r="F17" s="1"/>
      <c r="G17" s="2">
        <v>66000.0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75000.0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65000.0</v>
      </c>
    </row>
    <row r="23" ht="15.75" customHeight="1">
      <c r="A23" s="1"/>
      <c r="B23" s="4" t="s">
        <v>448</v>
      </c>
      <c r="C23" s="1"/>
      <c r="D23" s="1"/>
      <c r="E23" s="1"/>
      <c r="F23" s="1"/>
      <c r="G23" s="2">
        <v>100000.0</v>
      </c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566000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4"/>
      <c r="C26" s="15"/>
      <c r="D26" s="1"/>
      <c r="E26" s="1"/>
      <c r="F26" s="1"/>
      <c r="G26" s="2"/>
    </row>
    <row r="27" ht="15.75" customHeight="1">
      <c r="A27" s="1"/>
      <c r="B27" s="4" t="s">
        <v>826</v>
      </c>
      <c r="C27" s="15"/>
      <c r="D27" s="1"/>
      <c r="E27" s="1"/>
      <c r="F27" s="1"/>
      <c r="G27" s="2">
        <v>6000.0</v>
      </c>
    </row>
    <row r="28" ht="15.75" customHeight="1">
      <c r="A28" s="1"/>
      <c r="B28" s="4" t="s">
        <v>827</v>
      </c>
      <c r="C28" s="15"/>
      <c r="D28" s="1"/>
      <c r="E28" s="1"/>
      <c r="F28" s="1"/>
      <c r="G28" s="2">
        <v>2000.0</v>
      </c>
    </row>
    <row r="29" ht="15.75" customHeight="1">
      <c r="A29" s="1"/>
      <c r="B29" s="4" t="s">
        <v>828</v>
      </c>
      <c r="C29" s="15"/>
      <c r="D29" s="1"/>
      <c r="E29" s="1"/>
      <c r="F29" s="1"/>
      <c r="G29" s="2">
        <v>3500.0</v>
      </c>
    </row>
    <row r="30" ht="15.75" customHeight="1">
      <c r="A30" s="1"/>
      <c r="B30" s="4" t="s">
        <v>829</v>
      </c>
      <c r="C30" s="15"/>
      <c r="D30" s="1"/>
      <c r="E30" s="1"/>
      <c r="F30" s="1"/>
      <c r="G30" s="2">
        <v>2000.0</v>
      </c>
    </row>
    <row r="31" ht="15.75" customHeight="1">
      <c r="A31" s="1"/>
      <c r="B31" s="4" t="s">
        <v>830</v>
      </c>
      <c r="C31" s="15"/>
      <c r="D31" s="1"/>
      <c r="E31" s="1"/>
      <c r="F31" s="1"/>
      <c r="G31" s="2">
        <v>5000.0</v>
      </c>
    </row>
    <row r="32" ht="15.75" customHeight="1">
      <c r="A32" s="1"/>
      <c r="B32" s="4" t="s">
        <v>831</v>
      </c>
      <c r="C32" s="15"/>
      <c r="D32" s="1"/>
      <c r="E32" s="1"/>
      <c r="F32" s="1"/>
      <c r="G32" s="2">
        <v>28000.0</v>
      </c>
    </row>
    <row r="33" ht="15.75" customHeight="1">
      <c r="A33" s="1"/>
      <c r="B33" s="4" t="s">
        <v>832</v>
      </c>
      <c r="C33" s="15"/>
      <c r="D33" s="1"/>
      <c r="E33" s="1"/>
      <c r="F33" s="1"/>
      <c r="G33" s="2">
        <v>100000.0</v>
      </c>
    </row>
    <row r="34" ht="15.75" customHeight="1">
      <c r="A34" s="1"/>
      <c r="B34" s="4" t="s">
        <v>833</v>
      </c>
      <c r="C34" s="15"/>
      <c r="D34" s="1"/>
      <c r="E34" s="1"/>
      <c r="F34" s="1"/>
      <c r="G34" s="2">
        <v>2500.0</v>
      </c>
    </row>
    <row r="35" ht="15.75" customHeight="1">
      <c r="A35" s="1"/>
      <c r="B35" s="4" t="s">
        <v>652</v>
      </c>
      <c r="C35" s="15"/>
      <c r="D35" s="1"/>
      <c r="E35" s="1"/>
      <c r="F35" s="1"/>
      <c r="G35" s="2">
        <v>8000.0</v>
      </c>
    </row>
    <row r="36" ht="15.75" customHeight="1">
      <c r="A36" s="1"/>
      <c r="B36" s="4" t="s">
        <v>834</v>
      </c>
      <c r="C36" s="15"/>
      <c r="D36" s="1"/>
      <c r="E36" s="1"/>
      <c r="F36" s="1"/>
      <c r="G36" s="2">
        <v>5000.0</v>
      </c>
    </row>
    <row r="37" ht="15.75" customHeight="1">
      <c r="A37" s="1"/>
      <c r="B37" s="4" t="s">
        <v>835</v>
      </c>
      <c r="C37" s="15"/>
      <c r="D37" s="1"/>
      <c r="E37" s="1"/>
      <c r="F37" s="1"/>
      <c r="G37" s="2">
        <v>36000.0</v>
      </c>
    </row>
    <row r="38" ht="15.75" customHeight="1">
      <c r="A38" s="1"/>
      <c r="B38" s="4" t="s">
        <v>836</v>
      </c>
      <c r="C38" s="15"/>
      <c r="D38" s="1"/>
      <c r="E38" s="1"/>
      <c r="F38" s="1"/>
      <c r="G38" s="2">
        <v>2000.0</v>
      </c>
    </row>
    <row r="39" ht="15.75" customHeight="1">
      <c r="A39" s="1"/>
      <c r="B39" s="4" t="s">
        <v>837</v>
      </c>
      <c r="C39" s="15"/>
      <c r="D39" s="1"/>
      <c r="E39" s="1"/>
      <c r="F39" s="1"/>
      <c r="G39" s="2">
        <v>5000.0</v>
      </c>
    </row>
    <row r="40" ht="15.75" customHeight="1">
      <c r="A40" s="1"/>
      <c r="B40" s="4" t="s">
        <v>838</v>
      </c>
      <c r="C40" s="15"/>
      <c r="D40" s="1"/>
      <c r="E40" s="1"/>
      <c r="F40" s="1"/>
      <c r="G40" s="2">
        <v>350000.0</v>
      </c>
    </row>
    <row r="41" ht="15.75" customHeight="1">
      <c r="A41" s="1"/>
      <c r="B41" s="4" t="s">
        <v>839</v>
      </c>
      <c r="C41" s="15"/>
      <c r="D41" s="1"/>
      <c r="E41" s="1"/>
      <c r="F41" s="1"/>
      <c r="G41" s="2">
        <v>17500.0</v>
      </c>
    </row>
    <row r="42" ht="15.75" customHeight="1">
      <c r="A42" s="1"/>
      <c r="B42" s="4" t="s">
        <v>840</v>
      </c>
      <c r="C42" s="15"/>
      <c r="D42" s="1"/>
      <c r="E42" s="1"/>
      <c r="F42" s="1"/>
      <c r="G42" s="2">
        <v>243300.0</v>
      </c>
    </row>
    <row r="43" ht="15.75" customHeight="1">
      <c r="A43" s="1"/>
      <c r="B43" s="4" t="s">
        <v>841</v>
      </c>
      <c r="C43" s="15"/>
      <c r="D43" s="1"/>
      <c r="E43" s="1"/>
      <c r="F43" s="1"/>
      <c r="G43" s="2">
        <v>40000.0</v>
      </c>
    </row>
    <row r="44" ht="15.75" customHeight="1">
      <c r="A44" s="1"/>
      <c r="B44" s="4" t="s">
        <v>842</v>
      </c>
      <c r="C44" s="15"/>
      <c r="D44" s="1"/>
      <c r="E44" s="1"/>
      <c r="F44" s="1"/>
      <c r="G44" s="2">
        <v>5000.0</v>
      </c>
    </row>
    <row r="45" ht="15.75" customHeight="1">
      <c r="A45" s="1"/>
      <c r="B45" s="4" t="s">
        <v>843</v>
      </c>
      <c r="C45" s="15"/>
      <c r="D45" s="1"/>
      <c r="E45" s="1"/>
      <c r="F45" s="1"/>
      <c r="G45" s="2">
        <v>3000.0</v>
      </c>
    </row>
    <row r="46" ht="15.75" customHeight="1">
      <c r="A46" s="1"/>
      <c r="B46" s="4" t="s">
        <v>844</v>
      </c>
      <c r="C46" s="15"/>
      <c r="D46" s="1"/>
      <c r="E46" s="1"/>
      <c r="F46" s="1"/>
      <c r="G46" s="2">
        <v>2000.0</v>
      </c>
    </row>
    <row r="47" ht="15.75" customHeight="1">
      <c r="A47" s="1"/>
      <c r="B47" s="4" t="s">
        <v>845</v>
      </c>
      <c r="C47" s="15"/>
      <c r="D47" s="1"/>
      <c r="E47" s="1"/>
      <c r="F47" s="1"/>
      <c r="G47" s="2">
        <v>28000.0</v>
      </c>
    </row>
    <row r="48" ht="15.75" customHeight="1">
      <c r="A48" s="1"/>
      <c r="B48" s="4" t="s">
        <v>846</v>
      </c>
      <c r="C48" s="15"/>
      <c r="D48" s="1"/>
      <c r="E48" s="1"/>
      <c r="F48" s="1"/>
      <c r="G48" s="2">
        <v>67835.0</v>
      </c>
    </row>
    <row r="49" ht="15.75" customHeight="1">
      <c r="A49" s="1"/>
      <c r="B49" s="4" t="s">
        <v>847</v>
      </c>
      <c r="C49" s="15"/>
      <c r="D49" s="1"/>
      <c r="E49" s="1"/>
      <c r="F49" s="1"/>
      <c r="G49" s="2">
        <v>175000.0</v>
      </c>
    </row>
    <row r="50" ht="15.75" customHeight="1">
      <c r="A50" s="1"/>
      <c r="B50" s="4" t="s">
        <v>848</v>
      </c>
      <c r="C50" s="15"/>
      <c r="D50" s="1"/>
      <c r="E50" s="1"/>
      <c r="F50" s="1"/>
      <c r="G50" s="2">
        <v>125000.0</v>
      </c>
    </row>
    <row r="51" ht="15.75" customHeight="1">
      <c r="A51" s="1"/>
      <c r="B51" s="4" t="s">
        <v>849</v>
      </c>
      <c r="C51" s="15"/>
      <c r="D51" s="1"/>
      <c r="E51" s="1"/>
      <c r="F51" s="1"/>
      <c r="G51" s="2">
        <v>77500.0</v>
      </c>
    </row>
    <row r="52" ht="15.75" customHeight="1">
      <c r="A52" s="1"/>
      <c r="B52" s="4" t="s">
        <v>245</v>
      </c>
      <c r="C52" s="15"/>
      <c r="D52" s="1"/>
      <c r="E52" s="1"/>
      <c r="F52" s="1"/>
      <c r="G52" s="2">
        <v>6000.0</v>
      </c>
    </row>
    <row r="53" ht="15.75" customHeight="1">
      <c r="A53" s="1"/>
      <c r="B53" s="4" t="s">
        <v>850</v>
      </c>
      <c r="C53" s="15"/>
      <c r="D53" s="1"/>
      <c r="E53" s="1"/>
      <c r="F53" s="1"/>
      <c r="G53" s="2">
        <v>2000.0</v>
      </c>
    </row>
    <row r="54" ht="15.75" customHeight="1">
      <c r="A54" s="1"/>
      <c r="B54" s="4" t="s">
        <v>851</v>
      </c>
      <c r="C54" s="15"/>
      <c r="D54" s="1"/>
      <c r="E54" s="1"/>
      <c r="F54" s="1"/>
      <c r="G54" s="2">
        <v>1000.0</v>
      </c>
    </row>
    <row r="55" ht="15.75" customHeight="1">
      <c r="A55" s="1"/>
      <c r="B55" s="4" t="s">
        <v>852</v>
      </c>
      <c r="C55" s="15"/>
      <c r="D55" s="1"/>
      <c r="E55" s="1"/>
      <c r="F55" s="1"/>
      <c r="G55" s="2">
        <v>163125.0</v>
      </c>
    </row>
    <row r="56" ht="15.75" customHeight="1">
      <c r="A56" s="1"/>
      <c r="B56" s="4" t="s">
        <v>853</v>
      </c>
      <c r="C56" s="15"/>
      <c r="D56" s="1"/>
      <c r="E56" s="1"/>
      <c r="F56" s="1"/>
      <c r="G56" s="2">
        <v>125000.0</v>
      </c>
    </row>
    <row r="57" ht="15.75" customHeight="1">
      <c r="A57" s="1"/>
      <c r="B57" s="1" t="s">
        <v>854</v>
      </c>
      <c r="C57" s="1"/>
      <c r="D57" s="1"/>
      <c r="E57" s="1"/>
      <c r="F57" s="1"/>
      <c r="G57" s="13">
        <v>275000.0</v>
      </c>
    </row>
    <row r="58" ht="15.75" customHeight="1">
      <c r="A58" s="1"/>
      <c r="B58" s="1" t="s">
        <v>855</v>
      </c>
      <c r="C58" s="1"/>
      <c r="D58" s="1"/>
      <c r="E58" s="1"/>
      <c r="F58" s="1"/>
      <c r="G58" s="13">
        <v>206870.0</v>
      </c>
    </row>
    <row r="59" ht="15.75" customHeight="1">
      <c r="A59" s="1"/>
      <c r="B59" s="1" t="s">
        <v>856</v>
      </c>
      <c r="C59" s="1"/>
      <c r="D59" s="1"/>
      <c r="E59" s="1"/>
      <c r="F59" s="1"/>
      <c r="G59" s="13">
        <v>40000.0</v>
      </c>
    </row>
    <row r="60" ht="15.75" customHeight="1">
      <c r="A60" s="1"/>
      <c r="B60" s="1" t="s">
        <v>857</v>
      </c>
      <c r="C60" s="1"/>
      <c r="D60" s="1"/>
      <c r="E60" s="1"/>
      <c r="F60" s="1"/>
      <c r="G60" s="13">
        <v>3000.0</v>
      </c>
    </row>
    <row r="61" ht="15.75" customHeight="1">
      <c r="A61" s="1"/>
      <c r="B61" s="1"/>
      <c r="C61" s="1"/>
      <c r="D61" s="1"/>
      <c r="E61" s="1"/>
      <c r="F61" s="1"/>
      <c r="G61" s="13"/>
    </row>
    <row r="62" ht="15.75" customHeight="1">
      <c r="A62" s="1"/>
      <c r="B62" s="43" t="s">
        <v>43</v>
      </c>
      <c r="C62" s="1"/>
      <c r="D62" s="1"/>
      <c r="E62" s="1"/>
      <c r="F62" s="1"/>
      <c r="G62" s="13">
        <f>SUM(G27:G60)</f>
        <v>2161130</v>
      </c>
    </row>
    <row r="63" ht="15.75" customHeight="1">
      <c r="A63" s="1"/>
      <c r="B63" s="1"/>
      <c r="C63" s="1"/>
      <c r="D63" s="1"/>
      <c r="E63" s="1"/>
      <c r="F63" s="1"/>
      <c r="G63" s="13"/>
    </row>
    <row r="64" ht="15.75" customHeight="1">
      <c r="A64" s="1"/>
      <c r="B64" s="19" t="s">
        <v>45</v>
      </c>
      <c r="C64" s="20"/>
      <c r="D64" s="20"/>
      <c r="E64" s="20"/>
      <c r="F64" s="20"/>
      <c r="G64" s="21">
        <f>SUM(G24+G62)</f>
        <v>2727130</v>
      </c>
    </row>
    <row r="65" ht="15.75" customHeight="1">
      <c r="A65" s="1"/>
      <c r="B65" s="4" t="s">
        <v>46</v>
      </c>
      <c r="C65" s="1"/>
      <c r="D65" s="1"/>
      <c r="E65" s="1"/>
      <c r="F65" s="1"/>
      <c r="G65" s="2"/>
    </row>
    <row r="66" ht="15.75" customHeight="1">
      <c r="A66" s="35" t="s">
        <v>858</v>
      </c>
      <c r="B66" s="36"/>
      <c r="C66" s="37"/>
      <c r="D66" s="37"/>
      <c r="E66" s="37"/>
      <c r="F66" s="37"/>
      <c r="G66" s="38">
        <f>(G13-G64)</f>
        <v>122970</v>
      </c>
    </row>
    <row r="67" ht="15.75" customHeight="1">
      <c r="A67" s="22" t="s">
        <v>254</v>
      </c>
      <c r="B67" s="1" t="s">
        <v>255</v>
      </c>
      <c r="C67" s="1"/>
      <c r="D67" s="1"/>
      <c r="E67" s="1"/>
      <c r="F67" s="1"/>
      <c r="G67" s="2">
        <v>0.0</v>
      </c>
    </row>
    <row r="68" ht="15.75" customHeight="1">
      <c r="A68" s="22"/>
      <c r="B68" s="1"/>
      <c r="C68" s="1"/>
      <c r="D68" s="1"/>
      <c r="E68" s="1"/>
      <c r="F68" s="1"/>
      <c r="G68" s="2"/>
    </row>
    <row r="69" ht="15.75" customHeight="1">
      <c r="A69" s="1"/>
      <c r="B69" s="27" t="s">
        <v>51</v>
      </c>
      <c r="C69" s="27"/>
      <c r="D69" s="27"/>
      <c r="E69" s="27"/>
      <c r="F69" s="27"/>
      <c r="G69" s="28">
        <v>0.0</v>
      </c>
    </row>
    <row r="70" ht="15.75" customHeight="1">
      <c r="A70" s="1"/>
      <c r="B70" s="1"/>
      <c r="C70" s="1"/>
      <c r="D70" s="1"/>
      <c r="E70" s="1"/>
      <c r="F70" s="1"/>
      <c r="G70" s="2"/>
    </row>
    <row r="71" ht="15.75" customHeight="1">
      <c r="A71" s="44"/>
      <c r="B71" s="45" t="s">
        <v>859</v>
      </c>
      <c r="C71" s="46"/>
      <c r="D71" s="46"/>
      <c r="E71" s="46"/>
      <c r="F71" s="46"/>
      <c r="G71" s="47">
        <f>SUM(G4+G66)</f>
        <v>20962720</v>
      </c>
    </row>
    <row r="72" ht="15.75" customHeight="1">
      <c r="A72" s="1"/>
      <c r="B72" s="1"/>
      <c r="C72" s="1"/>
      <c r="D72" s="1"/>
      <c r="E72" s="1"/>
      <c r="F72" s="1"/>
      <c r="G72" s="2"/>
    </row>
    <row r="73" ht="15.75" customHeight="1">
      <c r="A73" s="1"/>
      <c r="B73" s="32" t="s">
        <v>817</v>
      </c>
    </row>
    <row r="74" ht="15.75" customHeight="1">
      <c r="A74" s="1"/>
      <c r="B74" s="1"/>
      <c r="C74" s="1" t="s">
        <v>113</v>
      </c>
      <c r="D74" s="1"/>
      <c r="E74" s="1"/>
      <c r="F74" s="1"/>
      <c r="G74" s="2">
        <v>13100.0</v>
      </c>
    </row>
    <row r="75" ht="15.75" customHeight="1">
      <c r="A75" s="1"/>
      <c r="B75" s="1"/>
      <c r="C75" s="1" t="s">
        <v>114</v>
      </c>
      <c r="D75" s="1"/>
      <c r="E75" s="1"/>
      <c r="F75" s="1"/>
      <c r="G75" s="2">
        <v>547800.0</v>
      </c>
    </row>
    <row r="76" ht="15.75" customHeight="1">
      <c r="A76" s="1"/>
      <c r="B76" s="1"/>
      <c r="C76" s="43" t="s">
        <v>115</v>
      </c>
      <c r="D76" s="1"/>
      <c r="E76" s="1"/>
      <c r="F76" s="1"/>
      <c r="G76" s="2">
        <v>560900.0</v>
      </c>
    </row>
    <row r="77" ht="15.75" customHeight="1">
      <c r="A77" s="1"/>
      <c r="B77" s="1"/>
      <c r="C77" s="43"/>
      <c r="D77" s="1"/>
      <c r="E77" s="1"/>
      <c r="F77" s="1"/>
      <c r="G77" s="2"/>
    </row>
    <row r="78" ht="15.75" customHeight="1">
      <c r="A78" s="1"/>
      <c r="B78" s="1" t="s">
        <v>786</v>
      </c>
      <c r="C78" s="43"/>
      <c r="D78" s="1"/>
      <c r="E78" s="1"/>
      <c r="F78" s="1"/>
      <c r="G78" s="2"/>
    </row>
    <row r="79" ht="15.75" customHeight="1">
      <c r="A79" s="1"/>
      <c r="B79" s="1" t="s">
        <v>787</v>
      </c>
      <c r="C79" s="43"/>
      <c r="D79" s="1"/>
      <c r="E79" s="1"/>
      <c r="F79" s="1"/>
      <c r="G79" s="2"/>
    </row>
    <row r="80" ht="15.75" customHeight="1">
      <c r="A80" s="1"/>
      <c r="B80" s="1" t="s">
        <v>788</v>
      </c>
      <c r="C80" s="43"/>
      <c r="D80" s="1"/>
      <c r="E80" s="1" t="s">
        <v>860</v>
      </c>
      <c r="F80" s="1"/>
      <c r="G80" s="1"/>
    </row>
    <row r="81" ht="15.75" customHeight="1">
      <c r="A81" s="1"/>
      <c r="B81" s="1" t="s">
        <v>861</v>
      </c>
      <c r="C81" s="43"/>
      <c r="D81" s="1"/>
      <c r="E81" s="1"/>
      <c r="F81" s="1"/>
      <c r="G81" s="1"/>
    </row>
    <row r="82" ht="15.75" customHeight="1">
      <c r="A82" s="1"/>
      <c r="B82" s="33" t="s">
        <v>862</v>
      </c>
      <c r="C82" s="1"/>
      <c r="D82" s="1"/>
      <c r="E82" s="1"/>
      <c r="F82" s="1"/>
      <c r="G82" s="2"/>
    </row>
    <row r="83" ht="15.75" customHeight="1">
      <c r="A83" s="1"/>
      <c r="B83" s="4"/>
      <c r="C83" s="1"/>
      <c r="D83" s="1"/>
      <c r="E83" s="1"/>
      <c r="F83" s="1"/>
      <c r="G83" s="2"/>
    </row>
    <row r="84" ht="15.75" customHeight="1">
      <c r="A84" s="1"/>
      <c r="B84" s="55" t="s">
        <v>531</v>
      </c>
      <c r="C84" s="56"/>
      <c r="D84" s="56"/>
      <c r="E84" s="56"/>
      <c r="F84" s="1"/>
      <c r="G84" s="2"/>
    </row>
    <row r="85" ht="15.75" customHeight="1">
      <c r="A85" s="1"/>
      <c r="B85" s="55"/>
      <c r="C85" s="56"/>
      <c r="D85" s="56"/>
      <c r="E85" s="56"/>
      <c r="F85" s="1"/>
      <c r="G85" s="2"/>
    </row>
    <row r="86" ht="15.75" customHeight="1">
      <c r="A86" s="1"/>
      <c r="B86" s="55" t="s">
        <v>863</v>
      </c>
      <c r="C86" s="56"/>
      <c r="D86" s="56"/>
      <c r="E86" s="56"/>
      <c r="F86" s="1"/>
      <c r="G86" s="2"/>
    </row>
    <row r="87" ht="15.75" customHeight="1">
      <c r="A87" s="1"/>
      <c r="B87" s="55"/>
      <c r="C87" s="56"/>
      <c r="D87" s="56"/>
      <c r="E87" s="56"/>
      <c r="F87" s="1"/>
      <c r="G87" s="2"/>
    </row>
    <row r="88" ht="15.75" customHeight="1">
      <c r="A88" s="1"/>
      <c r="B88" s="55" t="s">
        <v>533</v>
      </c>
      <c r="F88" s="1"/>
      <c r="G88" s="2"/>
    </row>
    <row r="89" ht="15.75" customHeight="1">
      <c r="A89" s="1"/>
      <c r="B89" s="55"/>
      <c r="C89" s="55"/>
      <c r="D89" s="55"/>
      <c r="E89" s="55"/>
      <c r="F89" s="1"/>
      <c r="G89" s="2"/>
    </row>
    <row r="90" ht="15.75" customHeight="1">
      <c r="A90" s="1"/>
      <c r="B90" s="55" t="s">
        <v>864</v>
      </c>
      <c r="C90" s="56"/>
      <c r="D90" s="57"/>
      <c r="E90" s="56"/>
      <c r="F90" s="1"/>
      <c r="G90" s="2"/>
    </row>
    <row r="91" ht="15.75" customHeight="1">
      <c r="A91" s="1"/>
      <c r="B91" s="55"/>
      <c r="C91" s="56"/>
      <c r="D91" s="57"/>
      <c r="E91" s="56"/>
      <c r="F91" s="1"/>
      <c r="G91" s="2"/>
    </row>
    <row r="92" ht="15.75" customHeight="1">
      <c r="A92" s="1"/>
      <c r="B92" s="55" t="s">
        <v>535</v>
      </c>
      <c r="C92" s="56"/>
      <c r="D92" s="57"/>
      <c r="E92" s="56"/>
      <c r="F92" s="1"/>
      <c r="G92" s="2"/>
    </row>
    <row r="93" ht="15.75" customHeight="1">
      <c r="A93" s="1"/>
      <c r="B93" s="55"/>
      <c r="C93" s="56"/>
      <c r="D93" s="57"/>
      <c r="E93" s="56"/>
      <c r="F93" s="1"/>
      <c r="G93" s="2"/>
    </row>
    <row r="94" ht="15.75" customHeight="1">
      <c r="B94" s="55" t="s">
        <v>536</v>
      </c>
      <c r="C94" s="56"/>
      <c r="D94" s="57"/>
      <c r="E94" s="5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73:G73"/>
    <mergeCell ref="B88:E88"/>
  </mergeCell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3" width="10.71"/>
    <col customWidth="1" min="4" max="6" width="11.43"/>
    <col customWidth="1" min="7" max="7" width="20.29"/>
    <col customWidth="1" min="8" max="26" width="10.71"/>
  </cols>
  <sheetData>
    <row r="2">
      <c r="A2" s="1" t="s">
        <v>721</v>
      </c>
      <c r="B2" s="3" t="s">
        <v>865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866</v>
      </c>
      <c r="C4" s="1"/>
      <c r="D4" s="1"/>
      <c r="E4" s="1"/>
      <c r="F4" s="1"/>
      <c r="G4" s="2">
        <v>1.8311375E7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867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366000.0</v>
      </c>
      <c r="G7" s="7">
        <v>118000.0</v>
      </c>
    </row>
    <row r="8">
      <c r="A8" s="1"/>
      <c r="B8" s="4" t="s">
        <v>64</v>
      </c>
      <c r="C8" s="1"/>
      <c r="D8" s="1"/>
      <c r="E8" s="1"/>
      <c r="F8" s="2">
        <v>620200.0</v>
      </c>
      <c r="G8" s="7">
        <v>352000.0</v>
      </c>
    </row>
    <row r="9">
      <c r="A9" s="1"/>
      <c r="B9" s="4" t="s">
        <v>65</v>
      </c>
      <c r="C9" s="1"/>
      <c r="D9" s="1"/>
      <c r="E9" s="1"/>
      <c r="F9" s="2">
        <v>676700.0</v>
      </c>
      <c r="G9" s="7">
        <v>285000.0</v>
      </c>
    </row>
    <row r="10">
      <c r="A10" s="1"/>
      <c r="B10" s="4" t="s">
        <v>66</v>
      </c>
      <c r="C10" s="1"/>
      <c r="D10" s="1"/>
      <c r="E10" s="1"/>
      <c r="F10" s="2">
        <v>482600.0</v>
      </c>
      <c r="G10" s="8">
        <v>270000.0</v>
      </c>
    </row>
    <row r="11">
      <c r="A11" s="1"/>
      <c r="B11" s="4" t="s">
        <v>67</v>
      </c>
      <c r="C11" s="1"/>
      <c r="D11" s="49" t="s">
        <v>8</v>
      </c>
      <c r="E11" s="49"/>
      <c r="F11" s="54">
        <v>235000.0</v>
      </c>
      <c r="G11" s="7">
        <v>113000.0</v>
      </c>
    </row>
    <row r="12">
      <c r="A12" s="1"/>
      <c r="B12" s="4"/>
      <c r="C12" s="50" t="s">
        <v>405</v>
      </c>
      <c r="E12" s="4"/>
      <c r="F12" s="2">
        <f t="shared" ref="F12:G12" si="1">SUM(F7:F11)</f>
        <v>2380500</v>
      </c>
      <c r="G12" s="7">
        <f t="shared" si="1"/>
        <v>1138000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3518500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868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869</v>
      </c>
      <c r="C17" s="1"/>
      <c r="D17" s="1"/>
      <c r="E17" s="1"/>
      <c r="F17" s="1"/>
      <c r="G17" s="2">
        <v>120000.0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75000.0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65000.0</v>
      </c>
    </row>
    <row r="23" ht="15.75" customHeight="1">
      <c r="A23" s="1"/>
      <c r="B23" s="4" t="s">
        <v>448</v>
      </c>
      <c r="C23" s="1"/>
      <c r="D23" s="1"/>
      <c r="E23" s="1"/>
      <c r="F23" s="1"/>
      <c r="G23" s="2">
        <v>150000.0</v>
      </c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670000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12"/>
      <c r="C26" s="15"/>
      <c r="D26" s="1"/>
      <c r="E26" s="1"/>
      <c r="F26" s="1"/>
      <c r="G26" s="2"/>
    </row>
    <row r="27" ht="15.75" customHeight="1">
      <c r="A27" s="1"/>
      <c r="B27" s="4" t="s">
        <v>870</v>
      </c>
      <c r="C27" s="15"/>
      <c r="D27" s="1"/>
      <c r="E27" s="1"/>
      <c r="F27" s="1"/>
      <c r="G27" s="2">
        <v>125000.0</v>
      </c>
    </row>
    <row r="28" ht="15.75" customHeight="1">
      <c r="A28" s="1"/>
      <c r="B28" s="4" t="s">
        <v>871</v>
      </c>
      <c r="C28" s="15"/>
      <c r="D28" s="1"/>
      <c r="E28" s="1"/>
      <c r="F28" s="1"/>
      <c r="G28" s="2">
        <v>1000.0</v>
      </c>
    </row>
    <row r="29" ht="15.75" customHeight="1">
      <c r="A29" s="1"/>
      <c r="B29" s="4" t="s">
        <v>872</v>
      </c>
      <c r="C29" s="15"/>
      <c r="D29" s="1"/>
      <c r="E29" s="1"/>
      <c r="F29" s="1"/>
      <c r="G29" s="2">
        <v>2000.0</v>
      </c>
    </row>
    <row r="30" ht="15.75" customHeight="1">
      <c r="A30" s="1"/>
      <c r="B30" s="4" t="s">
        <v>873</v>
      </c>
      <c r="C30" s="15"/>
      <c r="D30" s="1"/>
      <c r="E30" s="1"/>
      <c r="F30" s="1"/>
      <c r="G30" s="2">
        <v>2000.0</v>
      </c>
    </row>
    <row r="31" ht="15.75" customHeight="1">
      <c r="A31" s="1"/>
      <c r="B31" s="4" t="s">
        <v>874</v>
      </c>
      <c r="C31" s="15"/>
      <c r="D31" s="1"/>
      <c r="E31" s="1"/>
      <c r="F31" s="1"/>
      <c r="G31" s="2">
        <v>65250.0</v>
      </c>
    </row>
    <row r="32" ht="15.75" customHeight="1">
      <c r="A32" s="1"/>
      <c r="B32" s="4" t="s">
        <v>875</v>
      </c>
      <c r="C32" s="15"/>
      <c r="D32" s="1"/>
      <c r="E32" s="1"/>
      <c r="F32" s="1"/>
      <c r="G32" s="2">
        <v>4000.0</v>
      </c>
    </row>
    <row r="33" ht="15.75" customHeight="1">
      <c r="A33" s="1"/>
      <c r="B33" s="4" t="s">
        <v>876</v>
      </c>
      <c r="C33" s="15"/>
      <c r="D33" s="1"/>
      <c r="E33" s="1"/>
      <c r="F33" s="1"/>
      <c r="G33" s="2">
        <v>10500.0</v>
      </c>
    </row>
    <row r="34" ht="15.75" customHeight="1">
      <c r="A34" s="1"/>
      <c r="B34" s="4" t="s">
        <v>877</v>
      </c>
      <c r="C34" s="15"/>
      <c r="D34" s="1"/>
      <c r="E34" s="1"/>
      <c r="F34" s="1"/>
      <c r="G34" s="2">
        <v>1400.0</v>
      </c>
    </row>
    <row r="35" ht="15.75" customHeight="1">
      <c r="A35" s="1"/>
      <c r="B35" s="4" t="s">
        <v>878</v>
      </c>
      <c r="C35" s="15"/>
      <c r="D35" s="1"/>
      <c r="E35" s="1"/>
      <c r="F35" s="1"/>
      <c r="G35" s="2">
        <v>2000.0</v>
      </c>
    </row>
    <row r="36" ht="15.75" customHeight="1">
      <c r="A36" s="1"/>
      <c r="B36" s="4" t="s">
        <v>879</v>
      </c>
      <c r="C36" s="15"/>
      <c r="D36" s="1"/>
      <c r="E36" s="1"/>
      <c r="F36" s="1"/>
      <c r="G36" s="2">
        <v>3000.0</v>
      </c>
    </row>
    <row r="37" ht="15.75" customHeight="1">
      <c r="A37" s="1"/>
      <c r="B37" s="4" t="s">
        <v>880</v>
      </c>
      <c r="C37" s="15"/>
      <c r="D37" s="1"/>
      <c r="E37" s="1"/>
      <c r="F37" s="1"/>
      <c r="G37" s="2">
        <v>125000.0</v>
      </c>
    </row>
    <row r="38" ht="15.75" customHeight="1">
      <c r="A38" s="1"/>
      <c r="B38" s="4" t="s">
        <v>881</v>
      </c>
      <c r="C38" s="15"/>
      <c r="D38" s="1"/>
      <c r="E38" s="1" t="s">
        <v>882</v>
      </c>
      <c r="F38" s="1"/>
      <c r="G38" s="2">
        <v>18805.0</v>
      </c>
    </row>
    <row r="39" ht="15.75" customHeight="1">
      <c r="A39" s="1"/>
      <c r="B39" s="4" t="s">
        <v>883</v>
      </c>
      <c r="C39" s="15"/>
      <c r="D39" s="1"/>
      <c r="E39" s="1"/>
      <c r="F39" s="1"/>
      <c r="G39" s="2">
        <v>1000.0</v>
      </c>
    </row>
    <row r="40" ht="15.75" customHeight="1">
      <c r="A40" s="1"/>
      <c r="B40" s="4" t="s">
        <v>884</v>
      </c>
      <c r="C40" s="15"/>
      <c r="D40" s="1"/>
      <c r="E40" s="1"/>
      <c r="F40" s="1"/>
      <c r="G40" s="2">
        <v>5100.0</v>
      </c>
    </row>
    <row r="41" ht="15.75" customHeight="1">
      <c r="A41" s="1"/>
      <c r="B41" s="4" t="s">
        <v>885</v>
      </c>
      <c r="C41" s="15"/>
      <c r="D41" s="1"/>
      <c r="E41" s="1"/>
      <c r="F41" s="1"/>
      <c r="G41" s="2">
        <v>4000.0</v>
      </c>
    </row>
    <row r="42" ht="15.75" customHeight="1">
      <c r="A42" s="1"/>
      <c r="B42" s="4" t="s">
        <v>886</v>
      </c>
      <c r="C42" s="15"/>
      <c r="D42" s="1"/>
      <c r="E42" s="1"/>
      <c r="F42" s="1"/>
      <c r="G42" s="2">
        <v>20000.0</v>
      </c>
    </row>
    <row r="43" ht="15.75" customHeight="1">
      <c r="A43" s="1"/>
      <c r="B43" s="4" t="s">
        <v>887</v>
      </c>
      <c r="C43" s="15"/>
      <c r="D43" s="1"/>
      <c r="E43" s="1"/>
      <c r="F43" s="1"/>
      <c r="G43" s="2">
        <v>2000.0</v>
      </c>
    </row>
    <row r="44" ht="15.75" customHeight="1">
      <c r="A44" s="1"/>
      <c r="B44" s="4" t="s">
        <v>888</v>
      </c>
      <c r="C44" s="15"/>
      <c r="D44" s="1"/>
      <c r="E44" s="1"/>
      <c r="F44" s="1"/>
      <c r="G44" s="2">
        <v>78720.0</v>
      </c>
    </row>
    <row r="45" ht="15.75" customHeight="1">
      <c r="A45" s="1"/>
      <c r="B45" s="4" t="s">
        <v>652</v>
      </c>
      <c r="C45" s="15"/>
      <c r="D45" s="1"/>
      <c r="E45" s="1"/>
      <c r="F45" s="1"/>
      <c r="G45" s="2">
        <v>8000.0</v>
      </c>
    </row>
    <row r="46" ht="15.75" customHeight="1">
      <c r="A46" s="1"/>
      <c r="B46" s="4" t="s">
        <v>889</v>
      </c>
      <c r="C46" s="15"/>
      <c r="D46" s="1"/>
      <c r="E46" s="1"/>
      <c r="F46" s="1"/>
      <c r="G46" s="2">
        <v>2000.0</v>
      </c>
    </row>
    <row r="47" ht="15.75" customHeight="1">
      <c r="A47" s="1"/>
      <c r="B47" s="4" t="s">
        <v>890</v>
      </c>
      <c r="C47" s="15"/>
      <c r="D47" s="1"/>
      <c r="E47" s="1"/>
      <c r="F47" s="1"/>
      <c r="G47" s="2">
        <v>15000.0</v>
      </c>
    </row>
    <row r="48" ht="15.75" customHeight="1">
      <c r="A48" s="1"/>
      <c r="B48" s="4" t="s">
        <v>891</v>
      </c>
      <c r="C48" s="15"/>
      <c r="D48" s="1"/>
      <c r="E48" s="1"/>
      <c r="F48" s="1"/>
      <c r="G48" s="2">
        <v>1000.0</v>
      </c>
    </row>
    <row r="49" ht="15.75" customHeight="1">
      <c r="A49" s="1"/>
      <c r="B49" s="4" t="s">
        <v>729</v>
      </c>
      <c r="C49" s="15"/>
      <c r="D49" s="1"/>
      <c r="E49" s="1"/>
      <c r="F49" s="1"/>
      <c r="G49" s="2">
        <v>2000.0</v>
      </c>
    </row>
    <row r="50" ht="15.75" customHeight="1">
      <c r="A50" s="1"/>
      <c r="B50" s="4" t="s">
        <v>282</v>
      </c>
      <c r="C50" s="15"/>
      <c r="D50" s="1"/>
      <c r="E50" s="1"/>
      <c r="F50" s="1"/>
      <c r="G50" s="2">
        <v>100000.0</v>
      </c>
    </row>
    <row r="51" ht="15.75" customHeight="1">
      <c r="A51" s="1"/>
      <c r="B51" s="4" t="s">
        <v>892</v>
      </c>
      <c r="C51" s="15"/>
      <c r="D51" s="1"/>
      <c r="E51" s="1"/>
      <c r="F51" s="1"/>
      <c r="G51" s="2">
        <v>5000.0</v>
      </c>
    </row>
    <row r="52" ht="15.75" customHeight="1">
      <c r="A52" s="1"/>
      <c r="B52" s="4" t="s">
        <v>893</v>
      </c>
      <c r="C52" s="15"/>
      <c r="D52" s="1"/>
      <c r="E52" s="1"/>
      <c r="F52" s="1"/>
      <c r="G52" s="2">
        <v>2000.0</v>
      </c>
    </row>
    <row r="53" ht="15.75" customHeight="1">
      <c r="A53" s="1"/>
      <c r="B53" s="4" t="s">
        <v>894</v>
      </c>
      <c r="C53" s="15"/>
      <c r="D53" s="1"/>
      <c r="E53" s="1"/>
      <c r="F53" s="1"/>
      <c r="G53" s="2">
        <v>3000.0</v>
      </c>
    </row>
    <row r="54" ht="15.75" customHeight="1">
      <c r="A54" s="1"/>
      <c r="B54" s="4" t="s">
        <v>895</v>
      </c>
      <c r="C54" s="15"/>
      <c r="D54" s="1"/>
      <c r="E54" s="1"/>
      <c r="F54" s="1"/>
      <c r="G54" s="2">
        <v>5000.0</v>
      </c>
    </row>
    <row r="55" ht="15.75" customHeight="1">
      <c r="A55" s="1"/>
      <c r="B55" s="1"/>
      <c r="C55" s="1"/>
      <c r="D55" s="1"/>
      <c r="E55" s="1"/>
      <c r="F55" s="1"/>
      <c r="G55" s="13"/>
    </row>
    <row r="56" ht="15.75" customHeight="1">
      <c r="A56" s="1"/>
      <c r="B56" s="43" t="s">
        <v>43</v>
      </c>
      <c r="C56" s="1"/>
      <c r="D56" s="1"/>
      <c r="E56" s="1"/>
      <c r="F56" s="1"/>
      <c r="G56" s="13">
        <f>SUM(G28:G54)</f>
        <v>488775</v>
      </c>
    </row>
    <row r="57" ht="15.75" customHeight="1">
      <c r="A57" s="1"/>
      <c r="B57" s="1"/>
      <c r="C57" s="1"/>
      <c r="D57" s="1"/>
      <c r="E57" s="1"/>
      <c r="F57" s="1"/>
      <c r="G57" s="13"/>
    </row>
    <row r="58" ht="15.75" customHeight="1">
      <c r="A58" s="1"/>
      <c r="B58" s="19" t="s">
        <v>45</v>
      </c>
      <c r="C58" s="20"/>
      <c r="D58" s="20"/>
      <c r="E58" s="20"/>
      <c r="F58" s="20"/>
      <c r="G58" s="21">
        <f>SUM(G24+G56)</f>
        <v>1158775</v>
      </c>
    </row>
    <row r="59" ht="15.75" customHeight="1">
      <c r="A59" s="1"/>
      <c r="B59" s="4" t="s">
        <v>46</v>
      </c>
      <c r="C59" s="1"/>
      <c r="D59" s="1"/>
      <c r="E59" s="1"/>
      <c r="F59" s="1"/>
      <c r="G59" s="2"/>
    </row>
    <row r="60" ht="15.75" customHeight="1">
      <c r="A60" s="35" t="s">
        <v>896</v>
      </c>
      <c r="B60" s="36"/>
      <c r="C60" s="37"/>
      <c r="D60" s="37"/>
      <c r="E60" s="37"/>
      <c r="F60" s="37"/>
      <c r="G60" s="38">
        <f>(G13-G58)</f>
        <v>2359725</v>
      </c>
    </row>
    <row r="61" ht="15.75" customHeight="1">
      <c r="A61" s="22" t="s">
        <v>254</v>
      </c>
      <c r="B61" s="1" t="s">
        <v>255</v>
      </c>
      <c r="C61" s="1"/>
      <c r="D61" s="1"/>
      <c r="E61" s="1"/>
      <c r="F61" s="1"/>
      <c r="G61" s="2"/>
    </row>
    <row r="62" ht="15.75" customHeight="1">
      <c r="A62" s="22"/>
      <c r="B62" s="1"/>
      <c r="C62" s="1"/>
      <c r="D62" s="1"/>
      <c r="E62" s="1"/>
      <c r="F62" s="1"/>
      <c r="G62" s="2"/>
    </row>
    <row r="63" ht="15.75" customHeight="1">
      <c r="A63" s="22"/>
      <c r="B63" s="1" t="s">
        <v>897</v>
      </c>
      <c r="C63" s="1"/>
      <c r="D63" s="1"/>
      <c r="E63" s="1"/>
      <c r="F63" s="1"/>
      <c r="G63" s="2">
        <v>2850000.0</v>
      </c>
    </row>
    <row r="64" ht="15.75" customHeight="1">
      <c r="A64" s="22"/>
      <c r="B64" s="1" t="s">
        <v>898</v>
      </c>
      <c r="C64" s="1"/>
      <c r="D64" s="1"/>
      <c r="E64" s="1"/>
      <c r="F64" s="1"/>
      <c r="G64" s="2">
        <v>655000.0</v>
      </c>
    </row>
    <row r="65" ht="15.75" customHeight="1">
      <c r="A65" s="1"/>
      <c r="B65" s="27" t="s">
        <v>51</v>
      </c>
      <c r="C65" s="27"/>
      <c r="D65" s="27"/>
      <c r="E65" s="27"/>
      <c r="F65" s="27"/>
      <c r="G65" s="2">
        <f>SUM(G63:G64)</f>
        <v>3505000</v>
      </c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44"/>
      <c r="B67" s="45" t="s">
        <v>899</v>
      </c>
      <c r="C67" s="46"/>
      <c r="D67" s="46"/>
      <c r="E67" s="46"/>
      <c r="F67" s="46"/>
      <c r="G67" s="47">
        <v>2.06711E7</v>
      </c>
    </row>
    <row r="68" ht="15.75" customHeight="1">
      <c r="A68" s="1"/>
      <c r="B68" s="1"/>
      <c r="C68" s="1"/>
      <c r="D68" s="1"/>
      <c r="E68" s="1"/>
      <c r="F68" s="1"/>
      <c r="G68" s="2"/>
    </row>
    <row r="69" ht="15.75" customHeight="1">
      <c r="A69" s="1"/>
      <c r="B69" s="32" t="s">
        <v>817</v>
      </c>
    </row>
    <row r="70" ht="15.75" customHeight="1">
      <c r="A70" s="1"/>
      <c r="B70" s="1"/>
      <c r="C70" s="1" t="s">
        <v>113</v>
      </c>
      <c r="D70" s="1"/>
      <c r="E70" s="1"/>
      <c r="F70" s="1"/>
      <c r="G70" s="2">
        <v>37000.0</v>
      </c>
    </row>
    <row r="71" ht="15.75" customHeight="1">
      <c r="A71" s="1"/>
      <c r="B71" s="1"/>
      <c r="C71" s="1" t="s">
        <v>114</v>
      </c>
      <c r="D71" s="1"/>
      <c r="E71" s="1"/>
      <c r="F71" s="1"/>
      <c r="G71" s="2">
        <v>224800.0</v>
      </c>
    </row>
    <row r="72" ht="15.75" customHeight="1">
      <c r="A72" s="1"/>
      <c r="B72" s="1"/>
      <c r="C72" s="43" t="s">
        <v>115</v>
      </c>
      <c r="D72" s="1"/>
      <c r="E72" s="1"/>
      <c r="F72" s="1"/>
      <c r="G72" s="2"/>
    </row>
    <row r="73" ht="15.75" customHeight="1">
      <c r="A73" s="1"/>
      <c r="B73" s="1"/>
      <c r="C73" s="43"/>
      <c r="D73" s="1"/>
      <c r="E73" s="1"/>
      <c r="F73" s="1"/>
      <c r="G73" s="2"/>
    </row>
    <row r="74" ht="15.75" customHeight="1">
      <c r="A74" s="1"/>
      <c r="B74" s="1" t="s">
        <v>900</v>
      </c>
      <c r="C74" s="43"/>
      <c r="D74" s="1"/>
      <c r="E74" s="1"/>
      <c r="F74" s="1"/>
      <c r="G74" s="2"/>
    </row>
    <row r="75" ht="15.75" customHeight="1">
      <c r="A75" s="1"/>
      <c r="B75" s="1"/>
      <c r="C75" s="43"/>
      <c r="D75" s="1"/>
      <c r="E75" s="1"/>
      <c r="F75" s="1"/>
      <c r="G75" s="2"/>
    </row>
    <row r="76" ht="15.75" customHeight="1">
      <c r="A76" s="1"/>
      <c r="B76" s="1" t="s">
        <v>901</v>
      </c>
      <c r="C76" s="43"/>
      <c r="D76" s="1"/>
      <c r="E76" s="1"/>
      <c r="F76" s="1"/>
      <c r="G76" s="1"/>
    </row>
    <row r="77" ht="15.75" customHeight="1">
      <c r="A77" s="1"/>
      <c r="B77" s="1" t="s">
        <v>902</v>
      </c>
      <c r="C77" s="43"/>
      <c r="D77" s="1"/>
      <c r="E77" s="1"/>
      <c r="F77" s="1"/>
      <c r="G77" s="1"/>
    </row>
    <row r="78" ht="15.75" customHeight="1">
      <c r="A78" s="1"/>
      <c r="B78" s="33" t="s">
        <v>903</v>
      </c>
      <c r="C78" s="1"/>
      <c r="D78" s="1"/>
      <c r="E78" s="1"/>
      <c r="F78" s="1"/>
      <c r="G78" s="2"/>
    </row>
    <row r="79" ht="15.75" customHeight="1">
      <c r="A79" s="1"/>
      <c r="B79" s="4"/>
      <c r="C79" s="1"/>
      <c r="D79" s="1"/>
      <c r="E79" s="1"/>
      <c r="F79" s="1"/>
      <c r="G79" s="2"/>
    </row>
    <row r="80" ht="15.75" customHeight="1">
      <c r="A80" s="1"/>
      <c r="B80" s="55" t="s">
        <v>531</v>
      </c>
      <c r="C80" s="56"/>
      <c r="D80" s="56"/>
      <c r="E80" s="56"/>
      <c r="F80" s="1"/>
      <c r="G80" s="2"/>
    </row>
    <row r="81" ht="15.75" customHeight="1">
      <c r="A81" s="1"/>
      <c r="B81" s="55"/>
      <c r="C81" s="56"/>
      <c r="D81" s="56"/>
      <c r="E81" s="56"/>
      <c r="F81" s="1"/>
      <c r="G81" s="2"/>
    </row>
    <row r="82" ht="15.75" customHeight="1">
      <c r="A82" s="1"/>
      <c r="B82" s="55" t="s">
        <v>904</v>
      </c>
      <c r="C82" s="56"/>
      <c r="D82" s="56"/>
      <c r="E82" s="56"/>
      <c r="F82" s="1"/>
      <c r="G82" s="2"/>
    </row>
    <row r="83" ht="15.75" customHeight="1">
      <c r="A83" s="1"/>
      <c r="B83" s="55"/>
      <c r="C83" s="56"/>
      <c r="D83" s="56"/>
      <c r="E83" s="56"/>
      <c r="F83" s="1"/>
      <c r="G83" s="2"/>
    </row>
    <row r="84" ht="15.75" customHeight="1">
      <c r="A84" s="1"/>
      <c r="B84" s="55" t="s">
        <v>681</v>
      </c>
      <c r="F84" s="1"/>
      <c r="G84" s="2"/>
    </row>
    <row r="85" ht="15.75" customHeight="1">
      <c r="A85" s="1"/>
      <c r="B85" s="55"/>
      <c r="C85" s="55"/>
      <c r="D85" s="55"/>
      <c r="E85" s="55"/>
      <c r="F85" s="1"/>
      <c r="G85" s="2"/>
    </row>
    <row r="86" ht="15.75" customHeight="1">
      <c r="A86" s="1"/>
      <c r="B86" s="55" t="s">
        <v>905</v>
      </c>
      <c r="C86" s="56"/>
      <c r="D86" s="57"/>
      <c r="E86" s="56"/>
      <c r="F86" s="1"/>
      <c r="G86" s="2"/>
    </row>
    <row r="87" ht="15.75" customHeight="1">
      <c r="A87" s="1"/>
      <c r="B87" s="55"/>
      <c r="C87" s="56"/>
      <c r="D87" s="57"/>
      <c r="E87" s="56"/>
      <c r="F87" s="1"/>
      <c r="G87" s="2"/>
    </row>
    <row r="88" ht="15.75" customHeight="1">
      <c r="A88" s="1"/>
      <c r="B88" s="55" t="s">
        <v>535</v>
      </c>
      <c r="C88" s="56"/>
      <c r="D88" s="57"/>
      <c r="E88" s="56"/>
      <c r="F88" s="1"/>
      <c r="G88" s="2"/>
    </row>
    <row r="89" ht="15.75" customHeight="1">
      <c r="A89" s="1"/>
      <c r="B89" s="55"/>
      <c r="C89" s="56"/>
      <c r="D89" s="57"/>
      <c r="E89" s="56"/>
      <c r="F89" s="1"/>
      <c r="G89" s="2"/>
    </row>
    <row r="90" ht="15.75" customHeight="1">
      <c r="B90" s="55" t="s">
        <v>536</v>
      </c>
      <c r="C90" s="56"/>
      <c r="D90" s="57"/>
      <c r="E90" s="57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69:G69"/>
    <mergeCell ref="B84:E84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2">
      <c r="A2" s="1" t="s">
        <v>721</v>
      </c>
      <c r="B2" s="3" t="s">
        <v>906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907</v>
      </c>
      <c r="C4" s="1"/>
      <c r="D4" s="1"/>
      <c r="E4" s="1"/>
      <c r="F4" s="1"/>
      <c r="G4" s="2">
        <v>2.06711E7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908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456800.0</v>
      </c>
      <c r="G7" s="7">
        <v>344000.0</v>
      </c>
    </row>
    <row r="8">
      <c r="A8" s="1"/>
      <c r="B8" s="4" t="s">
        <v>64</v>
      </c>
      <c r="C8" s="1"/>
      <c r="D8" s="1"/>
      <c r="E8" s="1"/>
      <c r="F8" s="2">
        <v>522100.0</v>
      </c>
      <c r="G8" s="7">
        <v>354000.0</v>
      </c>
    </row>
    <row r="9">
      <c r="A9" s="1"/>
      <c r="B9" s="4" t="s">
        <v>65</v>
      </c>
      <c r="C9" s="1"/>
      <c r="D9" s="1"/>
      <c r="E9" s="1"/>
      <c r="F9" s="2">
        <v>381050.0</v>
      </c>
      <c r="G9" s="7">
        <v>275000.0</v>
      </c>
    </row>
    <row r="10">
      <c r="A10" s="1"/>
      <c r="B10" s="4" t="s">
        <v>66</v>
      </c>
      <c r="C10" s="1"/>
      <c r="D10" s="1"/>
      <c r="E10" s="1"/>
      <c r="F10" s="2">
        <v>555300.0</v>
      </c>
      <c r="G10" s="8">
        <v>134000.0</v>
      </c>
    </row>
    <row r="11">
      <c r="A11" s="1"/>
      <c r="B11" s="4" t="s">
        <v>67</v>
      </c>
      <c r="C11" s="1"/>
      <c r="D11" s="49" t="s">
        <v>8</v>
      </c>
      <c r="E11" s="49"/>
      <c r="F11" s="62">
        <v>58750.0</v>
      </c>
      <c r="G11" s="7">
        <v>26000.0</v>
      </c>
    </row>
    <row r="12">
      <c r="A12" s="1"/>
      <c r="B12" s="4"/>
      <c r="C12" s="50" t="s">
        <v>405</v>
      </c>
      <c r="E12" s="4"/>
      <c r="F12" s="2">
        <f t="shared" ref="F12:G12" si="1">SUM(F7:F11)</f>
        <v>1974000</v>
      </c>
      <c r="G12" s="7">
        <f t="shared" si="1"/>
        <v>1133000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3107000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909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910</v>
      </c>
      <c r="C17" s="1"/>
      <c r="D17" s="1"/>
      <c r="E17" s="1"/>
      <c r="F17" s="1"/>
      <c r="G17" s="2">
        <v>111000.0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100000.0</v>
      </c>
    </row>
    <row r="23" ht="15.75" customHeight="1">
      <c r="A23" s="1"/>
      <c r="B23" s="4"/>
      <c r="C23" s="1"/>
      <c r="D23" s="1"/>
      <c r="E23" s="1"/>
      <c r="F23" s="1"/>
      <c r="G23" s="2"/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551000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12"/>
      <c r="C26" s="15"/>
      <c r="D26" s="1"/>
      <c r="E26" s="1"/>
      <c r="F26" s="1"/>
      <c r="G26" s="2"/>
    </row>
    <row r="27" ht="15.75" customHeight="1">
      <c r="A27" s="1"/>
      <c r="B27" s="4" t="s">
        <v>911</v>
      </c>
      <c r="C27" s="15"/>
      <c r="D27" s="1"/>
      <c r="E27" s="1"/>
      <c r="F27" s="1"/>
      <c r="G27" s="2">
        <v>4000.0</v>
      </c>
    </row>
    <row r="28" ht="15.75" customHeight="1">
      <c r="A28" s="1"/>
      <c r="B28" s="4" t="s">
        <v>912</v>
      </c>
      <c r="C28" s="15"/>
      <c r="D28" s="1"/>
      <c r="E28" s="1"/>
      <c r="F28" s="1"/>
      <c r="G28" s="2">
        <v>36000.0</v>
      </c>
    </row>
    <row r="29" ht="15.75" customHeight="1">
      <c r="A29" s="1"/>
      <c r="B29" s="4" t="s">
        <v>913</v>
      </c>
      <c r="C29" s="15"/>
      <c r="D29" s="1"/>
      <c r="E29" s="1"/>
      <c r="F29" s="1"/>
      <c r="G29" s="2">
        <v>7000.0</v>
      </c>
    </row>
    <row r="30" ht="15.75" customHeight="1">
      <c r="A30" s="1"/>
      <c r="B30" s="4" t="s">
        <v>914</v>
      </c>
      <c r="C30" s="15"/>
      <c r="D30" s="1"/>
      <c r="E30" s="1"/>
      <c r="F30" s="1"/>
      <c r="G30" s="2">
        <v>2000.0</v>
      </c>
    </row>
    <row r="31" ht="15.75" customHeight="1">
      <c r="A31" s="1"/>
      <c r="B31" s="4" t="s">
        <v>915</v>
      </c>
      <c r="C31" s="15"/>
      <c r="D31" s="1"/>
      <c r="E31" s="1"/>
      <c r="F31" s="1"/>
      <c r="G31" s="2">
        <v>20000.0</v>
      </c>
    </row>
    <row r="32" ht="15.75" customHeight="1">
      <c r="A32" s="1"/>
      <c r="B32" s="4" t="s">
        <v>916</v>
      </c>
      <c r="C32" s="15"/>
      <c r="D32" s="1"/>
      <c r="E32" s="1"/>
      <c r="F32" s="1"/>
      <c r="G32" s="2">
        <v>10000.0</v>
      </c>
    </row>
    <row r="33" ht="15.75" customHeight="1">
      <c r="A33" s="1"/>
      <c r="B33" s="4" t="s">
        <v>917</v>
      </c>
      <c r="C33" s="15"/>
      <c r="D33" s="1"/>
      <c r="E33" s="1"/>
      <c r="F33" s="1"/>
      <c r="G33" s="2">
        <v>17209.0</v>
      </c>
    </row>
    <row r="34" ht="15.75" customHeight="1">
      <c r="A34" s="1"/>
      <c r="B34" s="4" t="s">
        <v>918</v>
      </c>
      <c r="C34" s="15"/>
      <c r="D34" s="1"/>
      <c r="E34" s="1"/>
      <c r="F34" s="1"/>
      <c r="G34" s="2">
        <v>2000.0</v>
      </c>
    </row>
    <row r="35" ht="15.75" customHeight="1">
      <c r="A35" s="1"/>
      <c r="B35" s="4" t="s">
        <v>919</v>
      </c>
      <c r="C35" s="15"/>
      <c r="D35" s="1"/>
      <c r="E35" s="1"/>
      <c r="F35" s="1"/>
      <c r="G35" s="2">
        <v>1000.0</v>
      </c>
    </row>
    <row r="36" ht="15.75" customHeight="1">
      <c r="A36" s="1"/>
      <c r="B36" s="4" t="s">
        <v>920</v>
      </c>
      <c r="C36" s="15"/>
      <c r="D36" s="1"/>
      <c r="E36" s="1"/>
      <c r="F36" s="1"/>
      <c r="G36" s="2">
        <v>250000.0</v>
      </c>
    </row>
    <row r="37" ht="15.75" customHeight="1">
      <c r="A37" s="1"/>
      <c r="B37" s="4" t="s">
        <v>921</v>
      </c>
      <c r="C37" s="15"/>
      <c r="D37" s="1"/>
      <c r="E37" s="1"/>
      <c r="F37" s="1"/>
      <c r="G37" s="2">
        <v>250000.0</v>
      </c>
    </row>
    <row r="38" ht="15.75" customHeight="1">
      <c r="A38" s="1"/>
      <c r="B38" s="4" t="s">
        <v>922</v>
      </c>
      <c r="C38" s="15"/>
      <c r="D38" s="1"/>
      <c r="E38" s="1"/>
      <c r="F38" s="1"/>
      <c r="G38" s="2">
        <v>247045.0</v>
      </c>
    </row>
    <row r="39" ht="15.75" customHeight="1">
      <c r="A39" s="1"/>
      <c r="B39" s="4" t="s">
        <v>923</v>
      </c>
      <c r="C39" s="15"/>
      <c r="D39" s="1"/>
      <c r="E39" s="1"/>
      <c r="F39" s="1"/>
      <c r="G39" s="2">
        <v>76995.0</v>
      </c>
    </row>
    <row r="40" ht="15.75" customHeight="1">
      <c r="A40" s="1"/>
      <c r="B40" s="4" t="s">
        <v>924</v>
      </c>
      <c r="C40" s="15"/>
      <c r="D40" s="1"/>
      <c r="E40" s="1"/>
      <c r="F40" s="1"/>
      <c r="G40" s="2">
        <v>4000.0</v>
      </c>
    </row>
    <row r="41" ht="15.75" customHeight="1">
      <c r="A41" s="1"/>
      <c r="B41" s="4" t="s">
        <v>925</v>
      </c>
      <c r="C41" s="15"/>
      <c r="D41" s="1"/>
      <c r="E41" s="1"/>
      <c r="F41" s="1"/>
      <c r="G41" s="2">
        <v>1000.0</v>
      </c>
    </row>
    <row r="42" ht="15.75" customHeight="1">
      <c r="A42" s="1"/>
      <c r="B42" s="4" t="s">
        <v>926</v>
      </c>
      <c r="C42" s="15"/>
      <c r="D42" s="1"/>
      <c r="E42" s="1"/>
      <c r="F42" s="1"/>
      <c r="G42" s="2">
        <v>500.0</v>
      </c>
    </row>
    <row r="43" ht="15.75" customHeight="1">
      <c r="A43" s="1"/>
      <c r="B43" s="4" t="s">
        <v>927</v>
      </c>
      <c r="C43" s="15"/>
      <c r="D43" s="1"/>
      <c r="E43" s="1"/>
      <c r="F43" s="1"/>
      <c r="G43" s="2">
        <v>437500.0</v>
      </c>
    </row>
    <row r="44" ht="15.75" customHeight="1">
      <c r="A44" s="1"/>
      <c r="B44" s="4" t="s">
        <v>463</v>
      </c>
      <c r="C44" s="15"/>
      <c r="D44" s="1"/>
      <c r="E44" s="1"/>
      <c r="F44" s="1"/>
      <c r="G44" s="2">
        <v>10000.0</v>
      </c>
    </row>
    <row r="45" ht="15.75" customHeight="1">
      <c r="A45" s="1"/>
      <c r="B45" s="4" t="s">
        <v>877</v>
      </c>
      <c r="C45" s="15"/>
      <c r="D45" s="1"/>
      <c r="E45" s="1"/>
      <c r="F45" s="1"/>
      <c r="G45" s="2">
        <v>2000.0</v>
      </c>
    </row>
    <row r="46" ht="15.75" customHeight="1">
      <c r="A46" s="1"/>
      <c r="B46" s="4" t="s">
        <v>928</v>
      </c>
      <c r="C46" s="15"/>
      <c r="D46" s="1"/>
      <c r="E46" s="1"/>
      <c r="F46" s="1"/>
      <c r="G46" s="2">
        <v>2000.0</v>
      </c>
    </row>
    <row r="47" ht="15.75" customHeight="1">
      <c r="A47" s="1"/>
      <c r="B47" s="4" t="s">
        <v>929</v>
      </c>
      <c r="C47" s="15"/>
      <c r="D47" s="1"/>
      <c r="E47" s="1"/>
      <c r="F47" s="1"/>
      <c r="G47" s="2">
        <v>5000.0</v>
      </c>
    </row>
    <row r="48" ht="15.75" customHeight="1">
      <c r="A48" s="1"/>
      <c r="B48" s="4" t="s">
        <v>930</v>
      </c>
      <c r="C48" s="15"/>
      <c r="D48" s="1"/>
      <c r="E48" s="1"/>
      <c r="F48" s="1"/>
      <c r="G48" s="2">
        <v>5000.0</v>
      </c>
    </row>
    <row r="49" ht="15.75" customHeight="1">
      <c r="A49" s="1"/>
      <c r="B49" s="4" t="s">
        <v>931</v>
      </c>
      <c r="C49" s="15"/>
      <c r="D49" s="1"/>
      <c r="E49" s="1"/>
      <c r="F49" s="1"/>
      <c r="G49" s="2">
        <v>5000.0</v>
      </c>
    </row>
    <row r="50" ht="15.75" customHeight="1">
      <c r="A50" s="1"/>
      <c r="B50" s="4" t="s">
        <v>932</v>
      </c>
      <c r="C50" s="15"/>
      <c r="D50" s="1"/>
      <c r="E50" s="1"/>
      <c r="F50" s="1"/>
      <c r="G50" s="2">
        <v>25000.0</v>
      </c>
    </row>
    <row r="51" ht="15.75" customHeight="1">
      <c r="A51" s="1"/>
      <c r="B51" s="4" t="s">
        <v>933</v>
      </c>
      <c r="C51" s="15"/>
      <c r="D51" s="1"/>
      <c r="E51" s="1"/>
      <c r="F51" s="1"/>
      <c r="G51" s="2">
        <v>2000.0</v>
      </c>
    </row>
    <row r="52" ht="15.75" customHeight="1">
      <c r="A52" s="1"/>
      <c r="B52" s="4" t="s">
        <v>934</v>
      </c>
      <c r="C52" s="15"/>
      <c r="D52" s="1"/>
      <c r="E52" s="1"/>
      <c r="F52" s="1"/>
      <c r="G52" s="2">
        <v>2000.0</v>
      </c>
    </row>
    <row r="53" ht="15.75" customHeight="1">
      <c r="A53" s="1"/>
      <c r="B53" s="4" t="s">
        <v>935</v>
      </c>
      <c r="C53" s="15"/>
      <c r="D53" s="1"/>
      <c r="E53" s="1"/>
      <c r="F53" s="1"/>
      <c r="G53" s="2">
        <v>4250.0</v>
      </c>
    </row>
    <row r="54" ht="15.75" customHeight="1">
      <c r="A54" s="1"/>
      <c r="B54" s="4"/>
      <c r="C54" s="15"/>
      <c r="D54" s="1"/>
      <c r="E54" s="1"/>
      <c r="F54" s="1"/>
      <c r="G54" s="2"/>
    </row>
    <row r="55" ht="15.75" customHeight="1">
      <c r="A55" s="1"/>
      <c r="B55" s="1"/>
      <c r="C55" s="1"/>
      <c r="D55" s="1"/>
      <c r="E55" s="1"/>
      <c r="F55" s="1"/>
      <c r="G55" s="13"/>
    </row>
    <row r="56" ht="15.75" customHeight="1">
      <c r="A56" s="1"/>
      <c r="B56" s="43" t="s">
        <v>43</v>
      </c>
      <c r="C56" s="1"/>
      <c r="D56" s="1"/>
      <c r="E56" s="1"/>
      <c r="F56" s="1"/>
      <c r="G56" s="13">
        <f>SUM(G28:G54)</f>
        <v>1424499</v>
      </c>
    </row>
    <row r="57" ht="15.75" customHeight="1">
      <c r="A57" s="1"/>
      <c r="B57" s="1"/>
      <c r="C57" s="1"/>
      <c r="D57" s="1"/>
      <c r="E57" s="1"/>
      <c r="F57" s="1"/>
      <c r="G57" s="13"/>
    </row>
    <row r="58" ht="15.75" customHeight="1">
      <c r="A58" s="1"/>
      <c r="B58" s="19" t="s">
        <v>45</v>
      </c>
      <c r="C58" s="20"/>
      <c r="D58" s="20"/>
      <c r="E58" s="20"/>
      <c r="F58" s="20"/>
      <c r="G58" s="21">
        <f>SUM(G24+G56)</f>
        <v>1975499</v>
      </c>
    </row>
    <row r="59" ht="15.75" customHeight="1">
      <c r="A59" s="1"/>
      <c r="B59" s="4" t="s">
        <v>46</v>
      </c>
      <c r="C59" s="1"/>
      <c r="D59" s="1"/>
      <c r="E59" s="1"/>
      <c r="F59" s="1"/>
      <c r="G59" s="2"/>
    </row>
    <row r="60" ht="15.75" customHeight="1">
      <c r="A60" s="35" t="s">
        <v>936</v>
      </c>
      <c r="B60" s="36"/>
      <c r="C60" s="37"/>
      <c r="D60" s="37"/>
      <c r="E60" s="37"/>
      <c r="F60" s="37"/>
      <c r="G60" s="38">
        <f>(G13-G58)</f>
        <v>1131501</v>
      </c>
    </row>
    <row r="61" ht="15.75" customHeight="1">
      <c r="A61" s="22" t="s">
        <v>254</v>
      </c>
      <c r="B61" s="1" t="s">
        <v>255</v>
      </c>
      <c r="C61" s="1"/>
      <c r="D61" s="1"/>
      <c r="E61" s="1"/>
      <c r="F61" s="1"/>
      <c r="G61" s="2"/>
    </row>
    <row r="62" ht="15.75" customHeight="1">
      <c r="A62" s="22"/>
      <c r="B62" s="1"/>
      <c r="C62" s="1"/>
      <c r="D62" s="1"/>
      <c r="E62" s="1"/>
      <c r="F62" s="1"/>
      <c r="G62" s="2"/>
    </row>
    <row r="63" ht="15.75" customHeight="1">
      <c r="A63" s="22"/>
      <c r="B63" s="1" t="s">
        <v>937</v>
      </c>
      <c r="C63" s="1"/>
      <c r="D63" s="1"/>
      <c r="E63" s="1"/>
      <c r="F63" s="1"/>
      <c r="G63" s="2">
        <v>5000000.0</v>
      </c>
    </row>
    <row r="64" ht="15.75" customHeight="1">
      <c r="A64" s="22"/>
      <c r="B64" s="1"/>
      <c r="C64" s="1"/>
      <c r="D64" s="1"/>
      <c r="E64" s="1"/>
      <c r="F64" s="1"/>
      <c r="G64" s="2">
        <v>0.0</v>
      </c>
    </row>
    <row r="65" ht="15.75" customHeight="1">
      <c r="A65" s="1"/>
      <c r="B65" s="27" t="s">
        <v>51</v>
      </c>
      <c r="C65" s="27"/>
      <c r="D65" s="27"/>
      <c r="E65" s="27"/>
      <c r="F65" s="27"/>
      <c r="G65" s="2">
        <f>SUM(G63:G64)</f>
        <v>5000000</v>
      </c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44"/>
      <c r="B67" s="45" t="s">
        <v>938</v>
      </c>
      <c r="C67" s="46"/>
      <c r="D67" s="46"/>
      <c r="E67" s="46"/>
      <c r="F67" s="46"/>
      <c r="G67" s="47">
        <f>SUM(G4+G60-G65)</f>
        <v>16802601</v>
      </c>
    </row>
    <row r="68" ht="15.75" customHeight="1">
      <c r="A68" s="1"/>
      <c r="B68" s="1"/>
      <c r="C68" s="1"/>
      <c r="D68" s="1"/>
      <c r="E68" s="1"/>
      <c r="F68" s="1"/>
      <c r="G68" s="2"/>
    </row>
    <row r="69" ht="15.75" customHeight="1">
      <c r="A69" s="1"/>
      <c r="B69" s="32" t="s">
        <v>939</v>
      </c>
    </row>
    <row r="70" ht="15.75" customHeight="1">
      <c r="A70" s="1"/>
      <c r="B70" s="1"/>
      <c r="C70" s="1" t="s">
        <v>113</v>
      </c>
      <c r="D70" s="1"/>
      <c r="E70" s="1"/>
      <c r="F70" s="1"/>
      <c r="G70" s="2">
        <v>11000.0</v>
      </c>
    </row>
    <row r="71" ht="15.75" customHeight="1">
      <c r="A71" s="1"/>
      <c r="B71" s="1"/>
      <c r="C71" s="1" t="s">
        <v>114</v>
      </c>
      <c r="D71" s="1"/>
      <c r="E71" s="1"/>
      <c r="F71" s="1"/>
      <c r="G71" s="2">
        <v>163800.0</v>
      </c>
    </row>
    <row r="72" ht="15.75" customHeight="1">
      <c r="A72" s="1"/>
      <c r="B72" s="1"/>
      <c r="C72" s="43" t="s">
        <v>115</v>
      </c>
      <c r="D72" s="1"/>
      <c r="E72" s="1"/>
      <c r="F72" s="1"/>
      <c r="G72" s="2">
        <f>SUM(G70:G71)</f>
        <v>174800</v>
      </c>
    </row>
    <row r="73" ht="15.75" customHeight="1">
      <c r="A73" s="1"/>
      <c r="B73" s="1"/>
      <c r="C73" s="43"/>
      <c r="D73" s="1"/>
      <c r="E73" s="1"/>
      <c r="F73" s="1"/>
      <c r="G73" s="2"/>
    </row>
    <row r="74" ht="15.75" customHeight="1">
      <c r="A74" s="1"/>
      <c r="B74" s="1" t="s">
        <v>940</v>
      </c>
      <c r="C74" s="43"/>
      <c r="D74" s="1"/>
      <c r="E74" s="1"/>
      <c r="F74" s="1"/>
      <c r="G74" s="2"/>
    </row>
    <row r="75" ht="15.75" customHeight="1">
      <c r="A75" s="1"/>
      <c r="B75" s="1"/>
      <c r="C75" s="43"/>
      <c r="D75" s="1"/>
      <c r="E75" s="1"/>
      <c r="F75" s="1"/>
      <c r="G75" s="2"/>
    </row>
    <row r="76" ht="15.75" customHeight="1">
      <c r="A76" s="1"/>
      <c r="B76" s="1" t="s">
        <v>941</v>
      </c>
      <c r="C76" s="43"/>
      <c r="D76" s="1"/>
      <c r="E76" s="1"/>
      <c r="F76" s="1"/>
      <c r="G76" s="1"/>
    </row>
    <row r="77" ht="15.75" customHeight="1">
      <c r="A77" s="1"/>
      <c r="B77" s="1" t="s">
        <v>902</v>
      </c>
      <c r="C77" s="43"/>
      <c r="D77" s="1"/>
      <c r="E77" s="1"/>
      <c r="F77" s="1"/>
      <c r="G77" s="1"/>
    </row>
    <row r="78" ht="15.75" customHeight="1">
      <c r="A78" s="1"/>
      <c r="B78" s="1" t="s">
        <v>942</v>
      </c>
      <c r="C78" s="43"/>
      <c r="D78" s="1"/>
      <c r="E78" s="1"/>
      <c r="F78" s="1"/>
      <c r="G78" s="1"/>
    </row>
    <row r="79" ht="15.75" customHeight="1">
      <c r="A79" s="1"/>
      <c r="B79" s="1"/>
      <c r="C79" s="43"/>
      <c r="D79" s="1"/>
      <c r="E79" s="1"/>
      <c r="F79" s="1"/>
      <c r="G79" s="1"/>
    </row>
    <row r="80" ht="15.75" customHeight="1">
      <c r="A80" s="1"/>
      <c r="B80" s="33" t="s">
        <v>943</v>
      </c>
      <c r="C80" s="1"/>
      <c r="D80" s="1"/>
      <c r="E80" s="1"/>
      <c r="F80" s="1"/>
      <c r="G80" s="2"/>
    </row>
    <row r="81" ht="15.75" customHeight="1">
      <c r="A81" s="1"/>
      <c r="B81" s="4"/>
      <c r="C81" s="1"/>
      <c r="D81" s="1"/>
      <c r="E81" s="1"/>
      <c r="F81" s="1"/>
      <c r="G81" s="2"/>
    </row>
    <row r="82" ht="15.75" customHeight="1">
      <c r="A82" s="1"/>
      <c r="B82" s="55" t="s">
        <v>531</v>
      </c>
      <c r="C82" s="56"/>
      <c r="D82" s="56"/>
      <c r="E82" s="56"/>
      <c r="F82" s="1"/>
      <c r="G82" s="2"/>
    </row>
    <row r="83" ht="15.75" customHeight="1">
      <c r="A83" s="1"/>
      <c r="B83" s="55"/>
      <c r="C83" s="56"/>
      <c r="D83" s="56"/>
      <c r="E83" s="56"/>
      <c r="F83" s="1"/>
      <c r="G83" s="2"/>
    </row>
    <row r="84" ht="15.75" customHeight="1">
      <c r="A84" s="1"/>
      <c r="B84" s="55" t="s">
        <v>944</v>
      </c>
      <c r="C84" s="56"/>
      <c r="D84" s="56"/>
      <c r="E84" s="56"/>
      <c r="F84" s="1"/>
      <c r="G84" s="2"/>
    </row>
    <row r="85" ht="15.75" customHeight="1">
      <c r="A85" s="1"/>
      <c r="B85" s="55"/>
      <c r="C85" s="56"/>
      <c r="D85" s="56"/>
      <c r="E85" s="56"/>
      <c r="F85" s="1"/>
      <c r="G85" s="2"/>
    </row>
    <row r="86" ht="15.75" customHeight="1">
      <c r="A86" s="1"/>
      <c r="B86" s="55" t="s">
        <v>681</v>
      </c>
      <c r="F86" s="1"/>
      <c r="G86" s="2"/>
    </row>
    <row r="87" ht="15.75" customHeight="1">
      <c r="A87" s="1"/>
      <c r="B87" s="55"/>
      <c r="C87" s="55"/>
      <c r="D87" s="55"/>
      <c r="E87" s="55"/>
      <c r="F87" s="1"/>
      <c r="G87" s="2"/>
    </row>
    <row r="88" ht="15.75" customHeight="1">
      <c r="A88" s="1"/>
      <c r="B88" s="55" t="s">
        <v>945</v>
      </c>
      <c r="C88" s="56"/>
      <c r="D88" s="57"/>
      <c r="E88" s="56"/>
      <c r="F88" s="1"/>
      <c r="G88" s="2"/>
    </row>
    <row r="89" ht="15.75" customHeight="1">
      <c r="A89" s="1"/>
      <c r="B89" s="55"/>
      <c r="C89" s="56"/>
      <c r="D89" s="57"/>
      <c r="E89" s="56"/>
      <c r="F89" s="1"/>
      <c r="G89" s="2"/>
    </row>
    <row r="90" ht="15.75" customHeight="1">
      <c r="A90" s="1"/>
      <c r="B90" s="55" t="s">
        <v>535</v>
      </c>
      <c r="C90" s="56"/>
      <c r="D90" s="57"/>
      <c r="E90" s="56"/>
      <c r="F90" s="1"/>
      <c r="G90" s="2"/>
    </row>
    <row r="91" ht="15.75" customHeight="1">
      <c r="A91" s="1"/>
      <c r="B91" s="55"/>
      <c r="C91" s="56"/>
      <c r="D91" s="57"/>
      <c r="E91" s="56"/>
      <c r="F91" s="1"/>
      <c r="G91" s="2"/>
    </row>
    <row r="92" ht="15.75" customHeight="1">
      <c r="B92" s="55" t="s">
        <v>536</v>
      </c>
      <c r="C92" s="56"/>
      <c r="D92" s="57"/>
      <c r="E92" s="57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69:G69"/>
    <mergeCell ref="B86:E86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2">
      <c r="A2" s="1" t="s">
        <v>721</v>
      </c>
      <c r="B2" s="3" t="s">
        <v>946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947</v>
      </c>
      <c r="C4" s="1"/>
      <c r="D4" s="1"/>
      <c r="E4" s="1"/>
      <c r="F4" s="1"/>
      <c r="G4" s="2">
        <v>1.6802601E7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948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337200.0</v>
      </c>
      <c r="G7" s="7">
        <v>151000.0</v>
      </c>
    </row>
    <row r="8">
      <c r="A8" s="1"/>
      <c r="B8" s="4" t="s">
        <v>64</v>
      </c>
      <c r="C8" s="1"/>
      <c r="D8" s="1"/>
      <c r="E8" s="1"/>
      <c r="F8" s="2">
        <v>420000.0</v>
      </c>
      <c r="G8" s="7">
        <v>170000.0</v>
      </c>
    </row>
    <row r="9">
      <c r="A9" s="1"/>
      <c r="B9" s="4" t="s">
        <v>65</v>
      </c>
      <c r="C9" s="1"/>
      <c r="D9" s="1"/>
      <c r="E9" s="1"/>
      <c r="F9" s="2">
        <v>464600.0</v>
      </c>
      <c r="G9" s="7">
        <v>188000.0</v>
      </c>
    </row>
    <row r="10">
      <c r="A10" s="1"/>
      <c r="B10" s="4" t="s">
        <v>66</v>
      </c>
      <c r="C10" s="1"/>
      <c r="D10" s="1"/>
      <c r="E10" s="1"/>
      <c r="F10" s="2">
        <v>510200.0</v>
      </c>
      <c r="G10" s="8">
        <v>221000.0</v>
      </c>
    </row>
    <row r="11">
      <c r="A11" s="1"/>
      <c r="B11" s="4" t="s">
        <v>67</v>
      </c>
      <c r="C11" s="1"/>
      <c r="D11" s="49" t="s">
        <v>8</v>
      </c>
      <c r="E11" s="49"/>
      <c r="F11" s="62">
        <v>261100.0</v>
      </c>
      <c r="G11" s="7">
        <v>104000.0</v>
      </c>
    </row>
    <row r="12">
      <c r="A12" s="1"/>
      <c r="B12" s="4"/>
      <c r="C12" s="50" t="s">
        <v>405</v>
      </c>
      <c r="E12" s="4"/>
      <c r="F12" s="2">
        <f t="shared" ref="F12:G12" si="1">SUM(F7:F11)</f>
        <v>1993100</v>
      </c>
      <c r="G12" s="7">
        <f t="shared" si="1"/>
        <v>834000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2827100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949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910</v>
      </c>
      <c r="C17" s="1"/>
      <c r="D17" s="1"/>
      <c r="E17" s="1"/>
      <c r="F17" s="1"/>
      <c r="G17" s="2">
        <v>111000.0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100000.0</v>
      </c>
    </row>
    <row r="23" ht="15.75" customHeight="1">
      <c r="A23" s="1"/>
      <c r="B23" s="4"/>
      <c r="C23" s="1"/>
      <c r="D23" s="1"/>
      <c r="E23" s="1"/>
      <c r="F23" s="1"/>
      <c r="G23" s="2"/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551000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12"/>
      <c r="C26" s="15"/>
      <c r="D26" s="1"/>
      <c r="E26" s="1"/>
      <c r="F26" s="1"/>
      <c r="G26" s="2"/>
    </row>
    <row r="27" ht="15.75" customHeight="1">
      <c r="A27" s="1"/>
      <c r="B27" s="4" t="s">
        <v>950</v>
      </c>
      <c r="C27" s="15"/>
      <c r="D27" s="1"/>
      <c r="E27" s="1"/>
      <c r="F27" s="1"/>
      <c r="G27" s="2">
        <v>1475.0</v>
      </c>
    </row>
    <row r="28" ht="15.75" customHeight="1">
      <c r="A28" s="1"/>
      <c r="B28" s="4" t="s">
        <v>951</v>
      </c>
      <c r="C28" s="15"/>
      <c r="D28" s="1"/>
      <c r="E28" s="1"/>
      <c r="F28" s="1"/>
      <c r="G28" s="2">
        <v>2000.0</v>
      </c>
    </row>
    <row r="29" ht="15.75" customHeight="1">
      <c r="A29" s="1"/>
      <c r="B29" s="4" t="s">
        <v>952</v>
      </c>
      <c r="C29" s="15"/>
      <c r="D29" s="1"/>
      <c r="E29" s="1"/>
      <c r="F29" s="1"/>
      <c r="G29" s="2">
        <v>7000.0</v>
      </c>
    </row>
    <row r="30" ht="15.75" customHeight="1">
      <c r="A30" s="1"/>
      <c r="B30" s="4" t="s">
        <v>652</v>
      </c>
      <c r="C30" s="15"/>
      <c r="D30" s="1"/>
      <c r="E30" s="1"/>
      <c r="F30" s="1"/>
      <c r="G30" s="2">
        <v>8000.0</v>
      </c>
    </row>
    <row r="31" ht="15.75" customHeight="1">
      <c r="A31" s="1"/>
      <c r="B31" s="4" t="s">
        <v>953</v>
      </c>
      <c r="C31" s="15"/>
      <c r="D31" s="1"/>
      <c r="E31" s="1"/>
      <c r="F31" s="1"/>
      <c r="G31" s="2">
        <v>65250.0</v>
      </c>
    </row>
    <row r="32" ht="15.75" customHeight="1">
      <c r="A32" s="1"/>
      <c r="B32" s="4" t="s">
        <v>954</v>
      </c>
      <c r="C32" s="15"/>
      <c r="D32" s="1"/>
      <c r="E32" s="1"/>
      <c r="F32" s="1"/>
      <c r="G32" s="2">
        <v>2000.0</v>
      </c>
    </row>
    <row r="33" ht="15.75" customHeight="1">
      <c r="A33" s="1"/>
      <c r="B33" s="4" t="s">
        <v>955</v>
      </c>
      <c r="C33" s="15"/>
      <c r="D33" s="1"/>
      <c r="E33" s="1"/>
      <c r="F33" s="1"/>
      <c r="G33" s="2">
        <v>25000.0</v>
      </c>
    </row>
    <row r="34" ht="15.75" customHeight="1">
      <c r="A34" s="1"/>
      <c r="B34" s="4" t="s">
        <v>956</v>
      </c>
      <c r="C34" s="15"/>
      <c r="D34" s="1"/>
      <c r="E34" s="1"/>
      <c r="F34" s="1"/>
      <c r="G34" s="2">
        <v>300000.0</v>
      </c>
    </row>
    <row r="35" ht="15.75" customHeight="1">
      <c r="A35" s="1"/>
      <c r="B35" s="4" t="s">
        <v>957</v>
      </c>
      <c r="C35" s="15"/>
      <c r="D35" s="1"/>
      <c r="E35" s="1"/>
      <c r="F35" s="1"/>
      <c r="G35" s="2">
        <v>115493.0</v>
      </c>
    </row>
    <row r="36" ht="15.75" customHeight="1">
      <c r="A36" s="1"/>
      <c r="B36" s="4" t="s">
        <v>958</v>
      </c>
      <c r="C36" s="15"/>
      <c r="D36" s="1"/>
      <c r="E36" s="1"/>
      <c r="F36" s="1"/>
      <c r="G36" s="2"/>
    </row>
    <row r="37" ht="15.75" customHeight="1">
      <c r="A37" s="1"/>
      <c r="B37" s="4" t="s">
        <v>959</v>
      </c>
      <c r="C37" s="15"/>
      <c r="D37" s="1"/>
      <c r="E37" s="1"/>
      <c r="F37" s="1"/>
      <c r="G37" s="2">
        <v>2000.0</v>
      </c>
    </row>
    <row r="38" ht="15.75" customHeight="1">
      <c r="A38" s="1"/>
      <c r="B38" s="4" t="s">
        <v>960</v>
      </c>
      <c r="C38" s="15"/>
      <c r="D38" s="1"/>
      <c r="E38" s="1"/>
      <c r="F38" s="1"/>
      <c r="G38" s="2">
        <v>1000.0</v>
      </c>
    </row>
    <row r="39" ht="15.75" customHeight="1">
      <c r="A39" s="1"/>
      <c r="B39" s="4" t="s">
        <v>961</v>
      </c>
      <c r="C39" s="15"/>
      <c r="D39" s="1"/>
      <c r="E39" s="1"/>
      <c r="F39" s="1"/>
      <c r="G39" s="2">
        <v>5000.0</v>
      </c>
    </row>
    <row r="40" ht="15.75" customHeight="1">
      <c r="A40" s="1"/>
      <c r="B40" s="4" t="s">
        <v>962</v>
      </c>
      <c r="C40" s="15"/>
      <c r="D40" s="1"/>
      <c r="E40" s="1"/>
      <c r="F40" s="1"/>
      <c r="G40" s="2">
        <v>2000.0</v>
      </c>
    </row>
    <row r="41" ht="15.75" customHeight="1">
      <c r="A41" s="1"/>
      <c r="B41" s="4" t="s">
        <v>203</v>
      </c>
      <c r="C41" s="15"/>
      <c r="D41" s="1"/>
      <c r="E41" s="1"/>
      <c r="F41" s="1"/>
      <c r="G41" s="2">
        <v>5000.0</v>
      </c>
    </row>
    <row r="42" ht="15.75" customHeight="1">
      <c r="A42" s="1"/>
      <c r="B42" s="4" t="s">
        <v>963</v>
      </c>
      <c r="C42" s="15"/>
      <c r="D42" s="1"/>
      <c r="E42" s="1"/>
      <c r="F42" s="1"/>
      <c r="G42" s="2">
        <v>2000.0</v>
      </c>
    </row>
    <row r="43" ht="15.75" customHeight="1">
      <c r="A43" s="1"/>
      <c r="B43" s="4" t="s">
        <v>75</v>
      </c>
      <c r="C43" s="15"/>
      <c r="D43" s="1"/>
      <c r="E43" s="1"/>
      <c r="F43" s="1"/>
      <c r="G43" s="2">
        <v>100000.0</v>
      </c>
    </row>
    <row r="44" ht="15.75" customHeight="1">
      <c r="A44" s="1"/>
      <c r="B44" s="4" t="s">
        <v>964</v>
      </c>
      <c r="C44" s="15"/>
      <c r="D44" s="1"/>
      <c r="E44" s="1"/>
      <c r="F44" s="1"/>
      <c r="G44" s="2">
        <v>105000.0</v>
      </c>
    </row>
    <row r="45" ht="15.75" customHeight="1">
      <c r="A45" s="1"/>
      <c r="B45" s="4" t="s">
        <v>965</v>
      </c>
      <c r="C45" s="15"/>
      <c r="D45" s="1"/>
      <c r="E45" s="1"/>
      <c r="F45" s="1"/>
      <c r="G45" s="2">
        <v>159405.0</v>
      </c>
    </row>
    <row r="46" ht="15.75" customHeight="1">
      <c r="A46" s="1"/>
      <c r="B46" s="4" t="s">
        <v>652</v>
      </c>
      <c r="C46" s="15"/>
      <c r="D46" s="1"/>
      <c r="E46" s="1"/>
      <c r="F46" s="1"/>
      <c r="G46" s="2">
        <v>8000.0</v>
      </c>
    </row>
    <row r="47" ht="15.75" customHeight="1">
      <c r="A47" s="1"/>
      <c r="B47" s="4" t="s">
        <v>966</v>
      </c>
      <c r="C47" s="15"/>
      <c r="D47" s="1"/>
      <c r="E47" s="1"/>
      <c r="F47" s="1"/>
      <c r="G47" s="2">
        <v>65250.0</v>
      </c>
    </row>
    <row r="48" ht="15.75" customHeight="1">
      <c r="A48" s="1"/>
      <c r="B48" s="4"/>
      <c r="C48" s="15"/>
      <c r="D48" s="1"/>
      <c r="E48" s="1"/>
      <c r="F48" s="1"/>
      <c r="G48" s="2"/>
    </row>
    <row r="49" ht="15.75" customHeight="1">
      <c r="A49" s="1"/>
      <c r="B49" s="43" t="s">
        <v>43</v>
      </c>
      <c r="C49" s="1"/>
      <c r="D49" s="1"/>
      <c r="E49" s="1"/>
      <c r="F49" s="1"/>
      <c r="G49" s="13">
        <f>SUM(G28:G48)</f>
        <v>979398</v>
      </c>
    </row>
    <row r="50" ht="15.75" customHeight="1">
      <c r="A50" s="1"/>
      <c r="B50" s="1"/>
      <c r="C50" s="1"/>
      <c r="D50" s="1"/>
      <c r="E50" s="1"/>
      <c r="F50" s="1"/>
      <c r="G50" s="13"/>
    </row>
    <row r="51" ht="15.75" customHeight="1">
      <c r="A51" s="1"/>
      <c r="B51" s="19" t="s">
        <v>45</v>
      </c>
      <c r="C51" s="20"/>
      <c r="D51" s="20"/>
      <c r="E51" s="20"/>
      <c r="F51" s="20"/>
      <c r="G51" s="21">
        <f>SUM(G24+G49)</f>
        <v>1530398</v>
      </c>
    </row>
    <row r="52" ht="15.75" customHeight="1">
      <c r="A52" s="1"/>
      <c r="B52" s="4" t="s">
        <v>46</v>
      </c>
      <c r="C52" s="1"/>
      <c r="D52" s="1"/>
      <c r="E52" s="1"/>
      <c r="F52" s="1"/>
      <c r="G52" s="2"/>
    </row>
    <row r="53" ht="15.75" customHeight="1">
      <c r="A53" s="35" t="s">
        <v>967</v>
      </c>
      <c r="B53" s="36"/>
      <c r="C53" s="37"/>
      <c r="D53" s="37"/>
      <c r="E53" s="37"/>
      <c r="F53" s="37"/>
      <c r="G53" s="38">
        <f>(G13-G51)</f>
        <v>1296702</v>
      </c>
    </row>
    <row r="54" ht="15.75" customHeight="1">
      <c r="A54" s="22" t="s">
        <v>254</v>
      </c>
      <c r="B54" s="1" t="s">
        <v>255</v>
      </c>
      <c r="C54" s="1"/>
      <c r="D54" s="1"/>
      <c r="E54" s="1"/>
      <c r="F54" s="1"/>
      <c r="G54" s="2"/>
    </row>
    <row r="55" ht="15.75" customHeight="1">
      <c r="A55" s="22"/>
      <c r="B55" s="1"/>
      <c r="C55" s="1"/>
      <c r="D55" s="1"/>
      <c r="E55" s="1"/>
      <c r="F55" s="1"/>
      <c r="G55" s="2"/>
    </row>
    <row r="56" ht="15.75" customHeight="1">
      <c r="A56" s="22"/>
      <c r="B56" s="1"/>
      <c r="C56" s="1"/>
      <c r="D56" s="1"/>
      <c r="E56" s="1"/>
      <c r="F56" s="1"/>
      <c r="G56" s="2">
        <v>0.0</v>
      </c>
    </row>
    <row r="57" ht="15.75" customHeight="1">
      <c r="A57" s="1"/>
      <c r="B57" s="27" t="s">
        <v>51</v>
      </c>
      <c r="C57" s="27"/>
      <c r="D57" s="27"/>
      <c r="E57" s="27"/>
      <c r="F57" s="27"/>
      <c r="G57" s="2">
        <f>SUM(G56)</f>
        <v>0</v>
      </c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44"/>
      <c r="B59" s="45" t="s">
        <v>968</v>
      </c>
      <c r="C59" s="46"/>
      <c r="D59" s="46"/>
      <c r="E59" s="46"/>
      <c r="F59" s="46"/>
      <c r="G59" s="47">
        <f>SUM(G4+G53-G57)</f>
        <v>18099303</v>
      </c>
    </row>
    <row r="60" ht="15.75" customHeight="1">
      <c r="A60" s="1"/>
      <c r="B60" s="1"/>
      <c r="C60" s="1"/>
      <c r="D60" s="1"/>
      <c r="E60" s="1"/>
      <c r="F60" s="1"/>
      <c r="G60" s="2"/>
    </row>
    <row r="61" ht="15.75" customHeight="1">
      <c r="A61" s="1"/>
      <c r="B61" s="32" t="s">
        <v>969</v>
      </c>
    </row>
    <row r="62" ht="15.75" customHeight="1">
      <c r="A62" s="1"/>
      <c r="B62" s="1"/>
      <c r="C62" s="1" t="s">
        <v>113</v>
      </c>
      <c r="D62" s="1"/>
      <c r="E62" s="1"/>
      <c r="F62" s="1"/>
      <c r="G62" s="2">
        <v>84400.0</v>
      </c>
    </row>
    <row r="63" ht="15.75" customHeight="1">
      <c r="A63" s="1"/>
      <c r="B63" s="1"/>
      <c r="C63" s="1" t="s">
        <v>114</v>
      </c>
      <c r="D63" s="1"/>
      <c r="E63" s="1"/>
      <c r="F63" s="1"/>
      <c r="G63" s="2">
        <v>195800.0</v>
      </c>
    </row>
    <row r="64" ht="15.75" customHeight="1">
      <c r="A64" s="1"/>
      <c r="B64" s="1"/>
      <c r="C64" s="43" t="s">
        <v>115</v>
      </c>
      <c r="D64" s="1"/>
      <c r="E64" s="1"/>
      <c r="F64" s="1"/>
      <c r="G64" s="2">
        <f>SUM(G62:G63)</f>
        <v>280200</v>
      </c>
    </row>
    <row r="65" ht="15.75" customHeight="1">
      <c r="A65" s="1"/>
      <c r="B65" s="1"/>
      <c r="C65" s="43"/>
      <c r="D65" s="1"/>
      <c r="E65" s="1"/>
      <c r="F65" s="1"/>
      <c r="G65" s="2"/>
    </row>
    <row r="66" ht="15.75" customHeight="1">
      <c r="A66" s="1"/>
      <c r="B66" s="1" t="s">
        <v>970</v>
      </c>
      <c r="C66" s="43"/>
      <c r="D66" s="1"/>
      <c r="E66" s="1"/>
      <c r="F66" s="1"/>
      <c r="G66" s="2"/>
    </row>
    <row r="67" ht="15.75" customHeight="1">
      <c r="A67" s="1"/>
      <c r="B67" s="1"/>
      <c r="C67" s="43"/>
      <c r="D67" s="1"/>
      <c r="E67" s="1"/>
      <c r="F67" s="1"/>
      <c r="G67" s="2"/>
    </row>
    <row r="68" ht="15.75" customHeight="1">
      <c r="A68" s="1"/>
      <c r="B68" s="1" t="s">
        <v>941</v>
      </c>
      <c r="C68" s="43"/>
      <c r="D68" s="1"/>
      <c r="E68" s="1"/>
      <c r="F68" s="1"/>
      <c r="G68" s="1"/>
    </row>
    <row r="69" ht="15.75" customHeight="1">
      <c r="A69" s="1"/>
      <c r="B69" s="1" t="s">
        <v>902</v>
      </c>
      <c r="C69" s="43"/>
      <c r="D69" s="1"/>
      <c r="E69" s="1"/>
      <c r="F69" s="1"/>
      <c r="G69" s="1"/>
    </row>
    <row r="70" ht="15.75" customHeight="1">
      <c r="A70" s="1"/>
      <c r="B70" s="1" t="s">
        <v>942</v>
      </c>
      <c r="C70" s="43"/>
      <c r="D70" s="1"/>
      <c r="E70" s="1"/>
      <c r="F70" s="1"/>
      <c r="G70" s="1"/>
    </row>
    <row r="71" ht="15.75" customHeight="1">
      <c r="A71" s="1"/>
      <c r="B71" s="1"/>
      <c r="C71" s="43"/>
      <c r="D71" s="1"/>
      <c r="E71" s="1"/>
      <c r="F71" s="1"/>
      <c r="G71" s="1"/>
    </row>
    <row r="72" ht="15.75" customHeight="1">
      <c r="A72" s="1"/>
      <c r="B72" s="33" t="s">
        <v>971</v>
      </c>
      <c r="C72" s="1"/>
      <c r="D72" s="1"/>
      <c r="E72" s="1"/>
      <c r="F72" s="1"/>
      <c r="G72" s="2"/>
    </row>
    <row r="73" ht="15.75" customHeight="1">
      <c r="A73" s="1"/>
      <c r="B73" s="4"/>
      <c r="C73" s="1"/>
      <c r="D73" s="1"/>
      <c r="E73" s="1"/>
      <c r="F73" s="1"/>
      <c r="G73" s="2"/>
    </row>
    <row r="74" ht="15.75" customHeight="1">
      <c r="A74" s="1"/>
      <c r="B74" s="55" t="s">
        <v>531</v>
      </c>
      <c r="C74" s="56"/>
      <c r="D74" s="56"/>
      <c r="E74" s="56"/>
      <c r="F74" s="1"/>
      <c r="G74" s="2"/>
    </row>
    <row r="75" ht="15.75" customHeight="1">
      <c r="A75" s="1"/>
      <c r="B75" s="55"/>
      <c r="C75" s="56"/>
      <c r="D75" s="56"/>
      <c r="E75" s="56"/>
      <c r="F75" s="1"/>
      <c r="G75" s="2"/>
    </row>
    <row r="76" ht="15.75" customHeight="1">
      <c r="A76" s="1"/>
      <c r="B76" s="55" t="s">
        <v>972</v>
      </c>
      <c r="C76" s="56"/>
      <c r="D76" s="56"/>
      <c r="E76" s="56"/>
      <c r="F76" s="1"/>
      <c r="G76" s="2"/>
    </row>
    <row r="77" ht="15.75" customHeight="1">
      <c r="A77" s="1"/>
      <c r="B77" s="55"/>
      <c r="C77" s="56"/>
      <c r="D77" s="56"/>
      <c r="E77" s="56"/>
      <c r="F77" s="1"/>
      <c r="G77" s="2"/>
    </row>
    <row r="78" ht="15.75" customHeight="1">
      <c r="A78" s="1"/>
      <c r="B78" s="55" t="s">
        <v>681</v>
      </c>
      <c r="F78" s="1"/>
      <c r="G78" s="2"/>
    </row>
    <row r="79" ht="15.75" customHeight="1">
      <c r="A79" s="1"/>
      <c r="B79" s="55"/>
      <c r="C79" s="55"/>
      <c r="D79" s="55"/>
      <c r="E79" s="55"/>
      <c r="F79" s="1"/>
      <c r="G79" s="2"/>
    </row>
    <row r="80" ht="15.75" customHeight="1">
      <c r="A80" s="1"/>
      <c r="B80" s="55" t="s">
        <v>973</v>
      </c>
      <c r="C80" s="56"/>
      <c r="D80" s="57"/>
      <c r="E80" s="56"/>
      <c r="F80" s="1"/>
      <c r="G80" s="2"/>
    </row>
    <row r="81" ht="15.75" customHeight="1">
      <c r="A81" s="1"/>
      <c r="B81" s="55"/>
      <c r="C81" s="56"/>
      <c r="D81" s="57"/>
      <c r="E81" s="56"/>
      <c r="F81" s="1"/>
      <c r="G81" s="2"/>
    </row>
    <row r="82" ht="15.75" customHeight="1">
      <c r="A82" s="1"/>
      <c r="B82" s="55" t="s">
        <v>535</v>
      </c>
      <c r="C82" s="56"/>
      <c r="D82" s="57"/>
      <c r="E82" s="56"/>
      <c r="F82" s="1"/>
      <c r="G82" s="2"/>
    </row>
    <row r="83" ht="15.75" customHeight="1">
      <c r="A83" s="1"/>
      <c r="B83" s="55"/>
      <c r="C83" s="56"/>
      <c r="D83" s="57"/>
      <c r="E83" s="56"/>
      <c r="F83" s="1"/>
      <c r="G83" s="2"/>
    </row>
    <row r="84" ht="15.75" customHeight="1">
      <c r="B84" s="55" t="s">
        <v>536</v>
      </c>
      <c r="C84" s="56"/>
      <c r="D84" s="57"/>
      <c r="E84" s="57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61:G61"/>
    <mergeCell ref="B78:E78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2">
      <c r="A2" s="1" t="s">
        <v>721</v>
      </c>
      <c r="B2" s="3" t="s">
        <v>974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975</v>
      </c>
      <c r="C4" s="1"/>
      <c r="D4" s="1"/>
      <c r="E4" s="1"/>
      <c r="F4" s="1"/>
      <c r="G4" s="2">
        <v>1.8099303E7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976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133800.0</v>
      </c>
      <c r="G7" s="7">
        <v>56000.0</v>
      </c>
    </row>
    <row r="8">
      <c r="A8" s="1"/>
      <c r="B8" s="4" t="s">
        <v>64</v>
      </c>
      <c r="C8" s="1"/>
      <c r="D8" s="1"/>
      <c r="E8" s="1"/>
      <c r="F8" s="2">
        <v>269600.0</v>
      </c>
      <c r="G8" s="7">
        <v>148000.0</v>
      </c>
    </row>
    <row r="9">
      <c r="A9" s="1"/>
      <c r="B9" s="4" t="s">
        <v>65</v>
      </c>
      <c r="C9" s="1"/>
      <c r="D9" s="1"/>
      <c r="E9" s="1"/>
      <c r="F9" s="2">
        <v>599400.0</v>
      </c>
      <c r="G9" s="7">
        <v>168000.0</v>
      </c>
    </row>
    <row r="10">
      <c r="A10" s="1"/>
      <c r="B10" s="4" t="s">
        <v>66</v>
      </c>
      <c r="C10" s="1"/>
      <c r="D10" s="1"/>
      <c r="E10" s="1"/>
      <c r="F10" s="2">
        <v>518500.0</v>
      </c>
      <c r="G10" s="8">
        <v>150000.0</v>
      </c>
    </row>
    <row r="11">
      <c r="A11" s="1"/>
      <c r="B11" s="4" t="s">
        <v>67</v>
      </c>
      <c r="C11" s="1"/>
      <c r="D11" s="49" t="s">
        <v>8</v>
      </c>
      <c r="E11" s="49"/>
      <c r="F11" s="62">
        <v>472800.0</v>
      </c>
      <c r="G11" s="7">
        <v>122000.0</v>
      </c>
    </row>
    <row r="12">
      <c r="A12" s="1"/>
      <c r="B12" s="4"/>
      <c r="C12" s="50" t="s">
        <v>405</v>
      </c>
      <c r="E12" s="4"/>
      <c r="F12" s="2">
        <f t="shared" ref="F12:G12" si="1">SUM(F7:F11)</f>
        <v>1994100</v>
      </c>
      <c r="G12" s="7">
        <f t="shared" si="1"/>
        <v>644000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2638100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977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978</v>
      </c>
      <c r="C17" s="1"/>
      <c r="D17" s="1"/>
      <c r="E17" s="1"/>
      <c r="F17" s="1"/>
      <c r="G17" s="2">
        <v>102000.0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100000.0</v>
      </c>
    </row>
    <row r="23" ht="15.75" customHeight="1">
      <c r="A23" s="1"/>
      <c r="B23" s="4"/>
      <c r="C23" s="1"/>
      <c r="D23" s="1"/>
      <c r="E23" s="1"/>
      <c r="F23" s="1"/>
      <c r="G23" s="2"/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542000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12"/>
      <c r="C26" s="15"/>
      <c r="D26" s="1"/>
      <c r="E26" s="1"/>
      <c r="F26" s="1"/>
      <c r="G26" s="2"/>
    </row>
    <row r="27" ht="15.75" customHeight="1">
      <c r="A27" s="1"/>
      <c r="B27" s="4" t="s">
        <v>979</v>
      </c>
      <c r="C27" s="15"/>
      <c r="D27" s="1"/>
      <c r="E27" s="1"/>
      <c r="F27" s="1"/>
      <c r="G27" s="2">
        <v>2000.0</v>
      </c>
    </row>
    <row r="28" ht="15.75" customHeight="1">
      <c r="A28" s="1"/>
      <c r="B28" s="4" t="s">
        <v>980</v>
      </c>
      <c r="C28" s="15"/>
      <c r="D28" s="1"/>
      <c r="E28" s="1"/>
      <c r="F28" s="1"/>
      <c r="G28" s="2">
        <v>3500.0</v>
      </c>
    </row>
    <row r="29" ht="15.75" customHeight="1">
      <c r="A29" s="1"/>
      <c r="B29" s="4" t="s">
        <v>981</v>
      </c>
      <c r="C29" s="15"/>
      <c r="D29" s="1"/>
      <c r="E29" s="1"/>
      <c r="F29" s="1"/>
      <c r="G29" s="2">
        <v>2000.0</v>
      </c>
    </row>
    <row r="30" ht="15.75" customHeight="1">
      <c r="A30" s="1"/>
      <c r="B30" s="4" t="s">
        <v>982</v>
      </c>
      <c r="C30" s="15"/>
      <c r="D30" s="1"/>
      <c r="E30" s="1"/>
      <c r="F30" s="1"/>
      <c r="G30" s="2">
        <v>36000.0</v>
      </c>
    </row>
    <row r="31" ht="15.75" customHeight="1">
      <c r="A31" s="1"/>
      <c r="B31" s="4" t="s">
        <v>983</v>
      </c>
      <c r="C31" s="15"/>
      <c r="D31" s="1"/>
      <c r="E31" s="1"/>
      <c r="F31" s="1"/>
      <c r="G31" s="2">
        <v>2000.0</v>
      </c>
    </row>
    <row r="32" ht="15.75" customHeight="1">
      <c r="A32" s="1"/>
      <c r="B32" s="4" t="s">
        <v>954</v>
      </c>
      <c r="C32" s="15"/>
      <c r="D32" s="1"/>
      <c r="E32" s="1"/>
      <c r="F32" s="1"/>
      <c r="G32" s="2">
        <v>2000.0</v>
      </c>
    </row>
    <row r="33" ht="15.75" customHeight="1">
      <c r="A33" s="1"/>
      <c r="B33" s="4" t="s">
        <v>984</v>
      </c>
      <c r="C33" s="15"/>
      <c r="D33" s="1"/>
      <c r="E33" s="1"/>
      <c r="F33" s="1"/>
      <c r="G33" s="2">
        <v>3000.0</v>
      </c>
    </row>
    <row r="34" ht="15.75" customHeight="1">
      <c r="A34" s="1"/>
      <c r="B34" s="4" t="s">
        <v>985</v>
      </c>
      <c r="C34" s="15"/>
      <c r="D34" s="1"/>
      <c r="E34" s="1"/>
      <c r="F34" s="1"/>
      <c r="G34" s="2">
        <v>2000.0</v>
      </c>
    </row>
    <row r="35" ht="15.75" customHeight="1">
      <c r="A35" s="1"/>
      <c r="B35" s="4" t="s">
        <v>986</v>
      </c>
      <c r="C35" s="15"/>
      <c r="D35" s="1"/>
      <c r="E35" s="1"/>
      <c r="F35" s="1"/>
      <c r="G35" s="2">
        <v>175000.0</v>
      </c>
    </row>
    <row r="36" ht="15.75" customHeight="1">
      <c r="A36" s="1"/>
      <c r="B36" s="4" t="s">
        <v>987</v>
      </c>
      <c r="C36" s="15"/>
      <c r="D36" s="1"/>
      <c r="E36" s="1"/>
      <c r="F36" s="1"/>
      <c r="G36" s="2">
        <v>1800.0</v>
      </c>
    </row>
    <row r="37" ht="15.75" customHeight="1">
      <c r="A37" s="1"/>
      <c r="B37" s="4" t="s">
        <v>652</v>
      </c>
      <c r="C37" s="15"/>
      <c r="D37" s="1"/>
      <c r="E37" s="1"/>
      <c r="F37" s="1"/>
      <c r="G37" s="2">
        <v>8000.0</v>
      </c>
    </row>
    <row r="38" ht="15.75" customHeight="1">
      <c r="A38" s="1"/>
      <c r="B38" s="4" t="s">
        <v>988</v>
      </c>
      <c r="C38" s="15"/>
      <c r="D38" s="1"/>
      <c r="E38" s="1"/>
      <c r="F38" s="1"/>
      <c r="G38" s="2">
        <v>17000.0</v>
      </c>
    </row>
    <row r="39" ht="15.75" customHeight="1">
      <c r="A39" s="1"/>
      <c r="B39" s="4" t="s">
        <v>989</v>
      </c>
      <c r="C39" s="15"/>
      <c r="D39" s="1"/>
      <c r="E39" s="1"/>
      <c r="F39" s="1"/>
      <c r="G39" s="2">
        <v>2000.0</v>
      </c>
    </row>
    <row r="40" ht="15.75" customHeight="1">
      <c r="A40" s="1"/>
      <c r="B40" s="4" t="s">
        <v>990</v>
      </c>
      <c r="C40" s="15"/>
      <c r="D40" s="1"/>
      <c r="E40" s="1"/>
      <c r="F40" s="1"/>
      <c r="G40" s="2">
        <v>114000.0</v>
      </c>
    </row>
    <row r="41" ht="15.75" customHeight="1">
      <c r="A41" s="1"/>
      <c r="B41" s="4" t="s">
        <v>991</v>
      </c>
      <c r="C41" s="15"/>
      <c r="D41" s="1"/>
      <c r="E41" s="1"/>
      <c r="F41" s="1"/>
      <c r="G41" s="2">
        <v>232765.0</v>
      </c>
    </row>
    <row r="42" ht="15.75" customHeight="1">
      <c r="A42" s="1"/>
      <c r="B42" s="4" t="s">
        <v>992</v>
      </c>
      <c r="C42" s="15"/>
      <c r="D42" s="1"/>
      <c r="E42" s="1"/>
      <c r="F42" s="1"/>
      <c r="G42" s="2">
        <v>5000.0</v>
      </c>
    </row>
    <row r="43" ht="15.75" customHeight="1">
      <c r="A43" s="1"/>
      <c r="B43" s="4" t="s">
        <v>993</v>
      </c>
      <c r="C43" s="15"/>
      <c r="D43" s="1"/>
      <c r="E43" s="1"/>
      <c r="F43" s="1"/>
      <c r="G43" s="2">
        <v>2000.0</v>
      </c>
    </row>
    <row r="44" ht="15.75" customHeight="1">
      <c r="A44" s="1"/>
      <c r="B44" s="4" t="s">
        <v>877</v>
      </c>
      <c r="C44" s="15"/>
      <c r="D44" s="1"/>
      <c r="E44" s="1"/>
      <c r="F44" s="1"/>
      <c r="G44" s="2">
        <v>2000.0</v>
      </c>
    </row>
    <row r="45" ht="15.75" customHeight="1">
      <c r="A45" s="1"/>
      <c r="B45" s="4" t="s">
        <v>994</v>
      </c>
      <c r="C45" s="15"/>
      <c r="D45" s="1"/>
      <c r="E45" s="1"/>
      <c r="F45" s="1"/>
      <c r="G45" s="2">
        <v>218500.0</v>
      </c>
    </row>
    <row r="46" ht="15.75" customHeight="1">
      <c r="A46" s="1"/>
      <c r="B46" s="4" t="s">
        <v>995</v>
      </c>
      <c r="C46" s="15"/>
      <c r="D46" s="1"/>
      <c r="E46" s="1"/>
      <c r="F46" s="1"/>
      <c r="G46" s="2">
        <v>3000.0</v>
      </c>
    </row>
    <row r="47" ht="15.75" customHeight="1">
      <c r="A47" s="1"/>
      <c r="B47" s="4" t="s">
        <v>996</v>
      </c>
      <c r="C47" s="15"/>
      <c r="D47" s="1"/>
      <c r="E47" s="1"/>
      <c r="F47" s="1"/>
      <c r="G47" s="2">
        <v>65250.0</v>
      </c>
    </row>
    <row r="48" ht="15.75" customHeight="1">
      <c r="A48" s="1"/>
      <c r="B48" s="4" t="s">
        <v>997</v>
      </c>
      <c r="C48" s="15"/>
      <c r="D48" s="1"/>
      <c r="E48" s="1"/>
      <c r="F48" s="1"/>
      <c r="G48" s="2">
        <v>250000.0</v>
      </c>
    </row>
    <row r="49" ht="15.75" customHeight="1">
      <c r="A49" s="1"/>
      <c r="B49" s="4" t="s">
        <v>998</v>
      </c>
      <c r="C49" s="15"/>
      <c r="D49" s="1"/>
      <c r="E49" s="1"/>
      <c r="F49" s="1"/>
      <c r="G49" s="2">
        <v>18805.0</v>
      </c>
    </row>
    <row r="50" ht="15.75" customHeight="1">
      <c r="A50" s="1"/>
      <c r="B50" s="4"/>
      <c r="C50" s="15"/>
      <c r="D50" s="1"/>
      <c r="E50" s="1"/>
      <c r="F50" s="1"/>
      <c r="G50" s="2"/>
    </row>
    <row r="51" ht="15.75" customHeight="1">
      <c r="A51" s="1"/>
      <c r="B51" s="43" t="s">
        <v>43</v>
      </c>
      <c r="C51" s="1"/>
      <c r="D51" s="1"/>
      <c r="E51" s="1"/>
      <c r="F51" s="1"/>
      <c r="G51" s="13">
        <f>SUM(G28:G48)</f>
        <v>1146815</v>
      </c>
    </row>
    <row r="52" ht="15.75" customHeight="1">
      <c r="A52" s="1"/>
      <c r="B52" s="43"/>
      <c r="C52" s="1"/>
      <c r="D52" s="1"/>
      <c r="E52" s="1"/>
      <c r="F52" s="1"/>
      <c r="G52" s="13"/>
    </row>
    <row r="53" ht="15.75" customHeight="1">
      <c r="A53" s="1"/>
      <c r="B53" s="1"/>
      <c r="C53" s="1"/>
      <c r="D53" s="1"/>
      <c r="E53" s="1"/>
      <c r="F53" s="1"/>
      <c r="G53" s="13"/>
    </row>
    <row r="54" ht="15.75" customHeight="1">
      <c r="A54" s="1"/>
      <c r="B54" s="19" t="s">
        <v>45</v>
      </c>
      <c r="C54" s="20"/>
      <c r="D54" s="20"/>
      <c r="E54" s="20"/>
      <c r="F54" s="20"/>
      <c r="G54" s="21">
        <f>SUM(G24+G51)</f>
        <v>1688815</v>
      </c>
    </row>
    <row r="55" ht="15.75" customHeight="1">
      <c r="A55" s="1"/>
      <c r="B55" s="4" t="s">
        <v>46</v>
      </c>
      <c r="C55" s="1"/>
      <c r="D55" s="1"/>
      <c r="E55" s="1"/>
      <c r="F55" s="1"/>
      <c r="G55" s="2"/>
    </row>
    <row r="56" ht="15.75" customHeight="1">
      <c r="A56" s="35" t="s">
        <v>999</v>
      </c>
      <c r="B56" s="36"/>
      <c r="C56" s="37"/>
      <c r="D56" s="37"/>
      <c r="E56" s="37"/>
      <c r="F56" s="37"/>
      <c r="G56" s="38">
        <f>(G13-G54)</f>
        <v>949285</v>
      </c>
    </row>
    <row r="57" ht="15.75" customHeight="1">
      <c r="A57" s="22" t="s">
        <v>254</v>
      </c>
      <c r="B57" s="1" t="s">
        <v>255</v>
      </c>
      <c r="C57" s="1"/>
      <c r="D57" s="1"/>
      <c r="E57" s="1"/>
      <c r="F57" s="1"/>
      <c r="G57" s="2"/>
    </row>
    <row r="58" ht="15.75" customHeight="1">
      <c r="A58" s="22"/>
      <c r="B58" s="1"/>
      <c r="C58" s="1"/>
      <c r="D58" s="1"/>
      <c r="E58" s="1"/>
      <c r="F58" s="1"/>
      <c r="G58" s="2"/>
    </row>
    <row r="59" ht="15.75" customHeight="1">
      <c r="A59" s="22"/>
      <c r="B59" s="1"/>
      <c r="C59" s="1"/>
      <c r="D59" s="1"/>
      <c r="E59" s="1"/>
      <c r="F59" s="1"/>
      <c r="G59" s="2">
        <v>0.0</v>
      </c>
    </row>
    <row r="60" ht="15.75" customHeight="1">
      <c r="A60" s="1"/>
      <c r="B60" s="27" t="s">
        <v>51</v>
      </c>
      <c r="C60" s="27"/>
      <c r="D60" s="27"/>
      <c r="E60" s="27"/>
      <c r="F60" s="27"/>
      <c r="G60" s="2">
        <f>SUM(G59)</f>
        <v>0</v>
      </c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44"/>
      <c r="B62" s="45" t="s">
        <v>1000</v>
      </c>
      <c r="C62" s="46"/>
      <c r="D62" s="46"/>
      <c r="E62" s="46"/>
      <c r="F62" s="46"/>
      <c r="G62" s="47">
        <f>SUM(G4+G56-G60)</f>
        <v>19048588</v>
      </c>
    </row>
    <row r="63" ht="15.75" customHeight="1">
      <c r="A63" s="1"/>
      <c r="B63" s="1"/>
      <c r="C63" s="1"/>
      <c r="D63" s="1"/>
      <c r="E63" s="1"/>
      <c r="F63" s="1"/>
      <c r="G63" s="2"/>
    </row>
    <row r="64" ht="15.75" customHeight="1">
      <c r="A64" s="1"/>
      <c r="B64" s="32" t="s">
        <v>1001</v>
      </c>
    </row>
    <row r="65" ht="15.75" customHeight="1">
      <c r="A65" s="1"/>
      <c r="B65" s="1"/>
      <c r="C65" s="1" t="s">
        <v>113</v>
      </c>
      <c r="D65" s="1"/>
      <c r="E65" s="1"/>
      <c r="F65" s="1"/>
      <c r="G65" s="2">
        <v>93700.0</v>
      </c>
    </row>
    <row r="66" ht="15.75" customHeight="1">
      <c r="A66" s="1"/>
      <c r="B66" s="1"/>
      <c r="C66" s="1" t="s">
        <v>114</v>
      </c>
      <c r="D66" s="1"/>
      <c r="E66" s="1"/>
      <c r="F66" s="1"/>
      <c r="G66" s="2">
        <v>215800.0</v>
      </c>
    </row>
    <row r="67" ht="15.75" customHeight="1">
      <c r="A67" s="1"/>
      <c r="B67" s="1"/>
      <c r="C67" s="43" t="s">
        <v>115</v>
      </c>
      <c r="D67" s="1"/>
      <c r="E67" s="1"/>
      <c r="F67" s="1"/>
      <c r="G67" s="2">
        <f>SUM(G65:G66)</f>
        <v>309500</v>
      </c>
    </row>
    <row r="68" ht="15.75" customHeight="1">
      <c r="A68" s="1"/>
      <c r="B68" s="1"/>
      <c r="C68" s="43"/>
      <c r="D68" s="1"/>
      <c r="E68" s="1"/>
      <c r="F68" s="1"/>
      <c r="G68" s="2"/>
    </row>
    <row r="69" ht="15.75" customHeight="1">
      <c r="A69" s="1"/>
      <c r="B69" s="1" t="s">
        <v>1002</v>
      </c>
      <c r="C69" s="43"/>
      <c r="D69" s="1"/>
      <c r="E69" s="1"/>
      <c r="F69" s="1"/>
      <c r="G69" s="2"/>
    </row>
    <row r="70" ht="15.75" customHeight="1">
      <c r="A70" s="1"/>
      <c r="B70" s="1"/>
      <c r="C70" s="43"/>
      <c r="D70" s="1"/>
      <c r="E70" s="1"/>
      <c r="F70" s="1"/>
      <c r="G70" s="2"/>
    </row>
    <row r="71" ht="15.75" customHeight="1">
      <c r="A71" s="1"/>
      <c r="B71" s="1"/>
      <c r="C71" s="43"/>
      <c r="D71" s="1"/>
      <c r="E71" s="1"/>
      <c r="F71" s="1"/>
      <c r="G71" s="1"/>
    </row>
    <row r="72" ht="15.75" customHeight="1">
      <c r="A72" s="1"/>
      <c r="B72" s="1" t="s">
        <v>1003</v>
      </c>
      <c r="C72" s="43"/>
      <c r="D72" s="1"/>
      <c r="E72" s="1"/>
      <c r="F72" s="1"/>
      <c r="G72" s="1"/>
    </row>
    <row r="73" ht="15.75" customHeight="1">
      <c r="A73" s="1"/>
      <c r="B73" s="1"/>
      <c r="C73" s="43"/>
      <c r="D73" s="1"/>
      <c r="E73" s="1"/>
      <c r="F73" s="1"/>
      <c r="G73" s="1"/>
    </row>
    <row r="74" ht="15.75" customHeight="1">
      <c r="A74" s="1"/>
      <c r="B74" s="33" t="s">
        <v>1004</v>
      </c>
      <c r="C74" s="1"/>
      <c r="D74" s="1"/>
      <c r="E74" s="1"/>
      <c r="F74" s="1"/>
      <c r="G74" s="2"/>
    </row>
    <row r="75" ht="15.75" customHeight="1">
      <c r="A75" s="1"/>
      <c r="B75" s="4"/>
      <c r="C75" s="1"/>
      <c r="D75" s="1"/>
      <c r="E75" s="1"/>
      <c r="F75" s="1"/>
      <c r="G75" s="2"/>
    </row>
    <row r="76" ht="15.75" customHeight="1">
      <c r="A76" s="1"/>
      <c r="B76" s="55" t="s">
        <v>531</v>
      </c>
      <c r="C76" s="56"/>
      <c r="D76" s="56"/>
      <c r="E76" s="56"/>
      <c r="F76" s="1"/>
      <c r="G76" s="2"/>
    </row>
    <row r="77" ht="15.75" customHeight="1">
      <c r="A77" s="1"/>
      <c r="B77" s="55"/>
      <c r="C77" s="56"/>
      <c r="D77" s="56"/>
      <c r="E77" s="56"/>
      <c r="F77" s="1"/>
      <c r="G77" s="2"/>
    </row>
    <row r="78" ht="15.75" customHeight="1">
      <c r="A78" s="1"/>
      <c r="B78" s="55" t="s">
        <v>1005</v>
      </c>
      <c r="C78" s="56"/>
      <c r="D78" s="56"/>
      <c r="E78" s="56"/>
      <c r="F78" s="1"/>
      <c r="G78" s="2"/>
    </row>
    <row r="79" ht="15.75" customHeight="1">
      <c r="A79" s="1"/>
      <c r="B79" s="55"/>
      <c r="C79" s="56"/>
      <c r="D79" s="56"/>
      <c r="E79" s="56"/>
      <c r="F79" s="1"/>
      <c r="G79" s="2"/>
    </row>
    <row r="80" ht="15.75" customHeight="1">
      <c r="A80" s="1"/>
      <c r="B80" s="55" t="s">
        <v>681</v>
      </c>
      <c r="F80" s="1"/>
      <c r="G80" s="2"/>
    </row>
    <row r="81" ht="15.75" customHeight="1">
      <c r="A81" s="1"/>
      <c r="B81" s="55"/>
      <c r="C81" s="55"/>
      <c r="D81" s="55"/>
      <c r="E81" s="55"/>
      <c r="F81" s="1"/>
      <c r="G81" s="2"/>
    </row>
    <row r="82" ht="15.75" customHeight="1">
      <c r="A82" s="1"/>
      <c r="B82" s="55" t="s">
        <v>1006</v>
      </c>
      <c r="C82" s="56"/>
      <c r="D82" s="57"/>
      <c r="E82" s="56"/>
      <c r="F82" s="1"/>
      <c r="G82" s="2"/>
    </row>
    <row r="83" ht="15.75" customHeight="1">
      <c r="A83" s="1"/>
      <c r="B83" s="55"/>
      <c r="C83" s="56"/>
      <c r="D83" s="57"/>
      <c r="E83" s="56"/>
      <c r="F83" s="1"/>
      <c r="G83" s="2"/>
    </row>
    <row r="84" ht="15.75" customHeight="1">
      <c r="A84" s="1"/>
      <c r="B84" s="55" t="s">
        <v>535</v>
      </c>
      <c r="C84" s="56"/>
      <c r="D84" s="57"/>
      <c r="E84" s="56"/>
      <c r="F84" s="1"/>
      <c r="G84" s="2"/>
    </row>
    <row r="85" ht="15.75" customHeight="1">
      <c r="A85" s="1"/>
      <c r="B85" s="55"/>
      <c r="C85" s="56"/>
      <c r="D85" s="57"/>
      <c r="E85" s="56"/>
      <c r="F85" s="1"/>
      <c r="G85" s="2"/>
    </row>
    <row r="86" ht="15.75" customHeight="1">
      <c r="B86" s="55" t="s">
        <v>536</v>
      </c>
      <c r="C86" s="56"/>
      <c r="D86" s="57"/>
      <c r="E86" s="5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64:G64"/>
    <mergeCell ref="B80:E80"/>
  </mergeCell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0.0"/>
    <col customWidth="1" min="7" max="7" width="16.71"/>
    <col customWidth="1" min="8" max="26" width="10.71"/>
  </cols>
  <sheetData>
    <row r="2">
      <c r="A2" s="1" t="s">
        <v>721</v>
      </c>
      <c r="B2" s="3" t="s">
        <v>1007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1008</v>
      </c>
      <c r="C4" s="1"/>
      <c r="D4" s="1"/>
      <c r="E4" s="1"/>
      <c r="F4" s="1"/>
      <c r="G4" s="2">
        <v>1.9048588E7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1009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477900.0</v>
      </c>
      <c r="G7" s="7">
        <v>188000.0</v>
      </c>
    </row>
    <row r="8">
      <c r="A8" s="1"/>
      <c r="B8" s="4" t="s">
        <v>64</v>
      </c>
      <c r="C8" s="1"/>
      <c r="D8" s="1"/>
      <c r="E8" s="1"/>
      <c r="F8" s="2">
        <v>529200.0</v>
      </c>
      <c r="G8" s="7">
        <v>139000.0</v>
      </c>
    </row>
    <row r="9">
      <c r="A9" s="1"/>
      <c r="B9" s="4" t="s">
        <v>65</v>
      </c>
      <c r="C9" s="1"/>
      <c r="D9" s="1"/>
      <c r="E9" s="1"/>
      <c r="F9" s="2">
        <v>373700.0</v>
      </c>
      <c r="G9" s="7">
        <v>223000.0</v>
      </c>
    </row>
    <row r="10">
      <c r="A10" s="1"/>
      <c r="B10" s="4" t="s">
        <v>66</v>
      </c>
      <c r="C10" s="1"/>
      <c r="D10" s="1"/>
      <c r="E10" s="1"/>
      <c r="F10" s="2">
        <v>422500.0</v>
      </c>
      <c r="G10" s="8">
        <v>189000.0</v>
      </c>
    </row>
    <row r="11">
      <c r="A11" s="1"/>
      <c r="B11" s="4" t="s">
        <v>67</v>
      </c>
      <c r="C11" s="1"/>
      <c r="D11" s="49" t="s">
        <v>8</v>
      </c>
      <c r="E11" s="49"/>
      <c r="F11" s="62">
        <v>171300.0</v>
      </c>
      <c r="G11" s="7">
        <v>56000.0</v>
      </c>
    </row>
    <row r="12">
      <c r="A12" s="1"/>
      <c r="B12" s="4"/>
      <c r="C12" s="50" t="s">
        <v>405</v>
      </c>
      <c r="E12" s="4"/>
      <c r="F12" s="2">
        <f t="shared" ref="F12:G12" si="1">SUM(F7:F11)</f>
        <v>1974600</v>
      </c>
      <c r="G12" s="7">
        <f t="shared" si="1"/>
        <v>795000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2769600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1010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1011</v>
      </c>
      <c r="C17" s="1"/>
      <c r="D17" s="1"/>
      <c r="E17" s="1"/>
      <c r="F17" s="1"/>
      <c r="G17" s="2">
        <v>45000.0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100000.0</v>
      </c>
    </row>
    <row r="23" ht="15.75" customHeight="1">
      <c r="A23" s="1"/>
      <c r="B23" s="4"/>
      <c r="C23" s="1"/>
      <c r="D23" s="1"/>
      <c r="E23" s="1"/>
      <c r="F23" s="1"/>
      <c r="G23" s="2"/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485000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12"/>
      <c r="C26" s="15"/>
      <c r="D26" s="1"/>
      <c r="E26" s="1"/>
      <c r="F26" s="1"/>
      <c r="G26" s="2"/>
    </row>
    <row r="27" ht="15.75" customHeight="1">
      <c r="A27" s="1"/>
      <c r="B27" s="4" t="s">
        <v>463</v>
      </c>
      <c r="C27" s="15"/>
      <c r="D27" s="1"/>
      <c r="E27" s="1"/>
      <c r="F27" s="1"/>
      <c r="G27" s="2">
        <v>10000.0</v>
      </c>
    </row>
    <row r="28" ht="15.75" customHeight="1">
      <c r="A28" s="1"/>
      <c r="B28" s="4" t="s">
        <v>1012</v>
      </c>
      <c r="C28" s="15"/>
      <c r="D28" s="1"/>
      <c r="E28" s="1"/>
      <c r="F28" s="1"/>
      <c r="G28" s="2">
        <v>4000.0</v>
      </c>
    </row>
    <row r="29" ht="15.75" customHeight="1">
      <c r="A29" s="1"/>
      <c r="B29" s="4" t="s">
        <v>1013</v>
      </c>
      <c r="C29" s="15"/>
      <c r="D29" s="1"/>
      <c r="E29" s="1"/>
      <c r="F29" s="1"/>
      <c r="G29" s="2">
        <v>3000.0</v>
      </c>
    </row>
    <row r="30" ht="15.75" customHeight="1">
      <c r="A30" s="1"/>
      <c r="B30" s="4" t="s">
        <v>1014</v>
      </c>
      <c r="C30" s="15"/>
      <c r="D30" s="1"/>
      <c r="E30" s="1"/>
      <c r="F30" s="1"/>
      <c r="G30" s="2">
        <v>112840.0</v>
      </c>
    </row>
    <row r="31" ht="15.75" customHeight="1">
      <c r="A31" s="1"/>
      <c r="B31" s="4" t="s">
        <v>1015</v>
      </c>
      <c r="C31" s="15"/>
      <c r="D31" s="1"/>
      <c r="E31" s="1"/>
      <c r="F31" s="1"/>
      <c r="G31" s="2">
        <v>87500.0</v>
      </c>
    </row>
    <row r="32" ht="15.75" customHeight="1">
      <c r="A32" s="1"/>
      <c r="B32" s="4" t="s">
        <v>1016</v>
      </c>
      <c r="C32" s="15"/>
      <c r="D32" s="1"/>
      <c r="E32" s="1"/>
      <c r="F32" s="1"/>
      <c r="G32" s="2">
        <v>4000.0</v>
      </c>
    </row>
    <row r="33" ht="15.75" customHeight="1">
      <c r="A33" s="1"/>
      <c r="B33" s="4" t="s">
        <v>960</v>
      </c>
      <c r="C33" s="15"/>
      <c r="D33" s="1"/>
      <c r="E33" s="1"/>
      <c r="F33" s="1"/>
      <c r="G33" s="2">
        <v>2000.0</v>
      </c>
    </row>
    <row r="34" ht="15.75" customHeight="1">
      <c r="A34" s="1"/>
      <c r="B34" s="4" t="s">
        <v>1017</v>
      </c>
      <c r="C34" s="15"/>
      <c r="D34" s="1"/>
      <c r="E34" s="1"/>
      <c r="F34" s="1"/>
      <c r="G34" s="2">
        <v>9771.0</v>
      </c>
    </row>
    <row r="35" ht="15.75" customHeight="1">
      <c r="A35" s="1"/>
      <c r="B35" s="4" t="s">
        <v>1018</v>
      </c>
      <c r="C35" s="15"/>
      <c r="D35" s="1"/>
      <c r="E35" s="1"/>
      <c r="F35" s="1"/>
      <c r="G35" s="2">
        <v>3500.0</v>
      </c>
    </row>
    <row r="36" ht="15.75" customHeight="1">
      <c r="A36" s="1"/>
      <c r="B36" s="4" t="s">
        <v>1019</v>
      </c>
      <c r="C36" s="15"/>
      <c r="D36" s="1"/>
      <c r="E36" s="1"/>
      <c r="F36" s="1"/>
      <c r="G36" s="2">
        <v>40000.0</v>
      </c>
    </row>
    <row r="37" ht="15.75" customHeight="1">
      <c r="A37" s="1"/>
      <c r="B37" s="4" t="s">
        <v>1020</v>
      </c>
      <c r="C37" s="15"/>
      <c r="D37" s="1"/>
      <c r="E37" s="1"/>
      <c r="F37" s="1"/>
      <c r="G37" s="2">
        <v>5000.0</v>
      </c>
    </row>
    <row r="38" ht="15.75" customHeight="1">
      <c r="A38" s="1"/>
      <c r="B38" s="4" t="s">
        <v>1021</v>
      </c>
      <c r="C38" s="15"/>
      <c r="D38" s="1"/>
      <c r="E38" s="1"/>
      <c r="F38" s="1"/>
      <c r="G38" s="2">
        <v>4788.0</v>
      </c>
    </row>
    <row r="39" ht="15.75" customHeight="1">
      <c r="A39" s="1"/>
      <c r="B39" s="4" t="s">
        <v>1022</v>
      </c>
      <c r="C39" s="15"/>
      <c r="D39" s="1"/>
      <c r="E39" s="1"/>
      <c r="F39" s="1"/>
      <c r="G39" s="2">
        <v>2000.0</v>
      </c>
    </row>
    <row r="40" ht="15.75" customHeight="1">
      <c r="A40" s="1"/>
      <c r="B40" s="4" t="s">
        <v>75</v>
      </c>
      <c r="C40" s="15"/>
      <c r="D40" s="1"/>
      <c r="E40" s="1"/>
      <c r="F40" s="1"/>
      <c r="G40" s="2">
        <v>100000.0</v>
      </c>
    </row>
    <row r="41" ht="15.75" customHeight="1">
      <c r="A41" s="1"/>
      <c r="B41" s="4" t="s">
        <v>1023</v>
      </c>
      <c r="C41" s="15"/>
      <c r="D41" s="1"/>
      <c r="E41" s="1"/>
      <c r="F41" s="1"/>
      <c r="G41" s="2">
        <v>2000.0</v>
      </c>
    </row>
    <row r="42" ht="15.75" customHeight="1">
      <c r="A42" s="1"/>
      <c r="B42" s="4" t="s">
        <v>1024</v>
      </c>
      <c r="C42" s="15"/>
      <c r="D42" s="1"/>
      <c r="E42" s="1"/>
      <c r="F42" s="1"/>
      <c r="G42" s="2">
        <v>2000.0</v>
      </c>
    </row>
    <row r="43" ht="15.75" customHeight="1">
      <c r="A43" s="1"/>
      <c r="B43" s="4" t="s">
        <v>1025</v>
      </c>
      <c r="C43" s="15"/>
      <c r="D43" s="1"/>
      <c r="E43" s="1"/>
      <c r="F43" s="1"/>
      <c r="G43" s="2">
        <v>5000.0</v>
      </c>
    </row>
    <row r="44" ht="15.75" customHeight="1">
      <c r="A44" s="1"/>
      <c r="B44" s="4" t="s">
        <v>463</v>
      </c>
      <c r="C44" s="15"/>
      <c r="D44" s="1"/>
      <c r="E44" s="1"/>
      <c r="F44" s="1"/>
      <c r="G44" s="2">
        <v>10000.0</v>
      </c>
    </row>
    <row r="45" ht="15.75" customHeight="1">
      <c r="A45" s="1"/>
      <c r="B45" s="4" t="s">
        <v>875</v>
      </c>
      <c r="C45" s="15"/>
      <c r="D45" s="1"/>
      <c r="E45" s="1"/>
      <c r="F45" s="1"/>
      <c r="G45" s="2">
        <v>2000.0</v>
      </c>
    </row>
    <row r="46" ht="15.75" customHeight="1">
      <c r="A46" s="1"/>
      <c r="B46" s="4" t="s">
        <v>1026</v>
      </c>
      <c r="C46" s="15"/>
      <c r="D46" s="1"/>
      <c r="E46" s="1"/>
      <c r="F46" s="1"/>
      <c r="G46" s="2">
        <v>2000.0</v>
      </c>
    </row>
    <row r="47" ht="15.75" customHeight="1">
      <c r="A47" s="1"/>
      <c r="B47" s="4" t="s">
        <v>1027</v>
      </c>
      <c r="C47" s="15"/>
      <c r="D47" s="1"/>
      <c r="E47" s="1"/>
      <c r="F47" s="1"/>
      <c r="G47" s="2">
        <v>72470.0</v>
      </c>
    </row>
    <row r="48" ht="15.75" customHeight="1">
      <c r="A48" s="1"/>
      <c r="B48" s="4" t="s">
        <v>1028</v>
      </c>
      <c r="C48" s="15"/>
      <c r="D48" s="1"/>
      <c r="E48" s="1"/>
      <c r="F48" s="1"/>
      <c r="G48" s="2">
        <v>437500.0</v>
      </c>
    </row>
    <row r="49" ht="15.75" customHeight="1">
      <c r="A49" s="1"/>
      <c r="B49" s="4" t="s">
        <v>203</v>
      </c>
      <c r="C49" s="15"/>
      <c r="D49" s="1"/>
      <c r="E49" s="1"/>
      <c r="F49" s="1"/>
      <c r="G49" s="2">
        <v>5000.0</v>
      </c>
    </row>
    <row r="50" ht="15.75" customHeight="1">
      <c r="A50" s="1"/>
      <c r="B50" s="4" t="s">
        <v>1029</v>
      </c>
      <c r="C50" s="15"/>
      <c r="D50" s="1"/>
      <c r="E50" s="1"/>
      <c r="F50" s="1"/>
      <c r="G50" s="2">
        <v>2000.0</v>
      </c>
    </row>
    <row r="51" ht="15.75" customHeight="1">
      <c r="A51" s="1"/>
      <c r="B51" s="4" t="s">
        <v>1030</v>
      </c>
      <c r="C51" s="15"/>
      <c r="D51" s="1"/>
      <c r="E51" s="1"/>
      <c r="F51" s="1"/>
      <c r="G51" s="2">
        <v>2000.0</v>
      </c>
    </row>
    <row r="52" ht="15.75" customHeight="1">
      <c r="A52" s="1"/>
      <c r="B52" s="4" t="s">
        <v>1031</v>
      </c>
      <c r="C52" s="15"/>
      <c r="D52" s="1"/>
      <c r="E52" s="1"/>
      <c r="F52" s="1"/>
      <c r="G52" s="2">
        <v>80150.0</v>
      </c>
    </row>
    <row r="53" ht="15.75" customHeight="1">
      <c r="A53" s="1"/>
      <c r="B53" s="4" t="s">
        <v>1032</v>
      </c>
      <c r="C53" s="15"/>
      <c r="D53" s="1"/>
      <c r="E53" s="1"/>
      <c r="F53" s="1"/>
      <c r="G53" s="2">
        <v>350000.0</v>
      </c>
    </row>
    <row r="54" ht="15.75" customHeight="1">
      <c r="A54" s="1"/>
      <c r="B54" s="4" t="s">
        <v>652</v>
      </c>
      <c r="C54" s="15"/>
      <c r="D54" s="1"/>
      <c r="E54" s="1"/>
      <c r="F54" s="1"/>
      <c r="G54" s="2">
        <v>8000.0</v>
      </c>
    </row>
    <row r="55" ht="15.75" customHeight="1">
      <c r="A55" s="1"/>
      <c r="B55" s="4"/>
      <c r="C55" s="15"/>
      <c r="D55" s="1"/>
      <c r="E55" s="1"/>
      <c r="F55" s="1"/>
      <c r="G55" s="2"/>
    </row>
    <row r="56" ht="15.75" customHeight="1">
      <c r="A56" s="1"/>
      <c r="B56" s="4"/>
      <c r="C56" s="15"/>
      <c r="D56" s="1"/>
      <c r="E56" s="1"/>
      <c r="F56" s="1"/>
      <c r="G56" s="2"/>
    </row>
    <row r="57" ht="15.75" customHeight="1">
      <c r="A57" s="1"/>
      <c r="B57" s="43" t="s">
        <v>43</v>
      </c>
      <c r="C57" s="1"/>
      <c r="D57" s="1"/>
      <c r="E57" s="1"/>
      <c r="F57" s="1"/>
      <c r="G57" s="13">
        <f>SUM(G28:G48)</f>
        <v>911369</v>
      </c>
    </row>
    <row r="58" ht="15.75" customHeight="1">
      <c r="A58" s="1"/>
      <c r="B58" s="43"/>
      <c r="C58" s="1"/>
      <c r="D58" s="1"/>
      <c r="E58" s="1"/>
      <c r="F58" s="1"/>
      <c r="G58" s="13"/>
    </row>
    <row r="59" ht="15.75" customHeight="1">
      <c r="A59" s="1"/>
      <c r="B59" s="43"/>
      <c r="C59" s="1"/>
      <c r="D59" s="1"/>
      <c r="E59" s="1"/>
      <c r="F59" s="1"/>
      <c r="G59" s="13"/>
    </row>
    <row r="60" ht="15.75" customHeight="1">
      <c r="A60" s="1"/>
      <c r="B60" s="1"/>
      <c r="C60" s="1"/>
      <c r="D60" s="1"/>
      <c r="E60" s="1"/>
      <c r="F60" s="1"/>
      <c r="G60" s="13"/>
    </row>
    <row r="61" ht="15.75" customHeight="1">
      <c r="A61" s="1"/>
      <c r="B61" s="19" t="s">
        <v>45</v>
      </c>
      <c r="C61" s="20"/>
      <c r="D61" s="20"/>
      <c r="E61" s="20"/>
      <c r="F61" s="20"/>
      <c r="G61" s="21">
        <f>SUM(G24+G57)</f>
        <v>1396369</v>
      </c>
    </row>
    <row r="62" ht="15.75" customHeight="1">
      <c r="A62" s="1"/>
      <c r="B62" s="4" t="s">
        <v>46</v>
      </c>
      <c r="C62" s="1"/>
      <c r="D62" s="1"/>
      <c r="E62" s="1"/>
      <c r="F62" s="1"/>
      <c r="G62" s="2"/>
    </row>
    <row r="63" ht="15.75" customHeight="1">
      <c r="A63" s="35" t="s">
        <v>1033</v>
      </c>
      <c r="B63" s="36"/>
      <c r="C63" s="37"/>
      <c r="D63" s="37"/>
      <c r="E63" s="37"/>
      <c r="F63" s="37"/>
      <c r="G63" s="38">
        <f>(G13-G61)</f>
        <v>1373231</v>
      </c>
    </row>
    <row r="64" ht="15.75" customHeight="1">
      <c r="A64" s="22" t="s">
        <v>254</v>
      </c>
      <c r="B64" s="1" t="s">
        <v>255</v>
      </c>
      <c r="C64" s="1"/>
      <c r="D64" s="1"/>
      <c r="E64" s="1"/>
      <c r="F64" s="1"/>
      <c r="G64" s="2"/>
    </row>
    <row r="65" ht="15.75" customHeight="1">
      <c r="A65" s="22"/>
      <c r="B65" s="1" t="s">
        <v>1034</v>
      </c>
      <c r="C65" s="1"/>
      <c r="D65" s="1"/>
      <c r="E65" s="1"/>
      <c r="F65" s="1"/>
      <c r="G65" s="2">
        <v>275000.0</v>
      </c>
    </row>
    <row r="66" ht="15.75" customHeight="1">
      <c r="A66" s="22"/>
      <c r="B66" s="1"/>
      <c r="C66" s="1"/>
      <c r="D66" s="1"/>
      <c r="E66" s="1"/>
      <c r="F66" s="1"/>
      <c r="G66" s="2"/>
    </row>
    <row r="67" ht="15.75" customHeight="1">
      <c r="A67" s="1"/>
      <c r="B67" s="27" t="s">
        <v>51</v>
      </c>
      <c r="C67" s="27"/>
      <c r="D67" s="27"/>
      <c r="E67" s="27"/>
      <c r="F67" s="27"/>
      <c r="G67" s="2">
        <f>SUM(G65)</f>
        <v>275000</v>
      </c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44"/>
      <c r="B69" s="45" t="s">
        <v>1035</v>
      </c>
      <c r="C69" s="46"/>
      <c r="D69" s="46"/>
      <c r="E69" s="46"/>
      <c r="F69" s="46"/>
      <c r="G69" s="47">
        <f>SUM(G4+G63-G67)</f>
        <v>20146819</v>
      </c>
    </row>
    <row r="70" ht="15.75" customHeight="1">
      <c r="A70" s="1"/>
      <c r="B70" s="1"/>
      <c r="C70" s="1"/>
      <c r="D70" s="1"/>
      <c r="E70" s="1"/>
      <c r="F70" s="1"/>
      <c r="G70" s="2"/>
    </row>
    <row r="71" ht="15.75" customHeight="1">
      <c r="A71" s="1"/>
      <c r="B71" s="32" t="s">
        <v>1036</v>
      </c>
    </row>
    <row r="72" ht="15.75" customHeight="1">
      <c r="A72" s="1"/>
      <c r="B72" s="1"/>
      <c r="C72" s="1" t="s">
        <v>113</v>
      </c>
      <c r="D72" s="1"/>
      <c r="E72" s="1"/>
      <c r="F72" s="1"/>
      <c r="G72" s="2">
        <v>23200.0</v>
      </c>
    </row>
    <row r="73" ht="15.75" customHeight="1">
      <c r="A73" s="1"/>
      <c r="B73" s="1"/>
      <c r="C73" s="1" t="s">
        <v>114</v>
      </c>
      <c r="D73" s="1"/>
      <c r="E73" s="1"/>
      <c r="F73" s="1"/>
      <c r="G73" s="2">
        <v>566000.0</v>
      </c>
    </row>
    <row r="74" ht="15.75" customHeight="1">
      <c r="A74" s="1"/>
      <c r="B74" s="1"/>
      <c r="C74" s="43" t="s">
        <v>115</v>
      </c>
      <c r="D74" s="1"/>
      <c r="E74" s="1"/>
      <c r="F74" s="1"/>
      <c r="G74" s="2">
        <f>SUM(G72:G73)</f>
        <v>589200</v>
      </c>
    </row>
    <row r="75" ht="15.75" customHeight="1">
      <c r="A75" s="1"/>
      <c r="B75" s="1"/>
      <c r="C75" s="43"/>
      <c r="D75" s="1"/>
      <c r="E75" s="1"/>
      <c r="F75" s="1"/>
      <c r="G75" s="2"/>
    </row>
    <row r="76" ht="15.75" customHeight="1">
      <c r="A76" s="1"/>
      <c r="B76" s="1" t="s">
        <v>1037</v>
      </c>
      <c r="C76" s="43"/>
      <c r="D76" s="1"/>
      <c r="E76" s="1"/>
      <c r="F76" s="1"/>
      <c r="G76" s="2"/>
    </row>
    <row r="77" ht="15.75" customHeight="1">
      <c r="A77" s="1"/>
      <c r="B77" s="1"/>
      <c r="C77" s="43"/>
      <c r="D77" s="1"/>
      <c r="E77" s="1"/>
      <c r="F77" s="1"/>
      <c r="G77" s="2"/>
    </row>
    <row r="78" ht="15.75" customHeight="1">
      <c r="A78" s="1"/>
      <c r="B78" s="1"/>
      <c r="C78" s="43"/>
      <c r="D78" s="1"/>
      <c r="E78" s="1"/>
      <c r="F78" s="1"/>
      <c r="G78" s="1"/>
    </row>
    <row r="79" ht="15.75" customHeight="1">
      <c r="A79" s="1"/>
      <c r="B79" s="1" t="s">
        <v>1038</v>
      </c>
      <c r="C79" s="43"/>
      <c r="D79" s="1"/>
      <c r="E79" s="1"/>
      <c r="F79" s="1"/>
      <c r="G79" s="1"/>
    </row>
    <row r="80" ht="15.75" customHeight="1">
      <c r="A80" s="1"/>
      <c r="B80" s="1"/>
      <c r="C80" s="43"/>
      <c r="D80" s="1"/>
      <c r="E80" s="1"/>
      <c r="F80" s="1"/>
      <c r="G80" s="1"/>
    </row>
    <row r="81" ht="15.75" customHeight="1">
      <c r="A81" s="1"/>
      <c r="B81" s="33" t="s">
        <v>1039</v>
      </c>
      <c r="C81" s="1"/>
      <c r="D81" s="1"/>
      <c r="E81" s="1"/>
      <c r="F81" s="1"/>
      <c r="G81" s="2"/>
    </row>
    <row r="82" ht="15.75" customHeight="1">
      <c r="A82" s="1"/>
      <c r="B82" s="4"/>
      <c r="C82" s="1"/>
      <c r="D82" s="1"/>
      <c r="E82" s="1"/>
      <c r="F82" s="1"/>
      <c r="G82" s="2"/>
    </row>
    <row r="83" ht="15.75" customHeight="1">
      <c r="A83" s="1"/>
      <c r="B83" s="55" t="s">
        <v>531</v>
      </c>
      <c r="C83" s="56"/>
      <c r="D83" s="56"/>
      <c r="E83" s="56"/>
      <c r="F83" s="1"/>
      <c r="G83" s="2"/>
    </row>
    <row r="84" ht="15.75" customHeight="1">
      <c r="A84" s="1"/>
      <c r="B84" s="55"/>
      <c r="C84" s="56"/>
      <c r="D84" s="56"/>
      <c r="E84" s="56"/>
      <c r="F84" s="1"/>
      <c r="G84" s="2"/>
    </row>
    <row r="85" ht="15.75" customHeight="1">
      <c r="A85" s="1"/>
      <c r="B85" s="55" t="s">
        <v>1040</v>
      </c>
      <c r="C85" s="56"/>
      <c r="D85" s="56"/>
      <c r="E85" s="56"/>
      <c r="F85" s="1"/>
      <c r="G85" s="2"/>
    </row>
    <row r="86" ht="15.75" customHeight="1">
      <c r="A86" s="1"/>
      <c r="B86" s="55"/>
      <c r="C86" s="56"/>
      <c r="D86" s="56"/>
      <c r="E86" s="56"/>
      <c r="F86" s="1"/>
      <c r="G86" s="2"/>
    </row>
    <row r="87" ht="15.75" customHeight="1">
      <c r="A87" s="1"/>
      <c r="B87" s="55" t="s">
        <v>681</v>
      </c>
      <c r="F87" s="1"/>
      <c r="G87" s="2"/>
    </row>
    <row r="88" ht="15.75" customHeight="1">
      <c r="A88" s="1"/>
      <c r="B88" s="55"/>
      <c r="C88" s="55"/>
      <c r="D88" s="55"/>
      <c r="E88" s="55"/>
      <c r="F88" s="1"/>
      <c r="G88" s="2"/>
    </row>
    <row r="89" ht="15.75" customHeight="1">
      <c r="A89" s="1"/>
      <c r="B89" s="55" t="s">
        <v>1041</v>
      </c>
      <c r="C89" s="56"/>
      <c r="D89" s="57"/>
      <c r="E89" s="56"/>
      <c r="F89" s="1"/>
      <c r="G89" s="2"/>
    </row>
    <row r="90" ht="15.75" customHeight="1">
      <c r="A90" s="1"/>
      <c r="B90" s="55"/>
      <c r="C90" s="56"/>
      <c r="D90" s="57"/>
      <c r="E90" s="56"/>
      <c r="F90" s="1"/>
      <c r="G90" s="2"/>
    </row>
    <row r="91" ht="15.75" customHeight="1">
      <c r="A91" s="1"/>
      <c r="B91" s="55" t="s">
        <v>535</v>
      </c>
      <c r="C91" s="56"/>
      <c r="D91" s="57"/>
      <c r="E91" s="56"/>
      <c r="F91" s="1"/>
      <c r="G91" s="2"/>
    </row>
    <row r="92" ht="15.75" customHeight="1">
      <c r="A92" s="1"/>
      <c r="B92" s="55"/>
      <c r="C92" s="56"/>
      <c r="D92" s="57"/>
      <c r="E92" s="56"/>
      <c r="F92" s="1"/>
      <c r="G92" s="2"/>
    </row>
    <row r="93" ht="15.75" customHeight="1">
      <c r="B93" s="55" t="s">
        <v>536</v>
      </c>
      <c r="C93" s="56"/>
      <c r="D93" s="57"/>
      <c r="E93" s="57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71:G71"/>
    <mergeCell ref="B87:E87"/>
  </mergeCell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10.71"/>
    <col customWidth="1" min="4" max="4" width="11.43"/>
    <col customWidth="1" min="5" max="5" width="13.43"/>
    <col customWidth="1" min="6" max="6" width="11.71"/>
    <col customWidth="1" min="7" max="7" width="17.29"/>
    <col customWidth="1" min="8" max="26" width="10.71"/>
  </cols>
  <sheetData>
    <row r="2">
      <c r="A2" s="1" t="s">
        <v>721</v>
      </c>
      <c r="B2" s="3" t="s">
        <v>1042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1043</v>
      </c>
      <c r="C4" s="1"/>
      <c r="D4" s="1"/>
      <c r="E4" s="1"/>
      <c r="F4" s="1"/>
      <c r="G4" s="2">
        <v>1.6688863E7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1044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477200.0</v>
      </c>
      <c r="G7" s="7">
        <v>190000.0</v>
      </c>
    </row>
    <row r="8">
      <c r="A8" s="1"/>
      <c r="B8" s="4" t="s">
        <v>64</v>
      </c>
      <c r="C8" s="1"/>
      <c r="D8" s="1"/>
      <c r="E8" s="1"/>
      <c r="F8" s="2">
        <v>624100.0</v>
      </c>
      <c r="G8" s="7">
        <v>231000.0</v>
      </c>
    </row>
    <row r="9">
      <c r="A9" s="1"/>
      <c r="B9" s="4" t="s">
        <v>65</v>
      </c>
      <c r="C9" s="1"/>
      <c r="D9" s="1"/>
      <c r="E9" s="1"/>
      <c r="F9" s="2">
        <v>449200.0</v>
      </c>
      <c r="G9" s="7">
        <v>188000.0</v>
      </c>
    </row>
    <row r="10">
      <c r="A10" s="1"/>
      <c r="B10" s="4" t="s">
        <v>66</v>
      </c>
      <c r="C10" s="1"/>
      <c r="D10" s="1"/>
      <c r="E10" s="1"/>
      <c r="F10" s="2">
        <v>466500.0</v>
      </c>
      <c r="G10" s="8">
        <v>147000.0</v>
      </c>
    </row>
    <row r="11">
      <c r="A11" s="1"/>
      <c r="B11" s="4" t="s">
        <v>67</v>
      </c>
      <c r="C11" s="1"/>
      <c r="D11" s="49" t="s">
        <v>8</v>
      </c>
      <c r="E11" s="49"/>
      <c r="F11" s="62">
        <v>403200.0</v>
      </c>
      <c r="G11" s="7">
        <v>145000.0</v>
      </c>
    </row>
    <row r="12">
      <c r="A12" s="1"/>
      <c r="B12" s="4"/>
      <c r="C12" s="50" t="s">
        <v>405</v>
      </c>
      <c r="E12" s="4"/>
      <c r="F12" s="2">
        <f t="shared" ref="F12:G12" si="1">SUM(F7:F11)</f>
        <v>2420200</v>
      </c>
      <c r="G12" s="7">
        <f t="shared" si="1"/>
        <v>901000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3321200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1045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1046</v>
      </c>
      <c r="C17" s="1"/>
      <c r="D17" s="1"/>
      <c r="E17" s="1"/>
      <c r="F17" s="1"/>
      <c r="G17" s="2">
        <v>84000.0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100000.0</v>
      </c>
    </row>
    <row r="23" ht="15.75" customHeight="1">
      <c r="A23" s="1"/>
      <c r="B23" s="4"/>
      <c r="C23" s="1"/>
      <c r="D23" s="1"/>
      <c r="E23" s="1"/>
      <c r="F23" s="1"/>
      <c r="G23" s="2"/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524000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12"/>
      <c r="C26" s="15"/>
      <c r="D26" s="1"/>
      <c r="E26" s="1"/>
      <c r="F26" s="1"/>
      <c r="G26" s="2"/>
    </row>
    <row r="27" ht="15.75" customHeight="1">
      <c r="A27" s="1"/>
      <c r="B27" s="4" t="s">
        <v>463</v>
      </c>
      <c r="C27" s="15"/>
      <c r="D27" s="1"/>
      <c r="E27" s="1"/>
      <c r="F27" s="1"/>
      <c r="G27" s="2">
        <v>8000.0</v>
      </c>
    </row>
    <row r="28" ht="15.75" customHeight="1">
      <c r="A28" s="1"/>
      <c r="B28" s="4" t="s">
        <v>1047</v>
      </c>
      <c r="C28" s="15"/>
      <c r="D28" s="1"/>
      <c r="E28" s="1"/>
      <c r="F28" s="1"/>
      <c r="G28" s="2">
        <v>65250.0</v>
      </c>
    </row>
    <row r="29" ht="15.75" customHeight="1">
      <c r="A29" s="1"/>
      <c r="B29" s="4" t="s">
        <v>1048</v>
      </c>
      <c r="C29" s="15"/>
      <c r="D29" s="1"/>
      <c r="E29" s="1"/>
      <c r="F29" s="1"/>
      <c r="G29" s="2">
        <v>250000.0</v>
      </c>
    </row>
    <row r="30" ht="15.75" customHeight="1">
      <c r="A30" s="1"/>
      <c r="B30" s="4" t="s">
        <v>1049</v>
      </c>
      <c r="C30" s="15"/>
      <c r="D30" s="1"/>
      <c r="E30" s="1"/>
      <c r="F30" s="1"/>
      <c r="G30" s="2">
        <v>2000.0</v>
      </c>
    </row>
    <row r="31" ht="15.75" customHeight="1">
      <c r="A31" s="1"/>
      <c r="B31" s="4" t="s">
        <v>1050</v>
      </c>
      <c r="C31" s="15"/>
      <c r="D31" s="1"/>
      <c r="E31" s="1"/>
      <c r="F31" s="1"/>
      <c r="G31" s="2">
        <v>76725.0</v>
      </c>
    </row>
    <row r="32" ht="15.75" customHeight="1">
      <c r="A32" s="1"/>
      <c r="B32" s="4" t="s">
        <v>1051</v>
      </c>
      <c r="C32" s="15"/>
      <c r="D32" s="1"/>
      <c r="E32" s="1"/>
      <c r="F32" s="1"/>
      <c r="G32" s="2">
        <v>2500.0</v>
      </c>
    </row>
    <row r="33" ht="15.75" customHeight="1">
      <c r="A33" s="1"/>
      <c r="B33" s="4" t="s">
        <v>1052</v>
      </c>
      <c r="C33" s="15"/>
      <c r="D33" s="1"/>
      <c r="E33" s="1"/>
      <c r="F33" s="1"/>
      <c r="G33" s="2">
        <v>10000.0</v>
      </c>
    </row>
    <row r="34" ht="15.75" customHeight="1">
      <c r="A34" s="1"/>
      <c r="B34" s="4" t="s">
        <v>1053</v>
      </c>
      <c r="C34" s="15"/>
      <c r="D34" s="1"/>
      <c r="E34" s="1"/>
      <c r="F34" s="1"/>
      <c r="G34" s="2">
        <v>2200.0</v>
      </c>
    </row>
    <row r="35" ht="15.75" customHeight="1">
      <c r="A35" s="1"/>
      <c r="B35" s="4" t="s">
        <v>1054</v>
      </c>
      <c r="C35" s="15"/>
      <c r="D35" s="1"/>
      <c r="E35" s="1"/>
      <c r="F35" s="1"/>
      <c r="G35" s="2">
        <v>5000.0</v>
      </c>
    </row>
    <row r="36" ht="15.75" customHeight="1">
      <c r="A36" s="1"/>
      <c r="B36" s="4" t="s">
        <v>1055</v>
      </c>
      <c r="C36" s="15"/>
      <c r="D36" s="1"/>
      <c r="E36" s="1"/>
      <c r="F36" s="1"/>
      <c r="G36" s="2">
        <v>100000.0</v>
      </c>
    </row>
    <row r="37" ht="15.75" customHeight="1">
      <c r="A37" s="1"/>
      <c r="B37" s="4" t="s">
        <v>1056</v>
      </c>
      <c r="C37" s="15"/>
      <c r="D37" s="1"/>
      <c r="E37" s="1"/>
      <c r="F37" s="1"/>
      <c r="G37" s="2">
        <v>36120.0</v>
      </c>
    </row>
    <row r="38" ht="15.75" customHeight="1">
      <c r="A38" s="1"/>
      <c r="B38" s="4" t="s">
        <v>1057</v>
      </c>
      <c r="C38" s="15"/>
      <c r="D38" s="1"/>
      <c r="E38" s="1"/>
      <c r="F38" s="1"/>
      <c r="G38" s="2">
        <v>325000.0</v>
      </c>
    </row>
    <row r="39" ht="15.75" customHeight="1">
      <c r="A39" s="1"/>
      <c r="B39" s="4" t="s">
        <v>1058</v>
      </c>
      <c r="C39" s="15"/>
      <c r="D39" s="1"/>
      <c r="E39" s="1"/>
      <c r="F39" s="1"/>
      <c r="G39" s="2">
        <v>150000.0</v>
      </c>
    </row>
    <row r="40" ht="15.75" customHeight="1">
      <c r="A40" s="1"/>
      <c r="B40" s="4" t="s">
        <v>1059</v>
      </c>
      <c r="C40" s="15"/>
      <c r="D40" s="1"/>
      <c r="E40" s="1"/>
      <c r="F40" s="1"/>
      <c r="G40" s="2">
        <v>5000.0</v>
      </c>
    </row>
    <row r="41" ht="15.75" customHeight="1">
      <c r="A41" s="1"/>
      <c r="B41" s="4" t="s">
        <v>1060</v>
      </c>
      <c r="C41" s="15"/>
      <c r="D41" s="1"/>
      <c r="E41" s="1"/>
      <c r="F41" s="1"/>
      <c r="G41" s="2">
        <v>2000.0</v>
      </c>
    </row>
    <row r="42" ht="15.75" customHeight="1">
      <c r="A42" s="1"/>
      <c r="B42" s="4" t="s">
        <v>463</v>
      </c>
      <c r="C42" s="15"/>
      <c r="D42" s="1"/>
      <c r="E42" s="1"/>
      <c r="F42" s="1"/>
      <c r="G42" s="2">
        <v>10000.0</v>
      </c>
    </row>
    <row r="43" ht="15.75" customHeight="1">
      <c r="A43" s="1"/>
      <c r="B43" s="4" t="s">
        <v>1061</v>
      </c>
      <c r="C43" s="15"/>
      <c r="D43" s="1"/>
      <c r="E43" s="1"/>
      <c r="F43" s="1"/>
      <c r="G43" s="2">
        <v>24000.0</v>
      </c>
    </row>
    <row r="44" ht="15.75" customHeight="1">
      <c r="A44" s="1"/>
      <c r="B44" s="4" t="s">
        <v>1062</v>
      </c>
      <c r="C44" s="15"/>
      <c r="D44" s="1"/>
      <c r="E44" s="1"/>
      <c r="F44" s="1"/>
      <c r="G44" s="2">
        <v>26000.0</v>
      </c>
    </row>
    <row r="45" ht="15.75" customHeight="1">
      <c r="A45" s="1"/>
      <c r="B45" s="4" t="s">
        <v>1063</v>
      </c>
      <c r="C45" s="15"/>
      <c r="D45" s="1"/>
      <c r="E45" s="1"/>
      <c r="F45" s="1"/>
      <c r="G45" s="2">
        <v>50000.0</v>
      </c>
    </row>
    <row r="46" ht="15.75" customHeight="1">
      <c r="A46" s="1"/>
      <c r="B46" s="4" t="s">
        <v>1064</v>
      </c>
      <c r="C46" s="15"/>
      <c r="D46" s="1"/>
      <c r="E46" s="1"/>
      <c r="F46" s="1"/>
      <c r="G46" s="2">
        <v>300000.0</v>
      </c>
    </row>
    <row r="47" ht="15.75" customHeight="1">
      <c r="A47" s="1"/>
      <c r="B47" s="4" t="s">
        <v>1065</v>
      </c>
      <c r="C47" s="15"/>
      <c r="D47" s="1"/>
      <c r="E47" s="1"/>
      <c r="F47" s="1"/>
      <c r="G47" s="2">
        <v>2000.0</v>
      </c>
    </row>
    <row r="48" ht="15.75" customHeight="1">
      <c r="A48" s="1"/>
      <c r="B48" s="4" t="s">
        <v>1066</v>
      </c>
      <c r="C48" s="15"/>
      <c r="D48" s="1"/>
      <c r="E48" s="1"/>
      <c r="F48" s="1"/>
      <c r="G48" s="2">
        <v>5000.0</v>
      </c>
    </row>
    <row r="49" ht="15.75" customHeight="1">
      <c r="A49" s="1"/>
      <c r="B49" s="4" t="s">
        <v>1067</v>
      </c>
      <c r="C49" s="15"/>
      <c r="D49" s="1"/>
      <c r="E49" s="1"/>
      <c r="F49" s="1"/>
      <c r="G49" s="2">
        <v>100000.0</v>
      </c>
    </row>
    <row r="50" ht="15.75" customHeight="1">
      <c r="A50" s="1"/>
      <c r="B50" s="4" t="s">
        <v>1068</v>
      </c>
      <c r="C50" s="15"/>
      <c r="D50" s="1"/>
      <c r="E50" s="1"/>
      <c r="F50" s="1"/>
      <c r="G50" s="2">
        <v>2000.0</v>
      </c>
    </row>
    <row r="51" ht="15.75" customHeight="1">
      <c r="A51" s="1"/>
      <c r="B51" s="4" t="s">
        <v>1069</v>
      </c>
      <c r="C51" s="15"/>
      <c r="D51" s="1"/>
      <c r="E51" s="1"/>
      <c r="F51" s="1"/>
      <c r="G51" s="2">
        <v>36000.0</v>
      </c>
    </row>
    <row r="52" ht="15.75" customHeight="1">
      <c r="A52" s="1"/>
      <c r="B52" s="4" t="s">
        <v>1070</v>
      </c>
      <c r="C52" s="15"/>
      <c r="D52" s="1"/>
      <c r="E52" s="1"/>
      <c r="F52" s="1"/>
      <c r="G52" s="2">
        <v>187500.0</v>
      </c>
    </row>
    <row r="53" ht="15.75" customHeight="1">
      <c r="A53" s="1"/>
      <c r="B53" s="4"/>
      <c r="C53" s="15"/>
      <c r="D53" s="1"/>
      <c r="E53" s="1"/>
      <c r="F53" s="1"/>
      <c r="G53" s="2"/>
    </row>
    <row r="54" ht="15.75" customHeight="1">
      <c r="A54" s="1"/>
      <c r="B54" s="4"/>
      <c r="C54" s="15"/>
      <c r="D54" s="1"/>
      <c r="E54" s="1"/>
      <c r="F54" s="1"/>
      <c r="G54" s="2"/>
    </row>
    <row r="55" ht="15.75" customHeight="1">
      <c r="A55" s="1"/>
      <c r="B55" s="43" t="s">
        <v>43</v>
      </c>
      <c r="C55" s="1"/>
      <c r="D55" s="1"/>
      <c r="E55" s="1"/>
      <c r="F55" s="1"/>
      <c r="G55" s="13">
        <f>SUM(G27:G52)</f>
        <v>1782295</v>
      </c>
    </row>
    <row r="56" ht="15.75" customHeight="1">
      <c r="A56" s="1"/>
      <c r="B56" s="43"/>
      <c r="C56" s="1"/>
      <c r="D56" s="1"/>
      <c r="E56" s="1"/>
      <c r="F56" s="1"/>
      <c r="G56" s="13"/>
    </row>
    <row r="57" ht="15.75" customHeight="1">
      <c r="A57" s="1"/>
      <c r="B57" s="43"/>
      <c r="C57" s="1"/>
      <c r="D57" s="1"/>
      <c r="E57" s="1"/>
      <c r="F57" s="1"/>
      <c r="G57" s="13"/>
    </row>
    <row r="58" ht="15.75" customHeight="1">
      <c r="A58" s="1"/>
      <c r="B58" s="1"/>
      <c r="C58" s="1"/>
      <c r="D58" s="1"/>
      <c r="E58" s="1"/>
      <c r="F58" s="1"/>
      <c r="G58" s="13"/>
    </row>
    <row r="59" ht="15.75" customHeight="1">
      <c r="A59" s="1"/>
      <c r="B59" s="19" t="s">
        <v>45</v>
      </c>
      <c r="C59" s="20"/>
      <c r="D59" s="20"/>
      <c r="E59" s="20"/>
      <c r="F59" s="20"/>
      <c r="G59" s="21">
        <f>SUM(G24+G55)</f>
        <v>2306295</v>
      </c>
    </row>
    <row r="60" ht="15.75" customHeight="1">
      <c r="A60" s="1"/>
      <c r="B60" s="4" t="s">
        <v>46</v>
      </c>
      <c r="C60" s="1"/>
      <c r="D60" s="1"/>
      <c r="E60" s="1"/>
      <c r="F60" s="1"/>
      <c r="G60" s="2"/>
    </row>
    <row r="61" ht="15.75" customHeight="1">
      <c r="A61" s="35" t="s">
        <v>1071</v>
      </c>
      <c r="B61" s="36"/>
      <c r="C61" s="37"/>
      <c r="D61" s="37"/>
      <c r="E61" s="37"/>
      <c r="F61" s="37"/>
      <c r="G61" s="38">
        <f>(G13-G59)</f>
        <v>1014905</v>
      </c>
    </row>
    <row r="62" ht="15.75" customHeight="1">
      <c r="A62" s="22" t="s">
        <v>254</v>
      </c>
      <c r="B62" s="1" t="s">
        <v>255</v>
      </c>
      <c r="C62" s="1"/>
      <c r="D62" s="1"/>
      <c r="E62" s="1"/>
      <c r="F62" s="1"/>
      <c r="G62" s="2"/>
    </row>
    <row r="63" ht="15.75" customHeight="1">
      <c r="A63" s="22"/>
      <c r="B63" s="1" t="s">
        <v>1072</v>
      </c>
      <c r="C63" s="1"/>
      <c r="D63" s="1"/>
      <c r="E63" s="1"/>
      <c r="F63" s="1"/>
      <c r="G63" s="2">
        <v>450000.0</v>
      </c>
    </row>
    <row r="64" ht="15.75" customHeight="1">
      <c r="A64" s="22"/>
      <c r="B64" s="1" t="s">
        <v>1073</v>
      </c>
      <c r="C64" s="1"/>
      <c r="D64" s="1"/>
      <c r="E64" s="1"/>
      <c r="F64" s="1"/>
      <c r="G64" s="2">
        <v>165000.0</v>
      </c>
    </row>
    <row r="65" ht="15.75" customHeight="1">
      <c r="A65" s="22"/>
      <c r="B65" s="1"/>
      <c r="C65" s="1"/>
      <c r="D65" s="1"/>
      <c r="E65" s="1"/>
      <c r="F65" s="1"/>
      <c r="G65" s="2"/>
    </row>
    <row r="66" ht="15.75" customHeight="1">
      <c r="A66" s="22"/>
      <c r="B66" s="1"/>
      <c r="C66" s="1"/>
      <c r="D66" s="1"/>
      <c r="E66" s="1"/>
      <c r="F66" s="1"/>
      <c r="G66" s="2"/>
    </row>
    <row r="67" ht="15.75" customHeight="1">
      <c r="A67" s="1"/>
      <c r="B67" s="27" t="s">
        <v>51</v>
      </c>
      <c r="C67" s="27"/>
      <c r="D67" s="27"/>
      <c r="E67" s="27"/>
      <c r="F67" s="27"/>
      <c r="G67" s="2">
        <f>SUM(G63:G64)</f>
        <v>615000</v>
      </c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44"/>
      <c r="B69" s="45" t="s">
        <v>1074</v>
      </c>
      <c r="C69" s="46"/>
      <c r="D69" s="46"/>
      <c r="E69" s="46"/>
      <c r="F69" s="46"/>
      <c r="G69" s="47">
        <f>SUM(G4+G61-G67)</f>
        <v>17088768</v>
      </c>
    </row>
    <row r="70" ht="15.75" customHeight="1">
      <c r="A70" s="1"/>
      <c r="B70" s="1"/>
      <c r="C70" s="1"/>
      <c r="D70" s="1"/>
      <c r="E70" s="1"/>
      <c r="F70" s="1"/>
      <c r="G70" s="2"/>
    </row>
    <row r="71" ht="15.75" customHeight="1">
      <c r="A71" s="1"/>
      <c r="B71" s="32" t="s">
        <v>1075</v>
      </c>
    </row>
    <row r="72" ht="15.75" customHeight="1">
      <c r="A72" s="1"/>
      <c r="B72" s="1"/>
      <c r="C72" s="1" t="s">
        <v>1076</v>
      </c>
      <c r="D72" s="1"/>
      <c r="E72" s="1"/>
      <c r="F72" s="1"/>
      <c r="G72" s="2">
        <v>7200.0</v>
      </c>
    </row>
    <row r="73" ht="15.75" customHeight="1">
      <c r="A73" s="1"/>
      <c r="B73" s="1"/>
      <c r="C73" s="1" t="s">
        <v>1077</v>
      </c>
      <c r="D73" s="1"/>
      <c r="E73" s="1"/>
      <c r="F73" s="1"/>
      <c r="G73" s="2">
        <v>307700.0</v>
      </c>
    </row>
    <row r="74" ht="15.75" customHeight="1">
      <c r="A74" s="1"/>
      <c r="B74" s="1"/>
      <c r="C74" s="43" t="s">
        <v>115</v>
      </c>
      <c r="D74" s="1"/>
      <c r="E74" s="1"/>
      <c r="F74" s="1"/>
      <c r="G74" s="2">
        <f>SUM(G72:G73)</f>
        <v>314900</v>
      </c>
    </row>
    <row r="75" ht="15.75" customHeight="1">
      <c r="A75" s="1"/>
      <c r="B75" s="1"/>
      <c r="C75" s="43"/>
      <c r="D75" s="1"/>
      <c r="E75" s="1"/>
      <c r="F75" s="1"/>
      <c r="G75" s="2"/>
    </row>
    <row r="76" ht="15.75" customHeight="1">
      <c r="A76" s="1"/>
      <c r="B76" s="1" t="s">
        <v>1078</v>
      </c>
      <c r="C76" s="43"/>
      <c r="D76" s="1"/>
      <c r="E76" s="1"/>
      <c r="F76" s="1"/>
      <c r="G76" s="2"/>
    </row>
    <row r="77" ht="15.75" customHeight="1">
      <c r="A77" s="1"/>
      <c r="B77" s="1"/>
      <c r="C77" s="43"/>
      <c r="D77" s="1"/>
      <c r="E77" s="1"/>
      <c r="F77" s="1"/>
      <c r="G77" s="2"/>
    </row>
    <row r="78" ht="15.75" customHeight="1">
      <c r="A78" s="1"/>
      <c r="B78" s="1"/>
      <c r="C78" s="43"/>
      <c r="D78" s="1"/>
      <c r="E78" s="1"/>
      <c r="F78" s="1"/>
      <c r="G78" s="1"/>
    </row>
    <row r="79" ht="15.75" customHeight="1">
      <c r="A79" s="1"/>
      <c r="B79" s="1" t="s">
        <v>1038</v>
      </c>
      <c r="C79" s="43"/>
      <c r="D79" s="1"/>
      <c r="E79" s="1"/>
      <c r="F79" s="1"/>
      <c r="G79" s="1"/>
    </row>
    <row r="80" ht="15.75" customHeight="1">
      <c r="A80" s="1"/>
      <c r="B80" s="1"/>
      <c r="C80" s="43"/>
      <c r="D80" s="1"/>
      <c r="E80" s="1"/>
      <c r="F80" s="1"/>
      <c r="G80" s="1"/>
    </row>
    <row r="81" ht="15.75" customHeight="1">
      <c r="A81" s="1"/>
      <c r="B81" s="33" t="s">
        <v>1079</v>
      </c>
      <c r="C81" s="1"/>
      <c r="D81" s="1"/>
      <c r="E81" s="1"/>
      <c r="F81" s="1"/>
      <c r="G81" s="2"/>
    </row>
    <row r="82" ht="15.75" customHeight="1">
      <c r="A82" s="1"/>
      <c r="B82" s="4"/>
      <c r="C82" s="1"/>
      <c r="D82" s="1"/>
      <c r="E82" s="1"/>
      <c r="F82" s="1"/>
      <c r="G82" s="2"/>
    </row>
    <row r="83" ht="15.75" customHeight="1">
      <c r="A83" s="1"/>
      <c r="B83" s="55" t="s">
        <v>531</v>
      </c>
      <c r="C83" s="56"/>
      <c r="D83" s="56"/>
      <c r="E83" s="56"/>
      <c r="F83" s="1"/>
      <c r="G83" s="2"/>
    </row>
    <row r="84" ht="15.75" customHeight="1">
      <c r="A84" s="1"/>
      <c r="B84" s="55"/>
      <c r="C84" s="56"/>
      <c r="D84" s="56"/>
      <c r="E84" s="56"/>
      <c r="F84" s="1"/>
      <c r="G84" s="2"/>
    </row>
    <row r="85" ht="15.75" customHeight="1">
      <c r="A85" s="1"/>
      <c r="B85" s="55" t="s">
        <v>1080</v>
      </c>
      <c r="C85" s="56"/>
      <c r="D85" s="56"/>
      <c r="E85" s="56"/>
      <c r="F85" s="1"/>
      <c r="G85" s="2"/>
    </row>
    <row r="86" ht="15.75" customHeight="1">
      <c r="A86" s="1"/>
      <c r="B86" s="55"/>
      <c r="C86" s="56"/>
      <c r="D86" s="56"/>
      <c r="E86" s="56"/>
      <c r="F86" s="1"/>
      <c r="G86" s="2"/>
    </row>
    <row r="87" ht="15.75" customHeight="1">
      <c r="A87" s="1"/>
      <c r="B87" s="55" t="s">
        <v>681</v>
      </c>
      <c r="F87" s="1"/>
      <c r="G87" s="2"/>
    </row>
    <row r="88" ht="15.75" customHeight="1">
      <c r="A88" s="1"/>
      <c r="B88" s="55"/>
      <c r="C88" s="55"/>
      <c r="D88" s="55"/>
      <c r="E88" s="55"/>
      <c r="F88" s="1"/>
      <c r="G88" s="2"/>
    </row>
    <row r="89" ht="15.75" customHeight="1">
      <c r="A89" s="1"/>
      <c r="B89" s="55" t="s">
        <v>1081</v>
      </c>
      <c r="C89" s="56"/>
      <c r="D89" s="57"/>
      <c r="E89" s="56"/>
      <c r="F89" s="1"/>
      <c r="G89" s="2"/>
    </row>
    <row r="90" ht="15.75" customHeight="1">
      <c r="A90" s="1"/>
      <c r="B90" s="55"/>
      <c r="C90" s="56"/>
      <c r="D90" s="57"/>
      <c r="E90" s="56"/>
      <c r="F90" s="1"/>
      <c r="G90" s="2"/>
    </row>
    <row r="91" ht="15.75" customHeight="1">
      <c r="A91" s="1"/>
      <c r="B91" s="55" t="s">
        <v>535</v>
      </c>
      <c r="C91" s="56"/>
      <c r="D91" s="57"/>
      <c r="E91" s="56"/>
      <c r="F91" s="1"/>
      <c r="G91" s="2"/>
    </row>
    <row r="92" ht="15.75" customHeight="1">
      <c r="A92" s="1"/>
      <c r="B92" s="55"/>
      <c r="C92" s="56"/>
      <c r="D92" s="57"/>
      <c r="E92" s="56"/>
      <c r="F92" s="1"/>
      <c r="G92" s="2"/>
    </row>
    <row r="93" ht="15.75" customHeight="1">
      <c r="B93" s="55" t="s">
        <v>536</v>
      </c>
      <c r="C93" s="56"/>
      <c r="D93" s="57"/>
      <c r="E93" s="57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71:G71"/>
    <mergeCell ref="B87:E87"/>
  </mergeCell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9.71"/>
    <col customWidth="1" min="3" max="3" width="12.71"/>
    <col customWidth="1" min="4" max="4" width="13.29"/>
    <col customWidth="1" min="5" max="5" width="22.0"/>
    <col customWidth="1" min="6" max="6" width="15.57"/>
    <col customWidth="1" min="7" max="7" width="14.14"/>
    <col customWidth="1" min="8" max="26" width="10.71"/>
  </cols>
  <sheetData>
    <row r="1">
      <c r="A1" s="58" t="s">
        <v>621</v>
      </c>
      <c r="B1" s="58" t="s">
        <v>622</v>
      </c>
      <c r="C1" s="58" t="s">
        <v>623</v>
      </c>
      <c r="D1" s="58" t="s">
        <v>624</v>
      </c>
      <c r="E1" s="58" t="s">
        <v>625</v>
      </c>
      <c r="F1" s="58" t="s">
        <v>626</v>
      </c>
      <c r="G1" s="58" t="s">
        <v>627</v>
      </c>
      <c r="H1" s="58" t="s">
        <v>628</v>
      </c>
      <c r="I1" s="58" t="s">
        <v>629</v>
      </c>
    </row>
    <row r="2">
      <c r="A2" s="59">
        <v>43831.0</v>
      </c>
      <c r="B2" s="2">
        <v>1.8774759E7</v>
      </c>
      <c r="C2" s="60">
        <v>1487000.0</v>
      </c>
      <c r="D2" s="60">
        <v>2089000.0</v>
      </c>
      <c r="E2" s="60">
        <v>634000.0</v>
      </c>
      <c r="F2" s="60">
        <v>974371.0</v>
      </c>
      <c r="G2" s="60">
        <v>5135835.010210001</v>
      </c>
      <c r="H2" s="60">
        <v>1967629.0</v>
      </c>
      <c r="I2" s="60">
        <f t="shared" ref="I2:I3" si="1">(B2+H2-G2)</f>
        <v>15606552.99</v>
      </c>
    </row>
    <row r="3">
      <c r="A3" s="59">
        <v>43862.0</v>
      </c>
      <c r="B3" s="60">
        <v>1.5606553E7</v>
      </c>
      <c r="C3" s="60">
        <v>2119800.0</v>
      </c>
      <c r="D3" s="60">
        <v>1374000.0</v>
      </c>
      <c r="E3" s="60">
        <v>642000.0</v>
      </c>
      <c r="F3" s="60">
        <v>1088517.0</v>
      </c>
      <c r="G3" s="60">
        <v>0.0</v>
      </c>
      <c r="H3" s="60">
        <v>1763283.0</v>
      </c>
      <c r="I3" s="60">
        <f t="shared" si="1"/>
        <v>17369836</v>
      </c>
    </row>
    <row r="4">
      <c r="A4" s="59">
        <v>43891.0</v>
      </c>
      <c r="B4" s="60">
        <f t="shared" ref="B4:B13" si="2">(I3)</f>
        <v>17369836</v>
      </c>
      <c r="C4" s="60">
        <v>1706200.0</v>
      </c>
      <c r="D4" s="60">
        <v>861000.0</v>
      </c>
      <c r="E4" s="60">
        <v>574000.0</v>
      </c>
      <c r="F4" s="60">
        <v>1328250.0</v>
      </c>
      <c r="G4" s="60">
        <v>0.0</v>
      </c>
      <c r="H4" s="60">
        <v>664950.0</v>
      </c>
      <c r="I4" s="60">
        <v>1.8034786E7</v>
      </c>
    </row>
    <row r="5">
      <c r="A5" s="59">
        <v>43922.0</v>
      </c>
      <c r="B5" s="60">
        <f t="shared" si="2"/>
        <v>18034786</v>
      </c>
      <c r="C5" s="60">
        <v>1089600.0</v>
      </c>
      <c r="D5" s="60">
        <v>108000.0</v>
      </c>
      <c r="E5" s="60">
        <v>606000.0</v>
      </c>
      <c r="F5" s="60">
        <v>437981.0</v>
      </c>
      <c r="G5" s="60">
        <v>0.0</v>
      </c>
      <c r="H5" s="60">
        <v>153619.0</v>
      </c>
      <c r="I5" s="60">
        <f t="shared" ref="I5:I7" si="3">(B5+H5-G5)</f>
        <v>18188405</v>
      </c>
    </row>
    <row r="6">
      <c r="A6" s="59">
        <v>43952.0</v>
      </c>
      <c r="B6" s="60">
        <f t="shared" si="2"/>
        <v>18188405</v>
      </c>
      <c r="C6" s="60">
        <v>729300.0</v>
      </c>
      <c r="D6" s="60">
        <v>55000.0</v>
      </c>
      <c r="E6" s="60">
        <v>554000.0</v>
      </c>
      <c r="F6" s="60">
        <v>715115.0</v>
      </c>
      <c r="G6" s="60">
        <v>0.0</v>
      </c>
      <c r="H6" s="60">
        <v>2651345.0</v>
      </c>
      <c r="I6" s="60">
        <f t="shared" si="3"/>
        <v>20839750</v>
      </c>
    </row>
    <row r="7">
      <c r="A7" s="59">
        <v>43983.0</v>
      </c>
      <c r="B7" s="60">
        <f t="shared" si="2"/>
        <v>20839750</v>
      </c>
      <c r="C7" s="60">
        <v>2008100.0</v>
      </c>
      <c r="D7" s="60">
        <v>842000.0</v>
      </c>
      <c r="E7" s="60">
        <v>566000.0</v>
      </c>
      <c r="F7" s="60">
        <v>2161130.0</v>
      </c>
      <c r="G7" s="60">
        <v>0.0</v>
      </c>
      <c r="H7" s="60">
        <v>122970.0</v>
      </c>
      <c r="I7" s="60">
        <f t="shared" si="3"/>
        <v>20962720</v>
      </c>
    </row>
    <row r="8">
      <c r="A8" s="59">
        <v>43647.0</v>
      </c>
      <c r="B8" s="60">
        <f t="shared" si="2"/>
        <v>20962720</v>
      </c>
      <c r="C8" s="60">
        <v>2380500.0</v>
      </c>
      <c r="D8" s="60">
        <v>1138000.0</v>
      </c>
      <c r="E8" s="60">
        <v>670000.0</v>
      </c>
      <c r="F8" s="60">
        <v>488775.0</v>
      </c>
      <c r="G8" s="60">
        <v>3505000.0</v>
      </c>
      <c r="H8" s="60">
        <v>2359725.0</v>
      </c>
      <c r="I8" s="60">
        <v>2.06711E7</v>
      </c>
    </row>
    <row r="9">
      <c r="A9" s="59">
        <v>43678.0</v>
      </c>
      <c r="B9" s="60">
        <f t="shared" si="2"/>
        <v>20671100</v>
      </c>
      <c r="C9" s="60">
        <v>1974000.0</v>
      </c>
      <c r="D9" s="60">
        <v>1133000.0</v>
      </c>
      <c r="E9" s="60">
        <v>551000.0</v>
      </c>
      <c r="F9" s="60">
        <v>1424499.0</v>
      </c>
      <c r="G9" s="60">
        <v>5000000.0</v>
      </c>
      <c r="H9" s="60">
        <v>1131501.0</v>
      </c>
      <c r="I9" s="60">
        <v>1.6802601E7</v>
      </c>
    </row>
    <row r="10">
      <c r="A10" s="59">
        <v>43709.0</v>
      </c>
      <c r="B10" s="60">
        <f t="shared" si="2"/>
        <v>16802601</v>
      </c>
      <c r="C10" s="60">
        <v>1993100.0</v>
      </c>
      <c r="D10" s="60">
        <v>834000.0</v>
      </c>
      <c r="E10" s="60">
        <v>551000.0</v>
      </c>
      <c r="F10" s="60">
        <v>979398.0</v>
      </c>
      <c r="G10" s="60">
        <v>0.0</v>
      </c>
      <c r="H10" s="60">
        <v>1296702.0</v>
      </c>
      <c r="I10" s="60">
        <f t="shared" ref="I10:I12" si="4">(B10+H10-G10)</f>
        <v>18099303</v>
      </c>
    </row>
    <row r="11">
      <c r="A11" s="59">
        <v>43739.0</v>
      </c>
      <c r="B11" s="60">
        <f t="shared" si="2"/>
        <v>18099303</v>
      </c>
      <c r="C11" s="60">
        <v>1994100.0</v>
      </c>
      <c r="D11" s="60">
        <v>644000.0</v>
      </c>
      <c r="E11" s="60">
        <v>542000.0</v>
      </c>
      <c r="F11" s="60">
        <v>1146815.0</v>
      </c>
      <c r="G11" s="60">
        <v>0.0</v>
      </c>
      <c r="H11" s="60">
        <v>949285.0</v>
      </c>
      <c r="I11" s="60">
        <f t="shared" si="4"/>
        <v>19048588</v>
      </c>
    </row>
    <row r="12">
      <c r="A12" s="59">
        <v>43770.0</v>
      </c>
      <c r="B12" s="60">
        <f t="shared" si="2"/>
        <v>19048588</v>
      </c>
      <c r="C12" s="60">
        <v>1974600.0</v>
      </c>
      <c r="D12" s="60">
        <v>795000.0</v>
      </c>
      <c r="E12" s="60">
        <v>485000.0</v>
      </c>
      <c r="F12" s="60">
        <v>911369.0</v>
      </c>
      <c r="G12" s="60">
        <v>275000.0</v>
      </c>
      <c r="H12" s="60">
        <v>1373231.0</v>
      </c>
      <c r="I12" s="60">
        <f t="shared" si="4"/>
        <v>20146819</v>
      </c>
    </row>
    <row r="13">
      <c r="A13" s="59">
        <v>43800.0</v>
      </c>
      <c r="B13" s="60">
        <f t="shared" si="2"/>
        <v>20146819</v>
      </c>
      <c r="C13" s="60">
        <v>2420200.0</v>
      </c>
      <c r="D13" s="60">
        <v>901000.0</v>
      </c>
      <c r="E13" s="60">
        <v>524000.0</v>
      </c>
      <c r="F13" s="60">
        <v>1782295.0</v>
      </c>
      <c r="G13" s="60">
        <v>615000.0</v>
      </c>
      <c r="H13" s="60">
        <v>1014905.0</v>
      </c>
      <c r="I13" s="60">
        <v>1.7088768E7</v>
      </c>
    </row>
    <row r="14">
      <c r="C14" s="60"/>
      <c r="D14" s="60"/>
      <c r="E14" s="60"/>
      <c r="F14" s="60"/>
      <c r="G14" s="60"/>
      <c r="H14" s="60"/>
    </row>
    <row r="15">
      <c r="C15" s="60"/>
      <c r="D15" s="60"/>
      <c r="E15" s="60"/>
      <c r="F15" s="60"/>
      <c r="G15" s="60"/>
      <c r="H15" s="60"/>
    </row>
    <row r="16">
      <c r="C16" s="60"/>
      <c r="D16" s="60"/>
      <c r="E16" s="60"/>
      <c r="F16" s="60"/>
      <c r="G16" s="60"/>
      <c r="H16" s="60"/>
    </row>
    <row r="17">
      <c r="C17" s="60"/>
      <c r="D17" s="60"/>
      <c r="E17" s="60"/>
      <c r="F17" s="60"/>
      <c r="G17" s="60"/>
      <c r="H17" s="60"/>
    </row>
    <row r="18">
      <c r="C18" s="60"/>
      <c r="D18" s="60"/>
      <c r="E18" s="60"/>
      <c r="F18" s="60"/>
      <c r="G18" s="60"/>
      <c r="H18" s="60"/>
    </row>
    <row r="19">
      <c r="C19" s="60"/>
      <c r="D19" s="60"/>
      <c r="E19" s="60"/>
      <c r="F19" s="60"/>
      <c r="G19" s="60"/>
      <c r="H19" s="60"/>
    </row>
    <row r="20">
      <c r="C20" s="60"/>
      <c r="D20" s="60"/>
      <c r="E20" s="60"/>
      <c r="F20" s="60"/>
      <c r="G20" s="60"/>
      <c r="H20" s="60"/>
    </row>
    <row r="21" ht="15.75" customHeight="1">
      <c r="C21" s="60"/>
      <c r="D21" s="60"/>
      <c r="E21" s="60"/>
      <c r="F21" s="60"/>
      <c r="G21" s="60"/>
      <c r="H21" s="60"/>
    </row>
    <row r="22" ht="15.75" customHeight="1">
      <c r="C22" s="60"/>
      <c r="D22" s="60"/>
      <c r="E22" s="60"/>
      <c r="F22" s="60"/>
      <c r="G22" s="60"/>
      <c r="H22" s="60"/>
    </row>
    <row r="23" ht="15.75" customHeight="1">
      <c r="C23" s="60"/>
      <c r="D23" s="60"/>
      <c r="E23" s="60"/>
      <c r="F23" s="60"/>
      <c r="G23" s="60"/>
      <c r="H23" s="60"/>
    </row>
    <row r="24" ht="15.75" customHeight="1">
      <c r="C24" s="60"/>
      <c r="D24" s="60"/>
      <c r="E24" s="60"/>
      <c r="F24" s="60"/>
      <c r="G24" s="60"/>
      <c r="H24" s="6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10.71"/>
    <col customWidth="1" min="4" max="4" width="11.43"/>
    <col customWidth="1" min="5" max="5" width="13.43"/>
    <col customWidth="1" min="6" max="6" width="14.29"/>
    <col customWidth="1" min="7" max="7" width="18.71"/>
    <col customWidth="1" min="8" max="26" width="10.71"/>
  </cols>
  <sheetData>
    <row r="2">
      <c r="A2" s="1" t="s">
        <v>721</v>
      </c>
      <c r="B2" s="3" t="s">
        <v>1082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1083</v>
      </c>
      <c r="C4" s="1"/>
      <c r="D4" s="1"/>
      <c r="E4" s="1"/>
      <c r="F4" s="1"/>
      <c r="G4" s="2">
        <v>1.7088768E7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1084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616650.0</v>
      </c>
      <c r="G7" s="7">
        <v>221000.0</v>
      </c>
    </row>
    <row r="8">
      <c r="A8" s="1"/>
      <c r="B8" s="4" t="s">
        <v>64</v>
      </c>
      <c r="C8" s="1"/>
      <c r="D8" s="1"/>
      <c r="E8" s="1"/>
      <c r="F8" s="2">
        <v>544875.0</v>
      </c>
      <c r="G8" s="7">
        <v>270000.0</v>
      </c>
    </row>
    <row r="9">
      <c r="A9" s="1"/>
      <c r="B9" s="4" t="s">
        <v>65</v>
      </c>
      <c r="C9" s="1"/>
      <c r="D9" s="1"/>
      <c r="E9" s="1"/>
      <c r="F9" s="2">
        <v>562700.0</v>
      </c>
      <c r="G9" s="7">
        <v>320000.0</v>
      </c>
    </row>
    <row r="10">
      <c r="A10" s="1"/>
      <c r="B10" s="4" t="s">
        <v>66</v>
      </c>
      <c r="C10" s="1"/>
      <c r="D10" s="1"/>
      <c r="E10" s="1"/>
      <c r="F10" s="2">
        <v>637300.0</v>
      </c>
      <c r="G10" s="8">
        <v>293000.0</v>
      </c>
    </row>
    <row r="11">
      <c r="A11" s="1"/>
      <c r="B11" s="4" t="s">
        <v>67</v>
      </c>
      <c r="C11" s="1"/>
      <c r="D11" s="49" t="s">
        <v>8</v>
      </c>
      <c r="E11" s="49"/>
      <c r="F11" s="62">
        <v>0.0</v>
      </c>
      <c r="G11" s="7">
        <v>0.0</v>
      </c>
    </row>
    <row r="12">
      <c r="A12" s="1"/>
      <c r="B12" s="4"/>
      <c r="C12" s="50" t="s">
        <v>405</v>
      </c>
      <c r="E12" s="4"/>
      <c r="F12" s="2">
        <f t="shared" ref="F12:G12" si="1">SUM(F7:F11)</f>
        <v>2361525</v>
      </c>
      <c r="G12" s="7">
        <f t="shared" si="1"/>
        <v>1104000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3465525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1085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1086</v>
      </c>
      <c r="C17" s="1"/>
      <c r="D17" s="1"/>
      <c r="E17" s="1"/>
      <c r="F17" s="1"/>
      <c r="G17" s="2">
        <v>108000.0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100000.0</v>
      </c>
    </row>
    <row r="23" ht="15.75" customHeight="1">
      <c r="A23" s="1"/>
      <c r="B23" s="4"/>
      <c r="C23" s="1"/>
      <c r="D23" s="1"/>
      <c r="E23" s="1"/>
      <c r="F23" s="1"/>
      <c r="G23" s="2"/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548000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12"/>
      <c r="C26" s="15"/>
      <c r="D26" s="1"/>
      <c r="E26" s="1"/>
      <c r="F26" s="1"/>
      <c r="G26" s="2"/>
    </row>
    <row r="27" ht="15.75" customHeight="1">
      <c r="A27" s="1"/>
      <c r="B27" s="4" t="s">
        <v>1087</v>
      </c>
      <c r="C27" s="15"/>
      <c r="D27" s="1"/>
      <c r="E27" s="1"/>
      <c r="F27" s="1"/>
      <c r="G27" s="2">
        <v>4000.0</v>
      </c>
    </row>
    <row r="28" ht="15.75" customHeight="1">
      <c r="A28" s="1"/>
      <c r="B28" s="4" t="s">
        <v>1088</v>
      </c>
      <c r="C28" s="15"/>
      <c r="D28" s="1"/>
      <c r="E28" s="1"/>
      <c r="F28" s="1"/>
      <c r="G28" s="2">
        <v>2000.0</v>
      </c>
    </row>
    <row r="29" ht="15.75" customHeight="1">
      <c r="A29" s="1"/>
      <c r="B29" s="4" t="s">
        <v>1089</v>
      </c>
      <c r="C29" s="15"/>
      <c r="D29" s="1"/>
      <c r="E29" s="1"/>
      <c r="F29" s="1"/>
      <c r="G29" s="2">
        <v>25275.0</v>
      </c>
    </row>
    <row r="30" ht="15.75" customHeight="1">
      <c r="A30" s="1"/>
      <c r="B30" s="4" t="s">
        <v>1090</v>
      </c>
      <c r="C30" s="15"/>
      <c r="D30" s="1"/>
      <c r="E30" s="1"/>
      <c r="F30" s="1"/>
      <c r="G30" s="2">
        <v>3000.0</v>
      </c>
    </row>
    <row r="31" ht="15.75" customHeight="1">
      <c r="A31" s="1"/>
      <c r="B31" s="4" t="s">
        <v>1091</v>
      </c>
      <c r="C31" s="15"/>
      <c r="D31" s="1"/>
      <c r="E31" s="1"/>
      <c r="F31" s="1"/>
      <c r="G31" s="2">
        <v>2000.0</v>
      </c>
    </row>
    <row r="32" ht="15.75" customHeight="1">
      <c r="A32" s="1"/>
      <c r="B32" s="4" t="s">
        <v>1092</v>
      </c>
      <c r="C32" s="15"/>
      <c r="D32" s="1"/>
      <c r="E32" s="1"/>
      <c r="F32" s="1"/>
      <c r="G32" s="2">
        <v>5000.0</v>
      </c>
    </row>
    <row r="33" ht="15.75" customHeight="1">
      <c r="A33" s="1"/>
      <c r="B33" s="4" t="s">
        <v>1093</v>
      </c>
      <c r="C33" s="15"/>
      <c r="D33" s="1"/>
      <c r="E33" s="1"/>
      <c r="F33" s="1"/>
      <c r="G33" s="2">
        <v>8000.0</v>
      </c>
    </row>
    <row r="34" ht="15.75" customHeight="1">
      <c r="A34" s="1"/>
      <c r="B34" s="4" t="s">
        <v>1094</v>
      </c>
      <c r="C34" s="15"/>
      <c r="D34" s="1"/>
      <c r="E34" s="1"/>
      <c r="F34" s="1"/>
      <c r="G34" s="2">
        <v>27275.0</v>
      </c>
    </row>
    <row r="35" ht="15.75" customHeight="1">
      <c r="A35" s="1"/>
      <c r="B35" s="4" t="s">
        <v>203</v>
      </c>
      <c r="C35" s="15"/>
      <c r="D35" s="1"/>
      <c r="E35" s="1"/>
      <c r="F35" s="1"/>
      <c r="G35" s="2">
        <v>5000.0</v>
      </c>
    </row>
    <row r="36" ht="15.75" customHeight="1">
      <c r="A36" s="1"/>
      <c r="B36" s="4" t="s">
        <v>1095</v>
      </c>
      <c r="C36" s="15"/>
      <c r="D36" s="1"/>
      <c r="E36" s="1"/>
      <c r="F36" s="1"/>
      <c r="G36" s="2">
        <v>18000.0</v>
      </c>
    </row>
    <row r="37" ht="15.75" customHeight="1">
      <c r="A37" s="1"/>
      <c r="B37" s="4" t="s">
        <v>1096</v>
      </c>
      <c r="C37" s="15"/>
      <c r="D37" s="1"/>
      <c r="E37" s="1"/>
      <c r="F37" s="1"/>
      <c r="G37" s="2">
        <v>125000.0</v>
      </c>
    </row>
    <row r="38" ht="15.75" customHeight="1">
      <c r="A38" s="1"/>
      <c r="B38" s="4" t="s">
        <v>1097</v>
      </c>
      <c r="C38" s="15"/>
      <c r="D38" s="1"/>
      <c r="E38" s="1"/>
      <c r="F38" s="1"/>
      <c r="G38" s="2">
        <v>2000.0</v>
      </c>
    </row>
    <row r="39" ht="15.75" customHeight="1">
      <c r="A39" s="1"/>
      <c r="B39" s="4" t="s">
        <v>1098</v>
      </c>
      <c r="C39" s="15"/>
      <c r="D39" s="1"/>
      <c r="E39" s="1"/>
      <c r="F39" s="1"/>
      <c r="G39" s="2">
        <v>1000.0</v>
      </c>
    </row>
    <row r="40" ht="15.75" customHeight="1">
      <c r="A40" s="1"/>
      <c r="B40" s="4" t="s">
        <v>1099</v>
      </c>
      <c r="C40" s="15"/>
      <c r="D40" s="1"/>
      <c r="E40" s="1"/>
      <c r="F40" s="1"/>
      <c r="G40" s="2">
        <v>2000.0</v>
      </c>
    </row>
    <row r="41" ht="15.75" customHeight="1">
      <c r="A41" s="1"/>
      <c r="B41" s="4" t="s">
        <v>1100</v>
      </c>
      <c r="C41" s="15"/>
      <c r="D41" s="1"/>
      <c r="E41" s="1"/>
      <c r="F41" s="1"/>
      <c r="G41" s="2">
        <v>175000.0</v>
      </c>
    </row>
    <row r="42" ht="15.75" customHeight="1">
      <c r="A42" s="1"/>
      <c r="B42" s="4" t="s">
        <v>1101</v>
      </c>
      <c r="C42" s="15"/>
      <c r="D42" s="1"/>
      <c r="E42" s="1"/>
      <c r="F42" s="1"/>
      <c r="G42" s="2">
        <v>4500.0</v>
      </c>
    </row>
    <row r="43" ht="15.75" customHeight="1">
      <c r="A43" s="1"/>
      <c r="B43" s="4" t="s">
        <v>1102</v>
      </c>
      <c r="C43" s="15"/>
      <c r="D43" s="1"/>
      <c r="E43" s="1"/>
      <c r="F43" s="1"/>
      <c r="G43" s="2">
        <v>4100.0</v>
      </c>
    </row>
    <row r="44" ht="15.75" customHeight="1">
      <c r="A44" s="1"/>
      <c r="B44" s="4" t="s">
        <v>1103</v>
      </c>
      <c r="C44" s="15"/>
      <c r="D44" s="1"/>
      <c r="E44" s="1"/>
      <c r="F44" s="1"/>
      <c r="G44" s="2">
        <v>65250.0</v>
      </c>
    </row>
    <row r="45" ht="15.75" customHeight="1">
      <c r="A45" s="1"/>
      <c r="B45" s="4" t="s">
        <v>1104</v>
      </c>
      <c r="C45" s="15"/>
      <c r="D45" s="1"/>
      <c r="E45" s="1"/>
      <c r="F45" s="1"/>
      <c r="G45" s="2">
        <v>27475.0</v>
      </c>
    </row>
    <row r="46" ht="15.75" customHeight="1">
      <c r="A46" s="1"/>
      <c r="B46" s="4" t="s">
        <v>1105</v>
      </c>
      <c r="C46" s="15"/>
      <c r="D46" s="1"/>
      <c r="E46" s="1"/>
      <c r="F46" s="1"/>
      <c r="G46" s="2">
        <v>1786.0</v>
      </c>
    </row>
    <row r="47" ht="15.75" customHeight="1">
      <c r="A47" s="1"/>
      <c r="B47" s="4" t="s">
        <v>1106</v>
      </c>
      <c r="C47" s="15"/>
      <c r="D47" s="1"/>
      <c r="E47" s="1"/>
      <c r="F47" s="1"/>
      <c r="G47" s="2">
        <v>21600.0</v>
      </c>
    </row>
    <row r="48" ht="15.75" customHeight="1">
      <c r="A48" s="1"/>
      <c r="B48" s="4" t="s">
        <v>1107</v>
      </c>
      <c r="C48" s="15"/>
      <c r="D48" s="1"/>
      <c r="E48" s="1"/>
      <c r="F48" s="1"/>
      <c r="G48" s="2">
        <v>38190.0</v>
      </c>
    </row>
    <row r="49" ht="15.75" customHeight="1">
      <c r="A49" s="1"/>
      <c r="B49" s="4" t="s">
        <v>1108</v>
      </c>
      <c r="C49" s="15"/>
      <c r="D49" s="1"/>
      <c r="E49" s="1"/>
      <c r="F49" s="1"/>
      <c r="G49" s="2">
        <v>2000.0</v>
      </c>
    </row>
    <row r="50" ht="15.75" customHeight="1">
      <c r="A50" s="1"/>
      <c r="B50" s="4" t="s">
        <v>1109</v>
      </c>
      <c r="C50" s="15"/>
      <c r="D50" s="1"/>
      <c r="E50" s="1"/>
      <c r="F50" s="1"/>
      <c r="G50" s="2">
        <v>2000.0</v>
      </c>
    </row>
    <row r="51" ht="15.75" customHeight="1">
      <c r="A51" s="1"/>
      <c r="B51" s="4" t="s">
        <v>1110</v>
      </c>
      <c r="C51" s="15"/>
      <c r="D51" s="1"/>
      <c r="E51" s="1"/>
      <c r="F51" s="1"/>
      <c r="G51" s="2">
        <v>745500.0</v>
      </c>
    </row>
    <row r="52" ht="15.75" customHeight="1">
      <c r="A52" s="1"/>
      <c r="B52" s="4" t="s">
        <v>1111</v>
      </c>
      <c r="C52" s="15"/>
      <c r="D52" s="1"/>
      <c r="E52" s="1"/>
      <c r="F52" s="1"/>
      <c r="G52" s="2">
        <v>5000.0</v>
      </c>
    </row>
    <row r="53" ht="15.75" customHeight="1">
      <c r="A53" s="1"/>
      <c r="B53" s="4" t="s">
        <v>732</v>
      </c>
      <c r="C53" s="15"/>
      <c r="D53" s="1"/>
      <c r="E53" s="1"/>
      <c r="F53" s="1"/>
      <c r="G53" s="2">
        <v>100000.0</v>
      </c>
    </row>
    <row r="54" ht="15.75" customHeight="1">
      <c r="A54" s="1"/>
      <c r="B54" s="4"/>
      <c r="C54" s="15"/>
      <c r="D54" s="1"/>
      <c r="E54" s="1"/>
      <c r="F54" s="1"/>
      <c r="G54" s="2"/>
    </row>
    <row r="55" ht="15.75" customHeight="1">
      <c r="A55" s="1"/>
      <c r="B55" s="43" t="s">
        <v>43</v>
      </c>
      <c r="C55" s="1"/>
      <c r="D55" s="1"/>
      <c r="E55" s="1"/>
      <c r="F55" s="1"/>
      <c r="G55" s="13">
        <f>SUM(G27:G53)</f>
        <v>1421951</v>
      </c>
    </row>
    <row r="56" ht="15.75" customHeight="1">
      <c r="A56" s="1"/>
      <c r="B56" s="43"/>
      <c r="C56" s="1"/>
      <c r="D56" s="1"/>
      <c r="E56" s="1"/>
      <c r="F56" s="1"/>
      <c r="G56" s="13"/>
    </row>
    <row r="57" ht="15.75" customHeight="1">
      <c r="A57" s="1"/>
      <c r="B57" s="43"/>
      <c r="C57" s="1"/>
      <c r="D57" s="1"/>
      <c r="E57" s="1"/>
      <c r="F57" s="1"/>
      <c r="G57" s="13"/>
    </row>
    <row r="58" ht="15.75" customHeight="1">
      <c r="A58" s="1"/>
      <c r="B58" s="1"/>
      <c r="C58" s="1"/>
      <c r="D58" s="1"/>
      <c r="E58" s="1"/>
      <c r="F58" s="1"/>
      <c r="G58" s="13"/>
    </row>
    <row r="59" ht="15.75" customHeight="1">
      <c r="A59" s="1"/>
      <c r="B59" s="19" t="s">
        <v>45</v>
      </c>
      <c r="C59" s="20"/>
      <c r="D59" s="20"/>
      <c r="E59" s="20"/>
      <c r="F59" s="20"/>
      <c r="G59" s="21">
        <f>SUM(G24+G55)</f>
        <v>1969951</v>
      </c>
    </row>
    <row r="60" ht="15.75" customHeight="1">
      <c r="A60" s="1"/>
      <c r="B60" s="4" t="s">
        <v>46</v>
      </c>
      <c r="C60" s="1"/>
      <c r="D60" s="1"/>
      <c r="E60" s="1"/>
      <c r="F60" s="1"/>
      <c r="G60" s="2"/>
    </row>
    <row r="61" ht="15.75" customHeight="1">
      <c r="A61" s="35" t="s">
        <v>1112</v>
      </c>
      <c r="B61" s="36"/>
      <c r="C61" s="37"/>
      <c r="D61" s="37"/>
      <c r="E61" s="37"/>
      <c r="F61" s="37"/>
      <c r="G61" s="38">
        <f>(G13-G59)</f>
        <v>1495574</v>
      </c>
    </row>
    <row r="62" ht="15.75" customHeight="1">
      <c r="A62" s="22" t="s">
        <v>254</v>
      </c>
      <c r="B62" s="1" t="s">
        <v>255</v>
      </c>
      <c r="C62" s="1"/>
      <c r="D62" s="1"/>
      <c r="E62" s="1"/>
      <c r="F62" s="1"/>
      <c r="G62" s="2"/>
    </row>
    <row r="63" ht="15.75" customHeight="1">
      <c r="A63" s="22"/>
      <c r="B63" s="1"/>
      <c r="C63" s="1"/>
      <c r="D63" s="1"/>
      <c r="E63" s="1"/>
      <c r="F63" s="1"/>
      <c r="G63" s="2">
        <v>0.0</v>
      </c>
    </row>
    <row r="64" ht="15.75" customHeight="1">
      <c r="A64" s="22"/>
      <c r="B64" s="1"/>
      <c r="C64" s="1"/>
      <c r="D64" s="1"/>
      <c r="E64" s="1"/>
      <c r="F64" s="1"/>
      <c r="G64" s="2">
        <v>0.0</v>
      </c>
    </row>
    <row r="65" ht="15.75" customHeight="1">
      <c r="A65" s="22"/>
      <c r="B65" s="1"/>
      <c r="C65" s="1"/>
      <c r="D65" s="1"/>
      <c r="E65" s="1"/>
      <c r="F65" s="1"/>
      <c r="G65" s="2"/>
    </row>
    <row r="66" ht="15.75" customHeight="1">
      <c r="A66" s="22"/>
      <c r="B66" s="1"/>
      <c r="C66" s="1"/>
      <c r="D66" s="1"/>
      <c r="E66" s="1"/>
      <c r="F66" s="1"/>
      <c r="G66" s="2"/>
    </row>
    <row r="67" ht="15.75" customHeight="1">
      <c r="A67" s="1"/>
      <c r="B67" s="27" t="s">
        <v>51</v>
      </c>
      <c r="C67" s="27"/>
      <c r="D67" s="27"/>
      <c r="E67" s="27"/>
      <c r="F67" s="27"/>
      <c r="G67" s="2">
        <f>SUM(G63:G64)</f>
        <v>0</v>
      </c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44"/>
      <c r="B69" s="45" t="s">
        <v>1113</v>
      </c>
      <c r="C69" s="46"/>
      <c r="D69" s="46"/>
      <c r="E69" s="46"/>
      <c r="F69" s="46"/>
      <c r="G69" s="47">
        <f>SUM(G4+G61-G67)</f>
        <v>18584342</v>
      </c>
    </row>
    <row r="70" ht="15.75" customHeight="1">
      <c r="A70" s="1"/>
      <c r="B70" s="1"/>
      <c r="C70" s="1"/>
      <c r="D70" s="1"/>
      <c r="E70" s="1"/>
      <c r="F70" s="1"/>
      <c r="G70" s="2"/>
    </row>
    <row r="71" ht="15.75" customHeight="1">
      <c r="A71" s="1"/>
      <c r="B71" s="32" t="s">
        <v>1114</v>
      </c>
    </row>
    <row r="72" ht="15.75" customHeight="1">
      <c r="A72" s="1"/>
      <c r="B72" s="1"/>
      <c r="C72" s="1" t="s">
        <v>1115</v>
      </c>
      <c r="D72" s="1"/>
      <c r="E72" s="1"/>
      <c r="F72" s="1"/>
      <c r="G72" s="2">
        <v>13100.0</v>
      </c>
    </row>
    <row r="73" ht="15.75" customHeight="1">
      <c r="A73" s="1"/>
      <c r="B73" s="1"/>
      <c r="C73" s="1" t="s">
        <v>1116</v>
      </c>
      <c r="D73" s="1"/>
      <c r="E73" s="1"/>
      <c r="F73" s="1"/>
      <c r="G73" s="2">
        <v>295000.0</v>
      </c>
    </row>
    <row r="74" ht="15.75" customHeight="1">
      <c r="A74" s="1"/>
      <c r="B74" s="1"/>
      <c r="C74" s="43" t="s">
        <v>115</v>
      </c>
      <c r="D74" s="1"/>
      <c r="E74" s="1"/>
      <c r="F74" s="1"/>
      <c r="G74" s="2">
        <f>SUM(G72:G73)</f>
        <v>308100</v>
      </c>
    </row>
    <row r="75" ht="15.75" customHeight="1">
      <c r="A75" s="1"/>
      <c r="B75" s="1"/>
      <c r="C75" s="43"/>
      <c r="D75" s="1"/>
      <c r="E75" s="1"/>
      <c r="F75" s="1"/>
      <c r="G75" s="2"/>
    </row>
    <row r="76" ht="15.75" customHeight="1">
      <c r="A76" s="1"/>
      <c r="B76" s="1" t="s">
        <v>1117</v>
      </c>
      <c r="C76" s="43"/>
      <c r="D76" s="1"/>
      <c r="E76" s="1"/>
      <c r="F76" s="1"/>
      <c r="G76" s="2"/>
    </row>
    <row r="77" ht="15.75" customHeight="1">
      <c r="A77" s="1"/>
      <c r="B77" s="1"/>
      <c r="C77" s="43"/>
      <c r="D77" s="1"/>
      <c r="E77" s="1"/>
      <c r="F77" s="1"/>
      <c r="G77" s="2"/>
    </row>
    <row r="78" ht="15.75" customHeight="1">
      <c r="A78" s="1"/>
      <c r="B78" s="1"/>
      <c r="C78" s="43"/>
      <c r="D78" s="1"/>
      <c r="E78" s="1"/>
      <c r="F78" s="1"/>
      <c r="G78" s="1"/>
    </row>
    <row r="79" ht="15.75" customHeight="1">
      <c r="A79" s="1"/>
      <c r="B79" s="1" t="s">
        <v>1118</v>
      </c>
      <c r="C79" s="43"/>
      <c r="D79" s="1"/>
      <c r="E79" s="1"/>
      <c r="F79" s="1"/>
      <c r="G79" s="1"/>
    </row>
    <row r="80" ht="15.75" customHeight="1">
      <c r="A80" s="1"/>
      <c r="B80" s="1"/>
      <c r="C80" s="43"/>
      <c r="D80" s="1"/>
      <c r="E80" s="1"/>
      <c r="F80" s="1"/>
      <c r="G80" s="1"/>
    </row>
    <row r="81" ht="15.75" customHeight="1">
      <c r="A81" s="1"/>
      <c r="B81" s="33" t="s">
        <v>1119</v>
      </c>
      <c r="C81" s="1"/>
      <c r="D81" s="1"/>
      <c r="E81" s="1"/>
      <c r="F81" s="1"/>
      <c r="G81" s="2"/>
    </row>
    <row r="82" ht="15.75" customHeight="1">
      <c r="A82" s="1"/>
      <c r="B82" s="4"/>
      <c r="C82" s="1"/>
      <c r="D82" s="1"/>
      <c r="E82" s="1"/>
      <c r="F82" s="1"/>
      <c r="G82" s="2"/>
    </row>
    <row r="83" ht="15.75" customHeight="1">
      <c r="A83" s="1"/>
      <c r="B83" s="55" t="s">
        <v>531</v>
      </c>
      <c r="C83" s="56"/>
      <c r="D83" s="56"/>
      <c r="E83" s="56"/>
      <c r="F83" s="1"/>
      <c r="G83" s="2"/>
    </row>
    <row r="84" ht="15.75" customHeight="1">
      <c r="A84" s="1"/>
      <c r="B84" s="55"/>
      <c r="C84" s="56"/>
      <c r="D84" s="56"/>
      <c r="E84" s="56"/>
      <c r="F84" s="1"/>
      <c r="G84" s="2"/>
    </row>
    <row r="85" ht="15.75" customHeight="1">
      <c r="A85" s="1"/>
      <c r="B85" s="55" t="s">
        <v>1120</v>
      </c>
      <c r="C85" s="56"/>
      <c r="D85" s="56"/>
      <c r="E85" s="56"/>
      <c r="F85" s="1"/>
      <c r="G85" s="2"/>
    </row>
    <row r="86" ht="15.75" customHeight="1">
      <c r="A86" s="1"/>
      <c r="B86" s="55"/>
      <c r="C86" s="56"/>
      <c r="D86" s="56"/>
      <c r="E86" s="56"/>
      <c r="F86" s="1"/>
      <c r="G86" s="2"/>
    </row>
    <row r="87" ht="15.75" customHeight="1">
      <c r="A87" s="1"/>
      <c r="B87" s="55" t="s">
        <v>681</v>
      </c>
      <c r="F87" s="1"/>
      <c r="G87" s="2"/>
    </row>
    <row r="88" ht="15.75" customHeight="1">
      <c r="A88" s="1"/>
      <c r="B88" s="55"/>
      <c r="C88" s="55"/>
      <c r="D88" s="55"/>
      <c r="E88" s="55"/>
      <c r="F88" s="1"/>
      <c r="G88" s="2"/>
    </row>
    <row r="89" ht="15.75" customHeight="1">
      <c r="A89" s="1"/>
      <c r="B89" s="55" t="s">
        <v>1121</v>
      </c>
      <c r="C89" s="56"/>
      <c r="D89" s="57"/>
      <c r="E89" s="56"/>
      <c r="F89" s="1"/>
      <c r="G89" s="2"/>
    </row>
    <row r="90" ht="15.75" customHeight="1">
      <c r="A90" s="1"/>
      <c r="B90" s="55"/>
      <c r="C90" s="56"/>
      <c r="D90" s="57"/>
      <c r="E90" s="56"/>
      <c r="F90" s="1"/>
      <c r="G90" s="2"/>
    </row>
    <row r="91" ht="15.75" customHeight="1">
      <c r="A91" s="1"/>
      <c r="B91" s="55" t="s">
        <v>535</v>
      </c>
      <c r="C91" s="56"/>
      <c r="D91" s="57"/>
      <c r="E91" s="56"/>
      <c r="F91" s="1"/>
      <c r="G91" s="2"/>
    </row>
    <row r="92" ht="15.75" customHeight="1">
      <c r="A92" s="1"/>
      <c r="B92" s="55"/>
      <c r="C92" s="56"/>
      <c r="D92" s="57"/>
      <c r="E92" s="56"/>
      <c r="F92" s="1"/>
      <c r="G92" s="2"/>
    </row>
    <row r="93" ht="15.75" customHeight="1">
      <c r="B93" s="55" t="s">
        <v>536</v>
      </c>
      <c r="C93" s="56"/>
      <c r="D93" s="57"/>
      <c r="E93" s="57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71:G71"/>
    <mergeCell ref="B87:E87"/>
  </mergeCells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9.57"/>
    <col customWidth="1" min="7" max="7" width="19.0"/>
    <col customWidth="1" min="8" max="26" width="10.71"/>
  </cols>
  <sheetData>
    <row r="2">
      <c r="A2" s="1" t="s">
        <v>721</v>
      </c>
      <c r="B2" s="3" t="s">
        <v>1122</v>
      </c>
      <c r="C2" s="1"/>
      <c r="D2" s="1"/>
      <c r="E2" s="1"/>
      <c r="F2" s="1"/>
      <c r="G2" s="2"/>
    </row>
    <row r="3">
      <c r="A3" s="1"/>
      <c r="B3" s="4"/>
      <c r="C3" s="1"/>
      <c r="D3" s="1"/>
      <c r="E3" s="1"/>
      <c r="F3" s="1"/>
      <c r="G3" s="2"/>
    </row>
    <row r="4">
      <c r="A4" s="1"/>
      <c r="B4" s="5" t="s">
        <v>1123</v>
      </c>
      <c r="C4" s="1"/>
      <c r="D4" s="1"/>
      <c r="E4" s="1"/>
      <c r="F4" s="1"/>
      <c r="G4" s="2">
        <v>1.8584342E7</v>
      </c>
    </row>
    <row r="5">
      <c r="A5" s="1"/>
      <c r="B5" s="4"/>
      <c r="C5" s="1"/>
      <c r="D5" s="1"/>
      <c r="E5" s="1"/>
      <c r="F5" s="1"/>
      <c r="G5" s="2"/>
    </row>
    <row r="6">
      <c r="A6" s="6" t="s">
        <v>1124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745200.0</v>
      </c>
      <c r="G7" s="7">
        <v>302000.0</v>
      </c>
    </row>
    <row r="8">
      <c r="A8" s="1"/>
      <c r="B8" s="4" t="s">
        <v>64</v>
      </c>
      <c r="C8" s="1"/>
      <c r="D8" s="1"/>
      <c r="E8" s="1"/>
      <c r="F8" s="2">
        <v>545000.0</v>
      </c>
      <c r="G8" s="7">
        <v>237000.0</v>
      </c>
    </row>
    <row r="9">
      <c r="A9" s="1"/>
      <c r="B9" s="4" t="s">
        <v>65</v>
      </c>
      <c r="C9" s="1"/>
      <c r="D9" s="1"/>
      <c r="E9" s="1"/>
      <c r="F9" s="2">
        <v>665200.0</v>
      </c>
      <c r="G9" s="7">
        <v>188000.0</v>
      </c>
    </row>
    <row r="10">
      <c r="A10" s="1"/>
      <c r="B10" s="4" t="s">
        <v>66</v>
      </c>
      <c r="C10" s="1"/>
      <c r="D10" s="1"/>
      <c r="E10" s="1"/>
      <c r="F10" s="2">
        <v>452400.0</v>
      </c>
      <c r="G10" s="8">
        <v>186000.0</v>
      </c>
    </row>
    <row r="11">
      <c r="A11" s="1"/>
      <c r="B11" s="4" t="s">
        <v>67</v>
      </c>
      <c r="C11" s="1"/>
      <c r="D11" s="49" t="s">
        <v>8</v>
      </c>
      <c r="E11" s="49"/>
      <c r="F11" s="62">
        <v>0.0</v>
      </c>
      <c r="G11" s="7">
        <v>0.0</v>
      </c>
    </row>
    <row r="12">
      <c r="A12" s="1"/>
      <c r="B12" s="4"/>
      <c r="C12" s="50" t="s">
        <v>405</v>
      </c>
      <c r="E12" s="4"/>
      <c r="F12" s="2">
        <f t="shared" ref="F12:G12" si="1">SUM(F7:F11)</f>
        <v>2407800</v>
      </c>
      <c r="G12" s="7">
        <f t="shared" si="1"/>
        <v>913000</v>
      </c>
    </row>
    <row r="13">
      <c r="A13" s="1"/>
      <c r="B13" s="51" t="s">
        <v>9</v>
      </c>
      <c r="C13" s="52"/>
      <c r="D13" s="52"/>
      <c r="E13" s="52"/>
      <c r="F13" s="53"/>
      <c r="G13" s="11">
        <f>SUM(F12:G12)</f>
        <v>3320800</v>
      </c>
    </row>
    <row r="14">
      <c r="A14" s="1"/>
      <c r="B14" s="1"/>
      <c r="C14" s="1"/>
      <c r="D14" s="1"/>
      <c r="E14" s="1"/>
      <c r="F14" s="1"/>
      <c r="G14" s="2"/>
    </row>
    <row r="15">
      <c r="A15" s="6" t="s">
        <v>1125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1126</v>
      </c>
      <c r="C17" s="1"/>
      <c r="D17" s="1"/>
      <c r="E17" s="1"/>
      <c r="F17" s="1"/>
      <c r="G17" s="2">
        <v>126000.0</v>
      </c>
    </row>
    <row r="18">
      <c r="A18" s="1"/>
      <c r="B18" s="4" t="s">
        <v>13</v>
      </c>
      <c r="C18" s="1"/>
      <c r="D18" s="1"/>
      <c r="E18" s="1"/>
      <c r="F18" s="1"/>
      <c r="G18" s="13">
        <v>100000.0</v>
      </c>
    </row>
    <row r="19">
      <c r="A19" s="1"/>
      <c r="B19" s="4" t="s">
        <v>14</v>
      </c>
      <c r="C19" s="1"/>
      <c r="D19" s="1"/>
      <c r="E19" s="1"/>
      <c r="F19" s="1"/>
      <c r="G19" s="13">
        <v>100000.0</v>
      </c>
    </row>
    <row r="20">
      <c r="A20" s="1"/>
      <c r="B20" s="4" t="s">
        <v>15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2">
        <v>60000.0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2">
        <v>100000.0</v>
      </c>
    </row>
    <row r="23" ht="15.75" customHeight="1">
      <c r="A23" s="1"/>
      <c r="B23" s="4"/>
      <c r="C23" s="1"/>
      <c r="D23" s="1"/>
      <c r="E23" s="1"/>
      <c r="F23" s="1"/>
      <c r="G23" s="2"/>
    </row>
    <row r="24" ht="15.75" customHeight="1">
      <c r="A24" s="1"/>
      <c r="B24" s="9" t="s">
        <v>18</v>
      </c>
      <c r="C24" s="10"/>
      <c r="D24" s="10"/>
      <c r="E24" s="10"/>
      <c r="F24" s="10"/>
      <c r="G24" s="14">
        <f>SUM(G17:G23)</f>
        <v>566000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12"/>
      <c r="C26" s="15"/>
      <c r="D26" s="1"/>
      <c r="E26" s="1"/>
      <c r="F26" s="1"/>
      <c r="G26" s="2"/>
    </row>
    <row r="27" ht="15.75" customHeight="1">
      <c r="A27" s="1"/>
      <c r="B27" s="4" t="s">
        <v>463</v>
      </c>
      <c r="C27" s="15"/>
      <c r="D27" s="1"/>
      <c r="E27" s="1"/>
      <c r="F27" s="1"/>
      <c r="G27" s="2">
        <v>10000.0</v>
      </c>
    </row>
    <row r="28" ht="15.75" customHeight="1">
      <c r="A28" s="1"/>
      <c r="B28" s="4" t="s">
        <v>1127</v>
      </c>
      <c r="C28" s="15"/>
      <c r="D28" s="1"/>
      <c r="E28" s="1"/>
      <c r="F28" s="1"/>
      <c r="G28" s="2">
        <v>50000.0</v>
      </c>
    </row>
    <row r="29" ht="15.75" customHeight="1">
      <c r="A29" s="1"/>
      <c r="B29" s="4" t="s">
        <v>1128</v>
      </c>
      <c r="C29" s="15"/>
      <c r="D29" s="1"/>
      <c r="E29" s="1"/>
      <c r="F29" s="1"/>
      <c r="G29" s="2">
        <v>350000.0</v>
      </c>
    </row>
    <row r="30" ht="15.75" customHeight="1">
      <c r="A30" s="1"/>
      <c r="B30" s="4" t="s">
        <v>1129</v>
      </c>
      <c r="C30" s="15"/>
      <c r="D30" s="1"/>
      <c r="E30" s="1"/>
      <c r="F30" s="1"/>
      <c r="G30" s="2">
        <v>2400.0</v>
      </c>
    </row>
    <row r="31" ht="15.75" customHeight="1">
      <c r="A31" s="1"/>
      <c r="B31" s="4" t="s">
        <v>1130</v>
      </c>
      <c r="C31" s="15"/>
      <c r="D31" s="1"/>
      <c r="E31" s="1"/>
      <c r="F31" s="1"/>
      <c r="G31" s="2">
        <v>1500.0</v>
      </c>
    </row>
    <row r="32" ht="15.75" customHeight="1">
      <c r="A32" s="1"/>
      <c r="B32" s="4" t="s">
        <v>1131</v>
      </c>
      <c r="C32" s="15"/>
      <c r="D32" s="1"/>
      <c r="E32" s="1"/>
      <c r="F32" s="1"/>
      <c r="G32" s="2">
        <v>2000.0</v>
      </c>
    </row>
    <row r="33" ht="15.75" customHeight="1">
      <c r="A33" s="1"/>
      <c r="B33" s="4" t="s">
        <v>1132</v>
      </c>
      <c r="C33" s="15"/>
      <c r="D33" s="1"/>
      <c r="E33" s="1"/>
      <c r="F33" s="1"/>
      <c r="G33" s="2">
        <v>20000.0</v>
      </c>
    </row>
    <row r="34" ht="15.75" customHeight="1">
      <c r="A34" s="1"/>
      <c r="B34" s="4" t="s">
        <v>1133</v>
      </c>
      <c r="C34" s="15"/>
      <c r="D34" s="1"/>
      <c r="E34" s="1"/>
      <c r="F34" s="1"/>
      <c r="G34" s="2">
        <v>100000.0</v>
      </c>
    </row>
    <row r="35" ht="15.75" customHeight="1">
      <c r="A35" s="1"/>
      <c r="B35" s="4" t="s">
        <v>1134</v>
      </c>
      <c r="C35" s="15"/>
      <c r="D35" s="1"/>
      <c r="E35" s="1"/>
      <c r="F35" s="1"/>
      <c r="G35" s="2">
        <v>8000.0</v>
      </c>
    </row>
    <row r="36" ht="15.75" customHeight="1">
      <c r="A36" s="1"/>
      <c r="B36" s="4" t="s">
        <v>1135</v>
      </c>
      <c r="C36" s="15"/>
      <c r="D36" s="1"/>
      <c r="E36" s="1"/>
      <c r="F36" s="1"/>
      <c r="G36" s="2">
        <v>102295.0</v>
      </c>
    </row>
    <row r="37" ht="15.75" customHeight="1">
      <c r="A37" s="1"/>
      <c r="B37" s="4" t="s">
        <v>1136</v>
      </c>
      <c r="C37" s="15"/>
      <c r="D37" s="1"/>
      <c r="E37" s="1"/>
      <c r="F37" s="1"/>
      <c r="G37" s="2">
        <v>109500.0</v>
      </c>
    </row>
    <row r="38" ht="15.75" customHeight="1">
      <c r="A38" s="1"/>
      <c r="B38" s="4" t="s">
        <v>1137</v>
      </c>
      <c r="C38" s="15"/>
      <c r="D38" s="1"/>
      <c r="E38" s="1"/>
      <c r="F38" s="1"/>
      <c r="G38" s="2">
        <v>85000.0</v>
      </c>
    </row>
    <row r="39" ht="15.75" customHeight="1">
      <c r="A39" s="1"/>
      <c r="B39" s="4" t="s">
        <v>1138</v>
      </c>
      <c r="C39" s="15"/>
      <c r="D39" s="1"/>
      <c r="E39" s="1"/>
      <c r="F39" s="1"/>
      <c r="G39" s="2">
        <v>72000.0</v>
      </c>
    </row>
    <row r="40" ht="15.75" customHeight="1">
      <c r="A40" s="1"/>
      <c r="B40" s="4" t="s">
        <v>1139</v>
      </c>
      <c r="C40" s="15"/>
      <c r="D40" s="1"/>
      <c r="E40" s="1"/>
      <c r="F40" s="1"/>
      <c r="G40" s="2">
        <v>1000.0</v>
      </c>
    </row>
    <row r="41" ht="15.75" customHeight="1">
      <c r="A41" s="1"/>
      <c r="B41" s="4" t="s">
        <v>1140</v>
      </c>
      <c r="C41" s="15"/>
      <c r="D41" s="1"/>
      <c r="E41" s="1"/>
      <c r="F41" s="1"/>
      <c r="G41" s="2">
        <v>65250.0</v>
      </c>
    </row>
    <row r="42" ht="15.75" customHeight="1">
      <c r="A42" s="1"/>
      <c r="B42" s="4" t="s">
        <v>875</v>
      </c>
      <c r="C42" s="15"/>
      <c r="D42" s="1"/>
      <c r="E42" s="1"/>
      <c r="F42" s="1"/>
      <c r="G42" s="2">
        <v>5000.0</v>
      </c>
    </row>
    <row r="43" ht="15.75" customHeight="1">
      <c r="A43" s="1"/>
      <c r="B43" s="4" t="s">
        <v>1141</v>
      </c>
      <c r="C43" s="15"/>
      <c r="D43" s="1"/>
      <c r="E43" s="1"/>
      <c r="F43" s="1"/>
      <c r="G43" s="2">
        <v>20000.0</v>
      </c>
    </row>
    <row r="44" ht="15.75" customHeight="1">
      <c r="A44" s="1"/>
      <c r="B44" s="4" t="s">
        <v>1142</v>
      </c>
      <c r="C44" s="15"/>
      <c r="D44" s="1"/>
      <c r="E44" s="1"/>
      <c r="F44" s="1"/>
      <c r="G44" s="2">
        <v>1000.0</v>
      </c>
    </row>
    <row r="45" ht="15.75" customHeight="1">
      <c r="A45" s="1"/>
      <c r="B45" s="4" t="s">
        <v>1143</v>
      </c>
      <c r="C45" s="15"/>
      <c r="D45" s="1"/>
      <c r="E45" s="1"/>
      <c r="F45" s="1"/>
      <c r="G45" s="2">
        <v>4168.0</v>
      </c>
    </row>
    <row r="46" ht="15.75" customHeight="1">
      <c r="A46" s="1"/>
      <c r="B46" s="4" t="s">
        <v>1144</v>
      </c>
      <c r="C46" s="15"/>
      <c r="D46" s="1"/>
      <c r="E46" s="1"/>
      <c r="F46" s="1"/>
      <c r="G46" s="2">
        <v>2000.0</v>
      </c>
    </row>
    <row r="47" ht="15.75" customHeight="1">
      <c r="A47" s="1"/>
      <c r="B47" s="4" t="s">
        <v>1145</v>
      </c>
      <c r="C47" s="15"/>
      <c r="D47" s="1"/>
      <c r="E47" s="1"/>
      <c r="F47" s="1"/>
      <c r="G47" s="2">
        <v>362500.0</v>
      </c>
    </row>
    <row r="48" ht="15.75" customHeight="1">
      <c r="A48" s="1"/>
      <c r="B48" s="4" t="s">
        <v>1146</v>
      </c>
      <c r="C48" s="15"/>
      <c r="D48" s="1"/>
      <c r="E48" s="1"/>
      <c r="F48" s="1"/>
      <c r="G48" s="2">
        <v>1312.0</v>
      </c>
    </row>
    <row r="49" ht="15.75" customHeight="1">
      <c r="A49" s="1"/>
      <c r="B49" s="4" t="s">
        <v>1147</v>
      </c>
      <c r="C49" s="15"/>
      <c r="D49" s="1"/>
      <c r="E49" s="1"/>
      <c r="F49" s="1"/>
      <c r="G49" s="2">
        <v>5628.0</v>
      </c>
    </row>
    <row r="50" ht="15.75" customHeight="1">
      <c r="A50" s="1"/>
      <c r="B50" s="4" t="s">
        <v>1148</v>
      </c>
      <c r="C50" s="15"/>
      <c r="D50" s="1"/>
      <c r="E50" s="1"/>
      <c r="F50" s="1"/>
      <c r="G50" s="2">
        <v>231200.0</v>
      </c>
    </row>
    <row r="51" ht="15.75" customHeight="1">
      <c r="A51" s="1"/>
      <c r="B51" s="4" t="s">
        <v>1149</v>
      </c>
      <c r="C51" s="15"/>
      <c r="D51" s="1"/>
      <c r="E51" s="1"/>
      <c r="F51" s="1"/>
      <c r="G51" s="2">
        <v>2350.0</v>
      </c>
    </row>
    <row r="52" ht="15.75" customHeight="1">
      <c r="A52" s="1"/>
      <c r="B52" s="4" t="s">
        <v>1150</v>
      </c>
      <c r="C52" s="15"/>
      <c r="D52" s="1"/>
      <c r="E52" s="1"/>
      <c r="F52" s="1"/>
      <c r="G52" s="2">
        <v>4500.0</v>
      </c>
    </row>
    <row r="53" ht="15.75" customHeight="1">
      <c r="A53" s="1"/>
      <c r="B53" s="4" t="s">
        <v>203</v>
      </c>
      <c r="C53" s="15"/>
      <c r="D53" s="1"/>
      <c r="E53" s="1"/>
      <c r="F53" s="1"/>
      <c r="G53" s="2">
        <v>5000.0</v>
      </c>
    </row>
    <row r="54" ht="15.75" customHeight="1">
      <c r="A54" s="1"/>
      <c r="B54" s="4" t="s">
        <v>1151</v>
      </c>
      <c r="C54" s="15"/>
      <c r="D54" s="1"/>
      <c r="E54" s="1"/>
      <c r="F54" s="1"/>
      <c r="G54" s="2">
        <v>2000.0</v>
      </c>
    </row>
    <row r="55" ht="15.75" customHeight="1">
      <c r="A55" s="1"/>
      <c r="B55" s="4" t="s">
        <v>1152</v>
      </c>
      <c r="C55" s="15"/>
      <c r="D55" s="1"/>
      <c r="E55" s="1"/>
      <c r="F55" s="1"/>
      <c r="G55" s="2">
        <v>140000.0</v>
      </c>
    </row>
    <row r="56" ht="15.75" customHeight="1">
      <c r="A56" s="1"/>
      <c r="B56" s="4" t="s">
        <v>1153</v>
      </c>
      <c r="C56" s="15"/>
      <c r="D56" s="1"/>
      <c r="E56" s="1"/>
      <c r="F56" s="1"/>
      <c r="G56" s="2">
        <v>125000.0</v>
      </c>
    </row>
    <row r="57" ht="15.75" customHeight="1">
      <c r="A57" s="1"/>
      <c r="B57" s="4" t="s">
        <v>1154</v>
      </c>
      <c r="C57" s="15"/>
      <c r="D57" s="1"/>
      <c r="E57" s="1"/>
      <c r="F57" s="1"/>
      <c r="G57" s="2">
        <v>112840.0</v>
      </c>
    </row>
    <row r="58" ht="15.75" customHeight="1">
      <c r="A58" s="1"/>
      <c r="B58" s="4" t="s">
        <v>1155</v>
      </c>
      <c r="C58" s="15"/>
      <c r="D58" s="1"/>
      <c r="E58" s="1"/>
      <c r="F58" s="1"/>
      <c r="G58" s="2">
        <v>30000.0</v>
      </c>
    </row>
    <row r="59" ht="15.75" customHeight="1">
      <c r="A59" s="1"/>
      <c r="B59" s="4" t="s">
        <v>1156</v>
      </c>
      <c r="C59" s="15"/>
      <c r="D59" s="1"/>
      <c r="E59" s="1"/>
      <c r="F59" s="1"/>
      <c r="G59" s="2">
        <v>6000.0</v>
      </c>
    </row>
    <row r="60" ht="15.75" customHeight="1">
      <c r="A60" s="1"/>
      <c r="B60" s="4" t="s">
        <v>1157</v>
      </c>
      <c r="C60" s="15"/>
      <c r="D60" s="1"/>
      <c r="E60" s="1"/>
      <c r="F60" s="1"/>
      <c r="G60" s="2">
        <v>4000.0</v>
      </c>
    </row>
    <row r="61" ht="15.75" customHeight="1">
      <c r="A61" s="1"/>
      <c r="B61" s="4" t="s">
        <v>1158</v>
      </c>
      <c r="C61" s="15"/>
      <c r="D61" s="1"/>
      <c r="E61" s="1"/>
      <c r="F61" s="1"/>
      <c r="G61" s="2">
        <v>3098.0</v>
      </c>
    </row>
    <row r="62" ht="15.75" customHeight="1">
      <c r="A62" s="1"/>
      <c r="B62" s="4" t="s">
        <v>1159</v>
      </c>
      <c r="C62" s="15"/>
      <c r="D62" s="1"/>
      <c r="E62" s="1"/>
      <c r="F62" s="1"/>
      <c r="G62" s="2">
        <v>12000.0</v>
      </c>
    </row>
    <row r="63" ht="15.75" customHeight="1">
      <c r="A63" s="1"/>
      <c r="B63" s="4" t="s">
        <v>1160</v>
      </c>
      <c r="C63" s="15"/>
      <c r="D63" s="1"/>
      <c r="E63" s="1"/>
      <c r="F63" s="1"/>
      <c r="G63" s="2">
        <v>46000.0</v>
      </c>
    </row>
    <row r="64" ht="15.75" customHeight="1">
      <c r="A64" s="1"/>
      <c r="B64" s="4" t="s">
        <v>1161</v>
      </c>
      <c r="C64" s="15"/>
      <c r="D64" s="1"/>
      <c r="E64" s="1"/>
      <c r="F64" s="1"/>
      <c r="G64" s="2">
        <v>8000.0</v>
      </c>
    </row>
    <row r="65" ht="15.75" customHeight="1">
      <c r="A65" s="1"/>
      <c r="B65" s="4" t="s">
        <v>1162</v>
      </c>
      <c r="C65" s="15"/>
      <c r="D65" s="1"/>
      <c r="E65" s="1"/>
      <c r="F65" s="1"/>
      <c r="G65" s="2"/>
    </row>
    <row r="66" ht="15.75" customHeight="1">
      <c r="A66" s="1"/>
      <c r="B66" s="4" t="s">
        <v>1163</v>
      </c>
      <c r="C66" s="15"/>
      <c r="D66" s="1"/>
      <c r="E66" s="1"/>
      <c r="F66" s="1"/>
      <c r="G66" s="2">
        <v>28000.0</v>
      </c>
    </row>
    <row r="67" ht="15.75" customHeight="1">
      <c r="A67" s="1"/>
      <c r="B67" s="4" t="s">
        <v>1164</v>
      </c>
      <c r="C67" s="15"/>
      <c r="D67" s="1"/>
      <c r="E67" s="1"/>
      <c r="F67" s="1"/>
      <c r="G67" s="2">
        <v>2000.0</v>
      </c>
    </row>
    <row r="68" ht="15.75" customHeight="1">
      <c r="A68" s="1"/>
      <c r="B68" s="4" t="s">
        <v>1157</v>
      </c>
      <c r="C68" s="15"/>
      <c r="D68" s="1"/>
      <c r="E68" s="1"/>
      <c r="F68" s="1"/>
      <c r="G68" s="2">
        <v>4000.0</v>
      </c>
    </row>
    <row r="69" ht="15.75" customHeight="1">
      <c r="A69" s="1"/>
      <c r="B69" s="4" t="s">
        <v>1165</v>
      </c>
      <c r="C69" s="15"/>
      <c r="D69" s="1"/>
      <c r="E69" s="1"/>
      <c r="F69" s="1"/>
      <c r="G69" s="2">
        <v>5000.0</v>
      </c>
    </row>
    <row r="70" ht="15.75" customHeight="1">
      <c r="A70" s="1"/>
      <c r="B70" s="4" t="s">
        <v>1166</v>
      </c>
      <c r="C70" s="15"/>
      <c r="D70" s="1"/>
      <c r="E70" s="1"/>
      <c r="F70" s="1"/>
      <c r="G70" s="2">
        <v>362500.0</v>
      </c>
    </row>
    <row r="71" ht="15.75" customHeight="1">
      <c r="A71" s="1"/>
      <c r="B71" s="4" t="s">
        <v>1167</v>
      </c>
      <c r="C71" s="15"/>
      <c r="D71" s="1"/>
      <c r="E71" s="1"/>
      <c r="F71" s="1"/>
      <c r="G71" s="2">
        <v>55000.0</v>
      </c>
    </row>
    <row r="72" ht="15.75" customHeight="1">
      <c r="A72" s="1"/>
      <c r="B72" s="4" t="s">
        <v>1168</v>
      </c>
      <c r="C72" s="15"/>
      <c r="D72" s="1"/>
      <c r="E72" s="1"/>
      <c r="F72" s="1"/>
      <c r="G72" s="2">
        <v>13000.0</v>
      </c>
    </row>
    <row r="73" ht="15.75" customHeight="1">
      <c r="A73" s="1"/>
      <c r="B73" s="4"/>
      <c r="C73" s="15"/>
      <c r="D73" s="1"/>
      <c r="E73" s="1"/>
      <c r="F73" s="1"/>
      <c r="G73" s="2"/>
    </row>
    <row r="74" ht="15.75" customHeight="1">
      <c r="A74" s="1"/>
      <c r="B74" s="43" t="s">
        <v>43</v>
      </c>
      <c r="C74" s="1"/>
      <c r="D74" s="1"/>
      <c r="E74" s="1"/>
      <c r="F74" s="1"/>
      <c r="G74" s="13">
        <f>SUM(G27:G72)</f>
        <v>2582041</v>
      </c>
    </row>
    <row r="75" ht="15.75" customHeight="1">
      <c r="A75" s="1"/>
      <c r="B75" s="43"/>
      <c r="C75" s="1"/>
      <c r="D75" s="1"/>
      <c r="E75" s="1"/>
      <c r="F75" s="1"/>
      <c r="G75" s="13"/>
    </row>
    <row r="76" ht="15.75" customHeight="1">
      <c r="A76" s="1"/>
      <c r="B76" s="43"/>
      <c r="C76" s="1"/>
      <c r="D76" s="1"/>
      <c r="E76" s="1"/>
      <c r="F76" s="1"/>
      <c r="G76" s="13"/>
    </row>
    <row r="77" ht="15.75" customHeight="1">
      <c r="A77" s="1"/>
      <c r="B77" s="1"/>
      <c r="C77" s="1"/>
      <c r="D77" s="1"/>
      <c r="E77" s="1"/>
      <c r="F77" s="1"/>
      <c r="G77" s="13"/>
    </row>
    <row r="78" ht="15.75" customHeight="1">
      <c r="A78" s="1"/>
      <c r="B78" s="19" t="s">
        <v>45</v>
      </c>
      <c r="C78" s="20"/>
      <c r="D78" s="20"/>
      <c r="E78" s="20"/>
      <c r="F78" s="20"/>
      <c r="G78" s="21">
        <f>SUM(G24+G74)</f>
        <v>3148041</v>
      </c>
    </row>
    <row r="79" ht="15.75" customHeight="1">
      <c r="A79" s="1"/>
      <c r="B79" s="4" t="s">
        <v>46</v>
      </c>
      <c r="C79" s="1"/>
      <c r="D79" s="1"/>
      <c r="E79" s="1"/>
      <c r="F79" s="1"/>
      <c r="G79" s="2"/>
    </row>
    <row r="80" ht="15.75" customHeight="1">
      <c r="A80" s="35" t="s">
        <v>1169</v>
      </c>
      <c r="B80" s="36"/>
      <c r="C80" s="37"/>
      <c r="D80" s="37"/>
      <c r="E80" s="37"/>
      <c r="F80" s="37"/>
      <c r="G80" s="38">
        <f>(G13-G78)</f>
        <v>172759</v>
      </c>
    </row>
    <row r="81" ht="15.75" customHeight="1">
      <c r="A81" s="35"/>
      <c r="B81" s="36"/>
      <c r="C81" s="37"/>
      <c r="D81" s="37"/>
      <c r="E81" s="37"/>
      <c r="F81" s="37"/>
      <c r="G81" s="38"/>
    </row>
    <row r="82" ht="15.75" customHeight="1">
      <c r="A82" s="22" t="s">
        <v>254</v>
      </c>
      <c r="B82" s="1" t="s">
        <v>255</v>
      </c>
      <c r="C82" s="1"/>
      <c r="D82" s="1"/>
      <c r="E82" s="1"/>
      <c r="F82" s="1"/>
      <c r="G82" s="2"/>
    </row>
    <row r="83" ht="15.75" customHeight="1">
      <c r="A83" s="22"/>
      <c r="B83" s="1" t="s">
        <v>1170</v>
      </c>
      <c r="C83" s="1"/>
      <c r="D83" s="1"/>
      <c r="E83" s="1"/>
      <c r="F83" s="1"/>
      <c r="G83" s="2">
        <v>65000.0</v>
      </c>
    </row>
    <row r="84" ht="15.75" customHeight="1">
      <c r="A84" s="22"/>
      <c r="B84" s="1"/>
      <c r="C84" s="1"/>
      <c r="D84" s="1"/>
      <c r="E84" s="1"/>
      <c r="F84" s="1"/>
      <c r="G84" s="2">
        <v>0.0</v>
      </c>
    </row>
    <row r="85" ht="15.75" customHeight="1">
      <c r="A85" s="22"/>
      <c r="B85" s="1"/>
      <c r="C85" s="1"/>
      <c r="D85" s="1"/>
      <c r="E85" s="1"/>
      <c r="F85" s="1"/>
      <c r="G85" s="2"/>
    </row>
    <row r="86" ht="15.75" customHeight="1">
      <c r="A86" s="22"/>
      <c r="B86" s="1"/>
      <c r="C86" s="1"/>
      <c r="D86" s="1"/>
      <c r="E86" s="1"/>
      <c r="F86" s="1"/>
      <c r="G86" s="2"/>
    </row>
    <row r="87" ht="15.75" customHeight="1">
      <c r="A87" s="1"/>
      <c r="B87" s="27" t="s">
        <v>51</v>
      </c>
      <c r="C87" s="27"/>
      <c r="D87" s="27"/>
      <c r="E87" s="27"/>
      <c r="F87" s="27"/>
      <c r="G87" s="2">
        <f>SUM(G83:G84)</f>
        <v>65000</v>
      </c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44"/>
      <c r="B89" s="45" t="s">
        <v>1171</v>
      </c>
      <c r="C89" s="46"/>
      <c r="D89" s="46"/>
      <c r="E89" s="46"/>
      <c r="F89" s="46"/>
      <c r="G89" s="47">
        <f>SUM(G4+G80-G87)</f>
        <v>18692101</v>
      </c>
    </row>
    <row r="90" ht="15.75" customHeight="1">
      <c r="A90" s="1"/>
      <c r="B90" s="1"/>
      <c r="C90" s="1"/>
      <c r="D90" s="1"/>
      <c r="E90" s="1"/>
      <c r="F90" s="1"/>
      <c r="G90" s="2"/>
    </row>
    <row r="91" ht="15.75" customHeight="1">
      <c r="A91" s="1"/>
      <c r="B91" s="32" t="s">
        <v>1172</v>
      </c>
    </row>
    <row r="92" ht="15.75" customHeight="1">
      <c r="A92" s="1"/>
      <c r="B92" s="1"/>
      <c r="C92" s="1" t="s">
        <v>1173</v>
      </c>
      <c r="D92" s="1"/>
      <c r="E92" s="1"/>
      <c r="F92" s="1"/>
      <c r="G92" s="2">
        <v>33400.0</v>
      </c>
    </row>
    <row r="93" ht="15.75" customHeight="1">
      <c r="A93" s="1"/>
      <c r="B93" s="1"/>
      <c r="C93" s="1" t="s">
        <v>1174</v>
      </c>
      <c r="D93" s="1"/>
      <c r="E93" s="1"/>
      <c r="F93" s="1"/>
      <c r="G93" s="2">
        <v>532900.0</v>
      </c>
    </row>
    <row r="94" ht="15.75" customHeight="1">
      <c r="A94" s="1"/>
      <c r="B94" s="1"/>
      <c r="C94" s="43" t="s">
        <v>115</v>
      </c>
      <c r="D94" s="1"/>
      <c r="E94" s="1"/>
      <c r="F94" s="1"/>
      <c r="G94" s="2">
        <f>SUM(G92:G93)</f>
        <v>566300</v>
      </c>
    </row>
    <row r="95" ht="15.75" customHeight="1">
      <c r="A95" s="1"/>
      <c r="B95" s="1"/>
      <c r="C95" s="43"/>
      <c r="D95" s="1"/>
      <c r="E95" s="1"/>
      <c r="F95" s="1"/>
      <c r="G95" s="2"/>
    </row>
    <row r="96" ht="15.75" customHeight="1">
      <c r="A96" s="1"/>
      <c r="B96" s="1" t="s">
        <v>1175</v>
      </c>
      <c r="C96" s="43"/>
      <c r="D96" s="1"/>
      <c r="E96" s="1"/>
      <c r="F96" s="1"/>
      <c r="G96" s="2"/>
    </row>
    <row r="97" ht="15.75" customHeight="1">
      <c r="A97" s="1"/>
      <c r="B97" s="1"/>
      <c r="C97" s="43"/>
      <c r="D97" s="1"/>
      <c r="E97" s="1"/>
      <c r="F97" s="1"/>
      <c r="G97" s="2"/>
    </row>
    <row r="98" ht="15.75" customHeight="1">
      <c r="A98" s="1"/>
      <c r="B98" s="1"/>
      <c r="C98" s="43"/>
      <c r="D98" s="1"/>
      <c r="E98" s="1"/>
      <c r="F98" s="1"/>
      <c r="G98" s="1"/>
    </row>
    <row r="99" ht="15.75" customHeight="1">
      <c r="A99" s="1"/>
      <c r="B99" s="1" t="s">
        <v>1118</v>
      </c>
      <c r="C99" s="43"/>
      <c r="D99" s="1"/>
      <c r="E99" s="1"/>
      <c r="F99" s="1"/>
      <c r="G99" s="1"/>
    </row>
    <row r="100" ht="15.75" customHeight="1">
      <c r="A100" s="1"/>
      <c r="B100" s="1"/>
      <c r="C100" s="43"/>
      <c r="D100" s="1"/>
      <c r="E100" s="1"/>
      <c r="F100" s="1"/>
      <c r="G100" s="1"/>
    </row>
    <row r="101" ht="15.75" customHeight="1">
      <c r="A101" s="1"/>
      <c r="B101" s="33" t="s">
        <v>1176</v>
      </c>
      <c r="C101" s="1"/>
      <c r="D101" s="1"/>
      <c r="E101" s="1"/>
      <c r="F101" s="1"/>
      <c r="G101" s="2"/>
    </row>
    <row r="102" ht="15.75" customHeight="1">
      <c r="A102" s="1"/>
      <c r="B102" s="4"/>
      <c r="C102" s="1"/>
      <c r="D102" s="1"/>
      <c r="E102" s="1"/>
      <c r="F102" s="1"/>
      <c r="G102" s="2"/>
    </row>
    <row r="103" ht="15.75" customHeight="1">
      <c r="A103" s="1"/>
      <c r="B103" s="55" t="s">
        <v>531</v>
      </c>
      <c r="C103" s="56"/>
      <c r="D103" s="56"/>
      <c r="E103" s="56"/>
      <c r="F103" s="1"/>
      <c r="G103" s="2"/>
    </row>
    <row r="104" ht="15.75" customHeight="1">
      <c r="A104" s="1"/>
      <c r="B104" s="55"/>
      <c r="C104" s="56"/>
      <c r="D104" s="56"/>
      <c r="E104" s="56"/>
      <c r="F104" s="1"/>
      <c r="G104" s="2"/>
    </row>
    <row r="105" ht="15.75" customHeight="1">
      <c r="A105" s="1"/>
      <c r="B105" s="55" t="s">
        <v>1177</v>
      </c>
      <c r="C105" s="56"/>
      <c r="D105" s="56"/>
      <c r="E105" s="56"/>
      <c r="F105" s="1"/>
      <c r="G105" s="2"/>
    </row>
    <row r="106" ht="15.75" customHeight="1">
      <c r="A106" s="1"/>
      <c r="B106" s="55"/>
      <c r="C106" s="56"/>
      <c r="D106" s="56"/>
      <c r="E106" s="56"/>
      <c r="F106" s="1"/>
      <c r="G106" s="2"/>
    </row>
    <row r="107" ht="15.75" customHeight="1">
      <c r="A107" s="1"/>
      <c r="B107" s="55" t="s">
        <v>681</v>
      </c>
      <c r="F107" s="1"/>
      <c r="G107" s="2"/>
    </row>
    <row r="108" ht="15.75" customHeight="1">
      <c r="A108" s="1"/>
      <c r="B108" s="55"/>
      <c r="C108" s="55"/>
      <c r="D108" s="55"/>
      <c r="E108" s="55"/>
      <c r="F108" s="1"/>
      <c r="G108" s="2"/>
    </row>
    <row r="109" ht="15.75" customHeight="1">
      <c r="A109" s="1"/>
      <c r="B109" s="55" t="s">
        <v>1178</v>
      </c>
      <c r="C109" s="56"/>
      <c r="D109" s="57"/>
      <c r="E109" s="56"/>
      <c r="F109" s="1"/>
      <c r="G109" s="2"/>
    </row>
    <row r="110" ht="15.75" customHeight="1">
      <c r="A110" s="1"/>
      <c r="B110" s="55"/>
      <c r="C110" s="56"/>
      <c r="D110" s="57"/>
      <c r="E110" s="56"/>
      <c r="F110" s="1"/>
      <c r="G110" s="2"/>
    </row>
    <row r="111" ht="15.75" customHeight="1">
      <c r="A111" s="1"/>
      <c r="B111" s="55" t="s">
        <v>535</v>
      </c>
      <c r="C111" s="56"/>
      <c r="D111" s="57"/>
      <c r="E111" s="56"/>
      <c r="F111" s="1"/>
      <c r="G111" s="2"/>
    </row>
    <row r="112" ht="15.75" customHeight="1">
      <c r="A112" s="1"/>
      <c r="B112" s="55"/>
      <c r="C112" s="56"/>
      <c r="D112" s="57"/>
      <c r="E112" s="56"/>
      <c r="F112" s="1"/>
      <c r="G112" s="2"/>
    </row>
    <row r="113" ht="15.75" customHeight="1">
      <c r="B113" s="55" t="s">
        <v>536</v>
      </c>
      <c r="C113" s="56"/>
      <c r="D113" s="57"/>
      <c r="E113" s="57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B13:F13"/>
    <mergeCell ref="B91:G91"/>
    <mergeCell ref="B107:E107"/>
  </mergeCells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71"/>
    <col customWidth="1" min="3" max="3" width="8.71"/>
    <col customWidth="1" min="4" max="4" width="10.71"/>
    <col customWidth="1" min="5" max="5" width="2.71"/>
    <col customWidth="1" min="6" max="6" width="25.0"/>
    <col customWidth="1" min="7" max="7" width="14.29"/>
    <col customWidth="1" min="8" max="26" width="10.71"/>
  </cols>
  <sheetData>
    <row r="1">
      <c r="A1" s="1" t="s">
        <v>721</v>
      </c>
      <c r="B1" s="3" t="s">
        <v>1179</v>
      </c>
      <c r="C1" s="1"/>
      <c r="D1" s="1"/>
      <c r="E1" s="1"/>
      <c r="F1" s="1"/>
      <c r="G1" s="2"/>
    </row>
    <row r="2" ht="18.75" customHeight="1">
      <c r="A2" s="1"/>
      <c r="B2" s="63" t="s">
        <v>1180</v>
      </c>
      <c r="G2" s="2">
        <v>1.8692101E7</v>
      </c>
    </row>
    <row r="3" ht="15.75" customHeight="1">
      <c r="A3" s="1"/>
      <c r="G3" s="2"/>
    </row>
    <row r="4">
      <c r="A4" s="6" t="s">
        <v>1181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486900.0</v>
      </c>
      <c r="G5" s="7">
        <v>188000.0</v>
      </c>
    </row>
    <row r="6">
      <c r="A6" s="1"/>
      <c r="B6" s="4" t="s">
        <v>64</v>
      </c>
      <c r="C6" s="1"/>
      <c r="D6" s="1"/>
      <c r="E6" s="1"/>
      <c r="F6" s="2">
        <v>316500.0</v>
      </c>
      <c r="G6" s="7">
        <v>43000.0</v>
      </c>
    </row>
    <row r="7">
      <c r="A7" s="1"/>
      <c r="B7" s="4" t="s">
        <v>65</v>
      </c>
      <c r="C7" s="1"/>
      <c r="D7" s="1"/>
      <c r="E7" s="1"/>
      <c r="F7" s="2">
        <v>600200.0</v>
      </c>
      <c r="G7" s="7">
        <v>176000.0</v>
      </c>
    </row>
    <row r="8">
      <c r="A8" s="1"/>
      <c r="B8" s="4" t="s">
        <v>66</v>
      </c>
      <c r="C8" s="1"/>
      <c r="D8" s="1"/>
      <c r="E8" s="1"/>
      <c r="F8" s="2">
        <v>624100.0</v>
      </c>
      <c r="G8" s="8">
        <v>156000.0</v>
      </c>
    </row>
    <row r="9">
      <c r="A9" s="1"/>
      <c r="B9" s="4" t="s">
        <v>67</v>
      </c>
      <c r="C9" s="1"/>
      <c r="D9" s="49" t="s">
        <v>8</v>
      </c>
      <c r="E9" s="49"/>
      <c r="F9" s="62">
        <v>385600.0</v>
      </c>
      <c r="G9" s="7">
        <v>134000.0</v>
      </c>
    </row>
    <row r="10">
      <c r="A10" s="1"/>
      <c r="B10" s="4"/>
      <c r="C10" s="50" t="s">
        <v>405</v>
      </c>
      <c r="E10" s="4"/>
      <c r="F10" s="2">
        <f t="shared" ref="F10:G10" si="1">SUM(F5:F9)</f>
        <v>2413300</v>
      </c>
      <c r="G10" s="7">
        <f t="shared" si="1"/>
        <v>697000</v>
      </c>
    </row>
    <row r="11">
      <c r="A11" s="1"/>
      <c r="B11" s="51" t="s">
        <v>9</v>
      </c>
      <c r="C11" s="52"/>
      <c r="D11" s="52"/>
      <c r="E11" s="52"/>
      <c r="F11" s="53"/>
      <c r="G11" s="11">
        <f>SUM(F10:G10)</f>
        <v>3110300</v>
      </c>
    </row>
    <row r="12">
      <c r="A12" s="6" t="s">
        <v>1182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978</v>
      </c>
      <c r="C14" s="1"/>
      <c r="D14" s="1"/>
      <c r="E14" s="1"/>
      <c r="F14" s="1"/>
      <c r="G14" s="2">
        <v>102000.0</v>
      </c>
    </row>
    <row r="15">
      <c r="A15" s="1"/>
      <c r="B15" s="4" t="s">
        <v>13</v>
      </c>
      <c r="C15" s="1"/>
      <c r="D15" s="1"/>
      <c r="E15" s="1"/>
      <c r="F15" s="1"/>
      <c r="G15" s="13">
        <v>100000.0</v>
      </c>
    </row>
    <row r="16">
      <c r="A16" s="1"/>
      <c r="B16" s="4" t="s">
        <v>14</v>
      </c>
      <c r="C16" s="1"/>
      <c r="D16" s="1"/>
      <c r="E16" s="1"/>
      <c r="F16" s="1"/>
      <c r="G16" s="13">
        <v>100000.0</v>
      </c>
    </row>
    <row r="17">
      <c r="A17" s="1"/>
      <c r="B17" s="4" t="s">
        <v>15</v>
      </c>
      <c r="C17" s="1"/>
      <c r="D17" s="1"/>
      <c r="E17" s="1"/>
      <c r="F17" s="1"/>
      <c r="G17" s="2">
        <v>80000.0</v>
      </c>
    </row>
    <row r="18">
      <c r="A18" s="1"/>
      <c r="B18" s="4" t="s">
        <v>16</v>
      </c>
      <c r="C18" s="1"/>
      <c r="D18" s="1"/>
      <c r="E18" s="1"/>
      <c r="F18" s="1"/>
      <c r="G18" s="2">
        <v>60000.0</v>
      </c>
    </row>
    <row r="19">
      <c r="A19" s="1"/>
      <c r="B19" s="4" t="s">
        <v>17</v>
      </c>
      <c r="C19" s="1"/>
      <c r="D19" s="1"/>
      <c r="E19" s="1"/>
      <c r="F19" s="1"/>
      <c r="G19" s="2">
        <v>100000.0</v>
      </c>
    </row>
    <row r="20">
      <c r="A20" s="1"/>
      <c r="B20" s="9" t="s">
        <v>18</v>
      </c>
      <c r="C20" s="10"/>
      <c r="D20" s="10"/>
      <c r="E20" s="10"/>
      <c r="F20" s="10"/>
      <c r="G20" s="14">
        <f>SUM(G14:G19)</f>
        <v>542000</v>
      </c>
    </row>
    <row r="21" ht="15.75" customHeight="1">
      <c r="A21" s="1"/>
      <c r="B21" s="12" t="s">
        <v>19</v>
      </c>
      <c r="C21" s="15"/>
      <c r="D21" s="1"/>
      <c r="E21" s="1"/>
      <c r="F21" s="1"/>
      <c r="G21" s="2"/>
    </row>
    <row r="22" ht="15.75" customHeight="1">
      <c r="A22" s="1"/>
      <c r="B22" s="4" t="s">
        <v>1183</v>
      </c>
      <c r="C22" s="15"/>
      <c r="D22" s="1"/>
      <c r="E22" s="1"/>
      <c r="F22" s="1"/>
      <c r="G22" s="2">
        <v>10000.0</v>
      </c>
    </row>
    <row r="23" ht="15.75" customHeight="1">
      <c r="A23" s="1"/>
      <c r="B23" s="4" t="s">
        <v>1184</v>
      </c>
      <c r="C23" s="15"/>
      <c r="D23" s="1"/>
      <c r="E23" s="1"/>
      <c r="F23" s="1"/>
      <c r="G23" s="2">
        <v>87900.0</v>
      </c>
    </row>
    <row r="24" ht="15.75" customHeight="1">
      <c r="A24" s="1"/>
      <c r="B24" s="4" t="s">
        <v>1185</v>
      </c>
      <c r="C24" s="15"/>
      <c r="D24" s="1"/>
      <c r="E24" s="1"/>
      <c r="F24" s="1"/>
      <c r="G24" s="2">
        <v>43000.0</v>
      </c>
    </row>
    <row r="25" ht="15.75" customHeight="1">
      <c r="A25" s="1"/>
      <c r="B25" s="4" t="s">
        <v>1186</v>
      </c>
      <c r="C25" s="15"/>
      <c r="D25" s="1"/>
      <c r="E25" s="1"/>
      <c r="F25" s="1"/>
      <c r="G25" s="2">
        <v>3000.0</v>
      </c>
    </row>
    <row r="26" ht="15.75" customHeight="1">
      <c r="A26" s="1"/>
      <c r="B26" s="4" t="s">
        <v>1130</v>
      </c>
      <c r="C26" s="15"/>
      <c r="D26" s="1"/>
      <c r="E26" s="1"/>
      <c r="F26" s="1"/>
      <c r="G26" s="2">
        <v>1500.0</v>
      </c>
    </row>
    <row r="27" ht="15.75" customHeight="1">
      <c r="A27" s="1"/>
      <c r="B27" s="4" t="s">
        <v>1187</v>
      </c>
      <c r="C27" s="15"/>
      <c r="D27" s="1"/>
      <c r="E27" s="1"/>
      <c r="F27" s="1"/>
      <c r="G27" s="2">
        <v>2000.0</v>
      </c>
    </row>
    <row r="28" ht="15.75" customHeight="1">
      <c r="A28" s="1"/>
      <c r="B28" s="4" t="s">
        <v>1188</v>
      </c>
      <c r="C28" s="15"/>
      <c r="D28" s="1"/>
      <c r="E28" s="1"/>
      <c r="F28" s="1"/>
      <c r="G28" s="2">
        <v>65250.0</v>
      </c>
    </row>
    <row r="29" ht="15.75" customHeight="1">
      <c r="A29" s="1"/>
      <c r="B29" s="4" t="s">
        <v>1189</v>
      </c>
      <c r="C29" s="15"/>
      <c r="D29" s="1"/>
      <c r="E29" s="1"/>
      <c r="F29" s="1"/>
      <c r="G29" s="2">
        <v>258300.0</v>
      </c>
    </row>
    <row r="30" ht="15.75" customHeight="1">
      <c r="A30" s="1"/>
      <c r="B30" s="4" t="s">
        <v>75</v>
      </c>
      <c r="C30" s="15"/>
      <c r="D30" s="1"/>
      <c r="E30" s="1"/>
      <c r="F30" s="1"/>
      <c r="G30" s="2">
        <v>100000.0</v>
      </c>
    </row>
    <row r="31" ht="15.75" customHeight="1">
      <c r="A31" s="1"/>
      <c r="B31" s="4" t="s">
        <v>1190</v>
      </c>
      <c r="C31" s="15"/>
      <c r="D31" s="1"/>
      <c r="E31" s="1"/>
      <c r="F31" s="1"/>
      <c r="G31" s="2">
        <v>2000.0</v>
      </c>
    </row>
    <row r="32" ht="15.75" customHeight="1">
      <c r="A32" s="1"/>
      <c r="B32" s="4" t="s">
        <v>1191</v>
      </c>
      <c r="C32" s="15"/>
      <c r="D32" s="1"/>
      <c r="E32" s="1"/>
      <c r="F32" s="1"/>
      <c r="G32" s="2">
        <v>121000.0</v>
      </c>
    </row>
    <row r="33" ht="15.75" customHeight="1">
      <c r="A33" s="1"/>
      <c r="B33" s="4" t="s">
        <v>1192</v>
      </c>
      <c r="C33" s="15"/>
      <c r="D33" s="1"/>
      <c r="E33" s="1"/>
      <c r="F33" s="1"/>
      <c r="G33" s="2">
        <v>5000.0</v>
      </c>
    </row>
    <row r="34" ht="15.75" customHeight="1">
      <c r="A34" s="1"/>
      <c r="B34" s="4" t="s">
        <v>1193</v>
      </c>
      <c r="C34" s="15"/>
      <c r="D34" s="1"/>
      <c r="E34" s="1"/>
      <c r="F34" s="1"/>
      <c r="G34" s="2">
        <v>67500.0</v>
      </c>
    </row>
    <row r="35" ht="15.75" customHeight="1">
      <c r="A35" s="1"/>
      <c r="B35" s="4" t="s">
        <v>463</v>
      </c>
      <c r="C35" s="15"/>
      <c r="D35" s="1"/>
      <c r="E35" s="1"/>
      <c r="F35" s="1"/>
      <c r="G35" s="2">
        <v>10000.0</v>
      </c>
    </row>
    <row r="36" ht="15.75" customHeight="1">
      <c r="A36" s="1"/>
      <c r="B36" s="4" t="s">
        <v>1194</v>
      </c>
      <c r="C36" s="15"/>
      <c r="D36" s="1"/>
      <c r="E36" s="1"/>
      <c r="F36" s="1"/>
      <c r="G36" s="2">
        <v>10000.0</v>
      </c>
    </row>
    <row r="37" ht="15.75" customHeight="1">
      <c r="A37" s="1"/>
      <c r="B37" s="4" t="s">
        <v>1195</v>
      </c>
      <c r="C37" s="15"/>
      <c r="D37" s="1"/>
      <c r="E37" s="1"/>
      <c r="F37" s="1"/>
      <c r="G37" s="2">
        <v>10500.0</v>
      </c>
    </row>
    <row r="38" ht="15.75" customHeight="1">
      <c r="A38" s="1"/>
      <c r="B38" s="4" t="s">
        <v>1196</v>
      </c>
      <c r="C38" s="15"/>
      <c r="D38" s="1"/>
      <c r="E38" s="1"/>
      <c r="F38" s="1"/>
      <c r="G38" s="2">
        <v>2000.0</v>
      </c>
    </row>
    <row r="39" ht="15.75" customHeight="1">
      <c r="A39" s="1"/>
      <c r="B39" s="4" t="s">
        <v>1197</v>
      </c>
      <c r="C39" s="15"/>
      <c r="D39" s="1"/>
      <c r="E39" s="1"/>
      <c r="F39" s="1"/>
      <c r="G39" s="2">
        <v>430800.0</v>
      </c>
    </row>
    <row r="40" ht="15.75" customHeight="1">
      <c r="A40" s="1"/>
      <c r="B40" s="4" t="s">
        <v>1198</v>
      </c>
      <c r="C40" s="15"/>
      <c r="D40" s="1"/>
      <c r="E40" s="1"/>
      <c r="F40" s="1"/>
      <c r="G40" s="2">
        <v>212700.0</v>
      </c>
    </row>
    <row r="41" ht="15.75" customHeight="1">
      <c r="A41" s="1"/>
      <c r="B41" s="4" t="s">
        <v>1195</v>
      </c>
      <c r="C41" s="15"/>
      <c r="D41" s="1"/>
      <c r="E41" s="1"/>
      <c r="F41" s="1"/>
      <c r="G41" s="2">
        <v>10500.0</v>
      </c>
    </row>
    <row r="42" ht="15.75" customHeight="1">
      <c r="A42" s="1"/>
      <c r="B42" s="4" t="s">
        <v>1199</v>
      </c>
      <c r="C42" s="15"/>
      <c r="D42" s="1"/>
      <c r="E42" s="1"/>
      <c r="F42" s="1"/>
      <c r="G42" s="2">
        <v>1000.0</v>
      </c>
    </row>
    <row r="43" ht="15.75" customHeight="1">
      <c r="A43" s="1"/>
      <c r="B43" s="4" t="s">
        <v>1200</v>
      </c>
      <c r="C43" s="15"/>
      <c r="D43" s="1"/>
      <c r="E43" s="1"/>
      <c r="F43" s="1"/>
      <c r="G43" s="2">
        <v>2500.0</v>
      </c>
    </row>
    <row r="44" ht="15.75" customHeight="1">
      <c r="A44" s="1"/>
      <c r="B44" s="4" t="s">
        <v>1201</v>
      </c>
      <c r="C44" s="15"/>
      <c r="D44" s="1"/>
      <c r="E44" s="1"/>
      <c r="F44" s="1"/>
      <c r="G44" s="2">
        <v>1000.0</v>
      </c>
    </row>
    <row r="45" ht="15.75" customHeight="1">
      <c r="A45" s="1"/>
      <c r="B45" s="4" t="s">
        <v>1202</v>
      </c>
      <c r="C45" s="15"/>
      <c r="D45" s="1"/>
      <c r="E45" s="1"/>
      <c r="F45" s="1"/>
      <c r="G45" s="2">
        <v>3500.0</v>
      </c>
    </row>
    <row r="46" ht="15.75" customHeight="1">
      <c r="A46" s="1"/>
      <c r="B46" s="1" t="s">
        <v>1203</v>
      </c>
      <c r="C46" s="1"/>
      <c r="D46" s="1"/>
      <c r="E46" s="1"/>
      <c r="F46" s="1"/>
      <c r="G46" s="13">
        <v>40000.0</v>
      </c>
    </row>
    <row r="47" ht="15.75" customHeight="1">
      <c r="A47" s="1"/>
      <c r="B47" s="1" t="s">
        <v>1204</v>
      </c>
      <c r="C47" s="1"/>
      <c r="D47" s="1"/>
      <c r="E47" s="1"/>
      <c r="F47" s="1"/>
      <c r="G47" s="13">
        <v>7000.0</v>
      </c>
    </row>
    <row r="48" ht="15.75" customHeight="1">
      <c r="A48" s="1"/>
      <c r="B48" s="1" t="s">
        <v>729</v>
      </c>
      <c r="C48" s="1"/>
      <c r="D48" s="1"/>
      <c r="E48" s="1"/>
      <c r="F48" s="1"/>
      <c r="G48" s="13">
        <v>2000.0</v>
      </c>
    </row>
    <row r="49" ht="15.75" customHeight="1">
      <c r="A49" s="1"/>
      <c r="B49" s="1" t="s">
        <v>1205</v>
      </c>
      <c r="C49" s="1"/>
      <c r="D49" s="1"/>
      <c r="E49" s="1"/>
      <c r="F49" s="1"/>
      <c r="G49" s="13">
        <v>72360.0</v>
      </c>
    </row>
    <row r="50" ht="15.75" customHeight="1">
      <c r="A50" s="1"/>
      <c r="B50" s="1" t="s">
        <v>1206</v>
      </c>
      <c r="C50" s="1"/>
      <c r="D50" s="1"/>
      <c r="E50" s="1"/>
      <c r="F50" s="1"/>
      <c r="G50" s="13">
        <v>25000.0</v>
      </c>
    </row>
    <row r="51" ht="15.75" customHeight="1">
      <c r="A51" s="1"/>
      <c r="B51" s="1" t="s">
        <v>1207</v>
      </c>
      <c r="C51" s="1"/>
      <c r="D51" s="1"/>
      <c r="E51" s="1"/>
      <c r="F51" s="1"/>
      <c r="G51" s="13">
        <v>175000.0</v>
      </c>
    </row>
    <row r="52" ht="15.75" customHeight="1">
      <c r="A52" s="1"/>
      <c r="B52" s="1" t="s">
        <v>1208</v>
      </c>
      <c r="C52" s="1"/>
      <c r="D52" s="1"/>
      <c r="E52" s="1"/>
      <c r="F52" s="1"/>
      <c r="G52" s="13">
        <v>36000.0</v>
      </c>
    </row>
    <row r="53" ht="15.75" customHeight="1">
      <c r="A53" s="1"/>
      <c r="B53" s="1" t="s">
        <v>1209</v>
      </c>
      <c r="C53" s="1"/>
      <c r="D53" s="1"/>
      <c r="E53" s="1"/>
      <c r="F53" s="1"/>
      <c r="G53" s="13">
        <v>6500.0</v>
      </c>
    </row>
    <row r="54" ht="15.75" customHeight="1">
      <c r="A54" s="1"/>
      <c r="B54" s="1" t="s">
        <v>1210</v>
      </c>
      <c r="C54" s="1"/>
      <c r="D54" s="1"/>
      <c r="E54" s="1"/>
      <c r="F54" s="1"/>
      <c r="G54" s="13">
        <v>5000.0</v>
      </c>
    </row>
    <row r="55" ht="15.75" customHeight="1">
      <c r="A55" s="1"/>
      <c r="B55" s="1" t="s">
        <v>1211</v>
      </c>
      <c r="C55" s="1"/>
      <c r="D55" s="1"/>
      <c r="E55" s="1"/>
      <c r="F55" s="1"/>
      <c r="G55" s="13">
        <v>4500.0</v>
      </c>
    </row>
    <row r="56" ht="15.75" customHeight="1">
      <c r="A56" s="1"/>
      <c r="B56" s="1" t="s">
        <v>1212</v>
      </c>
      <c r="C56" s="1"/>
      <c r="D56" s="1"/>
      <c r="E56" s="1"/>
      <c r="F56" s="1"/>
      <c r="G56" s="13">
        <v>1000.0</v>
      </c>
    </row>
    <row r="57" ht="15.75" customHeight="1">
      <c r="A57" s="1"/>
      <c r="B57" s="1" t="s">
        <v>652</v>
      </c>
      <c r="C57" s="1"/>
      <c r="D57" s="1"/>
      <c r="E57" s="1"/>
      <c r="F57" s="1"/>
      <c r="G57" s="13">
        <v>8000.0</v>
      </c>
    </row>
    <row r="58" ht="15.75" customHeight="1">
      <c r="A58" s="1"/>
      <c r="B58" s="1" t="s">
        <v>1213</v>
      </c>
      <c r="C58" s="1"/>
      <c r="D58" s="1"/>
      <c r="E58" s="1"/>
      <c r="F58" s="1"/>
      <c r="G58" s="13">
        <v>50000.0</v>
      </c>
    </row>
    <row r="59" ht="15.75" customHeight="1">
      <c r="A59" s="1"/>
      <c r="B59" s="1" t="s">
        <v>1214</v>
      </c>
      <c r="C59" s="1"/>
      <c r="D59" s="1"/>
      <c r="E59" s="1"/>
      <c r="F59" s="1"/>
      <c r="G59" s="13">
        <v>15000.0</v>
      </c>
    </row>
    <row r="60" ht="15.75" customHeight="1">
      <c r="A60" s="1"/>
      <c r="B60" s="1" t="s">
        <v>1215</v>
      </c>
      <c r="C60" s="1"/>
      <c r="D60" s="1"/>
      <c r="E60" s="1"/>
      <c r="F60" s="1"/>
      <c r="G60" s="13">
        <v>5000.0</v>
      </c>
    </row>
    <row r="61" ht="15.75" customHeight="1">
      <c r="A61" s="1"/>
      <c r="B61" s="1" t="s">
        <v>1204</v>
      </c>
      <c r="C61" s="1"/>
      <c r="D61" s="1"/>
      <c r="E61" s="1"/>
      <c r="F61" s="1"/>
      <c r="G61" s="13">
        <v>7000.0</v>
      </c>
    </row>
    <row r="62" ht="15.75" customHeight="1">
      <c r="A62" s="1"/>
      <c r="B62" s="1" t="s">
        <v>203</v>
      </c>
      <c r="C62" s="1"/>
      <c r="D62" s="1"/>
      <c r="E62" s="1"/>
      <c r="F62" s="1"/>
      <c r="G62" s="13">
        <v>5000.0</v>
      </c>
    </row>
    <row r="63" ht="15.75" customHeight="1">
      <c r="A63" s="1"/>
      <c r="B63" s="1" t="s">
        <v>1216</v>
      </c>
      <c r="C63" s="1"/>
      <c r="D63" s="1"/>
      <c r="E63" s="1"/>
      <c r="F63" s="1"/>
      <c r="G63" s="13">
        <v>2000.0</v>
      </c>
    </row>
    <row r="64" ht="15.75" customHeight="1">
      <c r="A64" s="1"/>
      <c r="B64" s="1" t="s">
        <v>1217</v>
      </c>
      <c r="C64" s="1"/>
      <c r="D64" s="1"/>
      <c r="E64" s="1"/>
      <c r="F64" s="1"/>
      <c r="G64" s="13">
        <v>115585.0</v>
      </c>
    </row>
    <row r="65" ht="15.75" customHeight="1">
      <c r="A65" s="1"/>
      <c r="B65" s="43" t="s">
        <v>43</v>
      </c>
      <c r="C65" s="1"/>
      <c r="D65" s="1"/>
      <c r="E65" s="1"/>
      <c r="F65" s="1"/>
      <c r="G65" s="13">
        <f>SUM(G22:G64)</f>
        <v>2042895</v>
      </c>
    </row>
    <row r="66" ht="15.75" customHeight="1">
      <c r="A66" s="1"/>
      <c r="B66" s="19" t="s">
        <v>45</v>
      </c>
      <c r="C66" s="20"/>
      <c r="D66" s="20"/>
      <c r="E66" s="20"/>
      <c r="F66" s="20"/>
      <c r="G66" s="64">
        <f>SUM(G20+G65)</f>
        <v>2584895</v>
      </c>
    </row>
    <row r="67" ht="15.75" customHeight="1">
      <c r="A67" s="1"/>
      <c r="B67" s="4" t="s">
        <v>46</v>
      </c>
      <c r="C67" s="1"/>
      <c r="D67" s="1"/>
      <c r="E67" s="1"/>
      <c r="F67" s="1"/>
      <c r="G67" s="2"/>
    </row>
    <row r="68" ht="15.75" customHeight="1">
      <c r="A68" s="35" t="s">
        <v>1218</v>
      </c>
      <c r="B68" s="36"/>
      <c r="C68" s="37"/>
      <c r="D68" s="37"/>
      <c r="E68" s="37"/>
      <c r="F68" s="37"/>
      <c r="G68" s="38">
        <f>(G11-G66)</f>
        <v>525405</v>
      </c>
    </row>
    <row r="69" ht="15.75" customHeight="1">
      <c r="A69" s="22" t="s">
        <v>254</v>
      </c>
      <c r="B69" s="1" t="s">
        <v>255</v>
      </c>
      <c r="C69" s="1"/>
      <c r="D69" s="1"/>
      <c r="E69" s="1"/>
      <c r="F69" s="1"/>
      <c r="G69" s="2"/>
    </row>
    <row r="70" ht="15.75" customHeight="1">
      <c r="A70" s="22"/>
      <c r="B70" s="1"/>
      <c r="C70" s="1"/>
      <c r="D70" s="1"/>
      <c r="E70" s="1"/>
      <c r="F70" s="1"/>
      <c r="G70" s="2"/>
    </row>
    <row r="71" ht="15.75" customHeight="1">
      <c r="A71" s="1"/>
      <c r="B71" s="27" t="s">
        <v>51</v>
      </c>
      <c r="C71" s="27"/>
      <c r="D71" s="27"/>
      <c r="E71" s="27"/>
      <c r="F71" s="27"/>
      <c r="G71" s="2">
        <v>0.0</v>
      </c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44"/>
      <c r="B73" s="45" t="s">
        <v>1219</v>
      </c>
      <c r="C73" s="46"/>
      <c r="D73" s="46"/>
      <c r="E73" s="46"/>
      <c r="F73" s="46"/>
      <c r="G73" s="65">
        <f>SUM(18692101+539405)</f>
        <v>19231506</v>
      </c>
    </row>
    <row r="74" ht="15.75" customHeight="1">
      <c r="A74" s="1"/>
      <c r="B74" s="1"/>
      <c r="C74" s="1"/>
      <c r="D74" s="1"/>
      <c r="E74" s="1"/>
      <c r="F74" s="1"/>
      <c r="G74" s="2"/>
    </row>
    <row r="75" ht="15.75" customHeight="1">
      <c r="A75" s="1"/>
      <c r="B75" s="32" t="s">
        <v>1220</v>
      </c>
    </row>
    <row r="76" ht="15.75" customHeight="1">
      <c r="A76" s="1"/>
      <c r="B76" s="1"/>
      <c r="C76" s="1" t="s">
        <v>1115</v>
      </c>
      <c r="D76" s="1"/>
      <c r="E76" s="1"/>
      <c r="F76" s="1"/>
      <c r="G76" s="2">
        <v>7200.0</v>
      </c>
    </row>
    <row r="77" ht="15.75" customHeight="1">
      <c r="A77" s="1"/>
      <c r="B77" s="1"/>
      <c r="C77" s="1" t="s">
        <v>1221</v>
      </c>
      <c r="D77" s="1"/>
      <c r="E77" s="1"/>
      <c r="F77" s="1"/>
      <c r="G77" s="2">
        <v>582700.0</v>
      </c>
    </row>
    <row r="78" ht="15.75" customHeight="1">
      <c r="A78" s="1"/>
      <c r="B78" s="1"/>
      <c r="C78" s="43" t="s">
        <v>115</v>
      </c>
      <c r="D78" s="1"/>
      <c r="E78" s="1"/>
      <c r="F78" s="1"/>
      <c r="G78" s="2">
        <f>SUM(G76:G77)</f>
        <v>589900</v>
      </c>
    </row>
    <row r="79" ht="15.75" customHeight="1">
      <c r="A79" s="1"/>
      <c r="B79" s="1"/>
      <c r="C79" s="43"/>
      <c r="D79" s="1"/>
      <c r="E79" s="1"/>
      <c r="F79" s="1"/>
      <c r="G79" s="2"/>
    </row>
    <row r="80" ht="15.75" customHeight="1">
      <c r="A80" s="1"/>
      <c r="B80" s="1" t="s">
        <v>1175</v>
      </c>
      <c r="C80" s="43"/>
      <c r="D80" s="1"/>
      <c r="E80" s="1"/>
      <c r="F80" s="1"/>
      <c r="G80" s="2"/>
    </row>
    <row r="81" ht="15.75" customHeight="1">
      <c r="A81" s="1"/>
      <c r="B81" s="1"/>
      <c r="C81" s="43"/>
      <c r="D81" s="1"/>
      <c r="E81" s="1"/>
      <c r="F81" s="1"/>
      <c r="G81" s="1"/>
    </row>
    <row r="82" ht="15.75" customHeight="1">
      <c r="A82" s="1"/>
      <c r="B82" s="1" t="s">
        <v>1118</v>
      </c>
      <c r="C82" s="43"/>
      <c r="D82" s="1"/>
      <c r="E82" s="1"/>
      <c r="F82" s="1"/>
      <c r="G82" s="1"/>
    </row>
    <row r="83" ht="15.75" customHeight="1">
      <c r="A83" s="1"/>
      <c r="B83" s="1"/>
      <c r="C83" s="43"/>
      <c r="D83" s="1"/>
      <c r="E83" s="1"/>
      <c r="F83" s="1"/>
      <c r="G83" s="1"/>
    </row>
    <row r="84" ht="15.75" customHeight="1">
      <c r="A84" s="1"/>
      <c r="B84" s="33" t="s">
        <v>1222</v>
      </c>
      <c r="C84" s="1"/>
      <c r="D84" s="1"/>
      <c r="E84" s="1"/>
      <c r="F84" s="1"/>
      <c r="G84" s="2"/>
    </row>
    <row r="85" ht="15.75" customHeight="1">
      <c r="A85" s="1"/>
      <c r="B85" s="4"/>
      <c r="C85" s="1"/>
      <c r="D85" s="1"/>
      <c r="E85" s="1"/>
      <c r="F85" s="1"/>
      <c r="G85" s="2"/>
    </row>
    <row r="86" ht="15.75" customHeight="1">
      <c r="A86" s="1"/>
      <c r="B86" s="55" t="s">
        <v>531</v>
      </c>
      <c r="C86" s="56"/>
      <c r="D86" s="56"/>
      <c r="E86" s="56"/>
      <c r="F86" s="1"/>
      <c r="G86" s="2"/>
    </row>
    <row r="87" ht="15.75" customHeight="1">
      <c r="A87" s="1"/>
      <c r="B87" s="55"/>
      <c r="C87" s="56"/>
      <c r="D87" s="56"/>
      <c r="E87" s="56"/>
      <c r="F87" s="1"/>
      <c r="G87" s="2"/>
    </row>
    <row r="88" ht="15.75" customHeight="1">
      <c r="A88" s="1"/>
      <c r="B88" s="55" t="s">
        <v>1223</v>
      </c>
      <c r="C88" s="56"/>
      <c r="D88" s="56"/>
      <c r="E88" s="56"/>
      <c r="F88" s="1"/>
      <c r="G88" s="2"/>
    </row>
    <row r="89" ht="15.75" customHeight="1">
      <c r="A89" s="1"/>
      <c r="B89" s="55"/>
      <c r="C89" s="56"/>
      <c r="D89" s="56"/>
      <c r="E89" s="56"/>
      <c r="F89" s="1"/>
      <c r="G89" s="2"/>
    </row>
    <row r="90" ht="15.75" customHeight="1">
      <c r="A90" s="1"/>
      <c r="B90" s="55" t="s">
        <v>681</v>
      </c>
      <c r="F90" s="1"/>
      <c r="G90" s="2"/>
    </row>
    <row r="91" ht="15.75" customHeight="1">
      <c r="A91" s="1"/>
      <c r="B91" s="55"/>
      <c r="C91" s="55"/>
      <c r="D91" s="55"/>
      <c r="E91" s="55"/>
      <c r="F91" s="1"/>
      <c r="G91" s="2"/>
    </row>
    <row r="92" ht="15.75" customHeight="1">
      <c r="A92" s="1"/>
      <c r="B92" s="55" t="s">
        <v>1224</v>
      </c>
      <c r="C92" s="56"/>
      <c r="D92" s="57"/>
      <c r="E92" s="56"/>
      <c r="F92" s="1"/>
      <c r="G92" s="2"/>
    </row>
    <row r="93" ht="15.75" customHeight="1">
      <c r="A93" s="1"/>
      <c r="B93" s="55"/>
      <c r="C93" s="56"/>
      <c r="D93" s="57"/>
      <c r="E93" s="56"/>
      <c r="F93" s="1"/>
      <c r="G93" s="2"/>
    </row>
    <row r="94" ht="15.75" customHeight="1">
      <c r="A94" s="1"/>
      <c r="B94" s="55" t="s">
        <v>535</v>
      </c>
      <c r="C94" s="56"/>
      <c r="D94" s="57"/>
      <c r="E94" s="56"/>
      <c r="F94" s="1"/>
      <c r="G94" s="2"/>
    </row>
    <row r="95" ht="15.75" customHeight="1">
      <c r="A95" s="1"/>
      <c r="B95" s="55"/>
      <c r="C95" s="56"/>
      <c r="D95" s="57"/>
      <c r="E95" s="56"/>
      <c r="F95" s="1"/>
      <c r="G95" s="2"/>
    </row>
    <row r="96" ht="15.75" customHeight="1">
      <c r="B96" s="55" t="s">
        <v>536</v>
      </c>
      <c r="C96" s="56"/>
      <c r="D96" s="57"/>
      <c r="E96" s="57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75:G75"/>
    <mergeCell ref="B90:E90"/>
  </mergeCells>
  <printOptions/>
  <pageMargins bottom="0.75" footer="0.0" header="0.0" left="0.7" right="0.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721</v>
      </c>
      <c r="B1" s="3" t="s">
        <v>1225</v>
      </c>
      <c r="C1" s="1"/>
      <c r="D1" s="1"/>
      <c r="E1" s="1"/>
      <c r="F1" s="1"/>
      <c r="G1" s="2"/>
    </row>
    <row r="2">
      <c r="A2" s="1"/>
      <c r="B2" s="63" t="s">
        <v>1226</v>
      </c>
      <c r="G2" s="65">
        <f>SUM(18692101+539405)</f>
        <v>19231506</v>
      </c>
    </row>
    <row r="3">
      <c r="A3" s="1"/>
      <c r="G3" s="2"/>
    </row>
    <row r="4">
      <c r="A4" s="6" t="s">
        <v>1227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281100.0</v>
      </c>
      <c r="G5" s="7">
        <v>108000.0</v>
      </c>
    </row>
    <row r="6">
      <c r="A6" s="1"/>
      <c r="B6" s="4" t="s">
        <v>64</v>
      </c>
      <c r="C6" s="1"/>
      <c r="D6" s="1"/>
      <c r="E6" s="1"/>
      <c r="F6" s="2">
        <v>635900.0</v>
      </c>
      <c r="G6" s="7">
        <v>194000.0</v>
      </c>
    </row>
    <row r="7">
      <c r="A7" s="1"/>
      <c r="B7" s="4" t="s">
        <v>65</v>
      </c>
      <c r="C7" s="1"/>
      <c r="D7" s="1"/>
      <c r="E7" s="1"/>
      <c r="F7" s="2">
        <v>696900.0</v>
      </c>
      <c r="G7" s="7">
        <v>248000.0</v>
      </c>
    </row>
    <row r="8">
      <c r="A8" s="1"/>
      <c r="B8" s="4" t="s">
        <v>66</v>
      </c>
      <c r="C8" s="1"/>
      <c r="D8" s="1"/>
      <c r="E8" s="1"/>
      <c r="F8" s="2">
        <v>517500.0</v>
      </c>
      <c r="G8" s="8">
        <v>255000.0</v>
      </c>
    </row>
    <row r="9">
      <c r="A9" s="1"/>
      <c r="B9" s="4" t="s">
        <v>67</v>
      </c>
      <c r="C9" s="1"/>
      <c r="D9" s="49" t="s">
        <v>8</v>
      </c>
      <c r="E9" s="49"/>
      <c r="F9" s="62">
        <v>553100.0</v>
      </c>
      <c r="G9" s="7">
        <v>250000.0</v>
      </c>
    </row>
    <row r="10">
      <c r="A10" s="1"/>
      <c r="B10" s="4"/>
      <c r="C10" s="50" t="s">
        <v>405</v>
      </c>
      <c r="E10" s="4"/>
      <c r="F10" s="2">
        <f t="shared" ref="F10:G10" si="1">SUM(F5:F9)</f>
        <v>2684500</v>
      </c>
      <c r="G10" s="7">
        <f t="shared" si="1"/>
        <v>1055000</v>
      </c>
    </row>
    <row r="11">
      <c r="A11" s="1"/>
      <c r="B11" s="51" t="s">
        <v>9</v>
      </c>
      <c r="C11" s="52"/>
      <c r="D11" s="52"/>
      <c r="E11" s="52"/>
      <c r="F11" s="53"/>
      <c r="G11" s="11">
        <f>SUM(F10:G10)</f>
        <v>3739500</v>
      </c>
    </row>
    <row r="12">
      <c r="A12" s="6" t="s">
        <v>1228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1229</v>
      </c>
      <c r="C14" s="1"/>
      <c r="D14" s="1"/>
      <c r="E14" s="1"/>
      <c r="F14" s="1"/>
      <c r="G14" s="2">
        <v>187200.0</v>
      </c>
    </row>
    <row r="15">
      <c r="A15" s="1"/>
      <c r="B15" s="4" t="s">
        <v>13</v>
      </c>
      <c r="C15" s="1"/>
      <c r="D15" s="1"/>
      <c r="E15" s="1"/>
      <c r="F15" s="1"/>
      <c r="G15" s="13">
        <v>100000.0</v>
      </c>
    </row>
    <row r="16">
      <c r="A16" s="1"/>
      <c r="B16" s="4" t="s">
        <v>14</v>
      </c>
      <c r="C16" s="1"/>
      <c r="D16" s="1"/>
      <c r="E16" s="1"/>
      <c r="F16" s="1"/>
      <c r="G16" s="13">
        <v>100000.0</v>
      </c>
    </row>
    <row r="17">
      <c r="A17" s="1"/>
      <c r="B17" s="4" t="s">
        <v>15</v>
      </c>
      <c r="C17" s="1"/>
      <c r="D17" s="1"/>
      <c r="E17" s="1"/>
      <c r="F17" s="1"/>
      <c r="G17" s="2">
        <v>80000.0</v>
      </c>
    </row>
    <row r="18">
      <c r="A18" s="1"/>
      <c r="B18" s="4" t="s">
        <v>16</v>
      </c>
      <c r="C18" s="1"/>
      <c r="D18" s="1"/>
      <c r="E18" s="1"/>
      <c r="F18" s="1"/>
      <c r="G18" s="2">
        <v>60000.0</v>
      </c>
    </row>
    <row r="19">
      <c r="A19" s="1"/>
      <c r="B19" s="4" t="s">
        <v>17</v>
      </c>
      <c r="C19" s="1"/>
      <c r="D19" s="1"/>
      <c r="E19" s="1"/>
      <c r="F19" s="1"/>
      <c r="G19" s="2">
        <v>100000.0</v>
      </c>
    </row>
    <row r="20">
      <c r="A20" s="1"/>
      <c r="B20" s="9" t="s">
        <v>18</v>
      </c>
      <c r="C20" s="10"/>
      <c r="D20" s="10"/>
      <c r="E20" s="10"/>
      <c r="F20" s="10"/>
      <c r="G20" s="14">
        <f>SUM(G14:G19)</f>
        <v>627200</v>
      </c>
    </row>
    <row r="21" ht="15.75" customHeight="1">
      <c r="A21" s="1"/>
      <c r="B21" s="12" t="s">
        <v>19</v>
      </c>
      <c r="C21" s="15"/>
      <c r="D21" s="1"/>
      <c r="E21" s="1"/>
      <c r="F21" s="1"/>
      <c r="G21" s="2"/>
    </row>
    <row r="22" ht="15.75" customHeight="1">
      <c r="A22" s="1"/>
      <c r="B22" s="4" t="s">
        <v>1230</v>
      </c>
      <c r="C22" s="15"/>
      <c r="D22" s="1"/>
      <c r="E22" s="1"/>
      <c r="F22" s="1"/>
      <c r="G22" s="2">
        <v>25795.0</v>
      </c>
    </row>
    <row r="23" ht="15.75" customHeight="1">
      <c r="A23" s="1"/>
      <c r="B23" s="4" t="s">
        <v>1231</v>
      </c>
      <c r="C23" s="15"/>
      <c r="D23" s="1"/>
      <c r="E23" s="1"/>
      <c r="F23" s="1"/>
      <c r="G23" s="2">
        <v>10000.0</v>
      </c>
    </row>
    <row r="24" ht="15.75" customHeight="1">
      <c r="A24" s="1"/>
      <c r="B24" s="4" t="s">
        <v>1232</v>
      </c>
      <c r="C24" s="15"/>
      <c r="D24" s="1"/>
      <c r="E24" s="1"/>
      <c r="F24" s="1"/>
      <c r="G24" s="2">
        <v>5000.0</v>
      </c>
    </row>
    <row r="25" ht="15.75" customHeight="1">
      <c r="A25" s="1"/>
      <c r="B25" s="4" t="s">
        <v>1233</v>
      </c>
      <c r="C25" s="15"/>
      <c r="D25" s="1"/>
      <c r="E25" s="1"/>
      <c r="F25" s="1"/>
      <c r="G25" s="2">
        <v>65250.0</v>
      </c>
    </row>
    <row r="26" ht="15.75" customHeight="1">
      <c r="A26" s="1"/>
      <c r="B26" s="4" t="s">
        <v>1234</v>
      </c>
      <c r="C26" s="15"/>
      <c r="D26" s="1"/>
      <c r="E26" s="1"/>
      <c r="F26" s="1"/>
      <c r="G26" s="2">
        <v>34575.0</v>
      </c>
    </row>
    <row r="27" ht="15.75" customHeight="1">
      <c r="A27" s="1"/>
      <c r="B27" s="4" t="s">
        <v>1235</v>
      </c>
      <c r="C27" s="15"/>
      <c r="D27" s="1"/>
      <c r="E27" s="1"/>
      <c r="F27" s="1"/>
      <c r="G27" s="2">
        <v>12000.0</v>
      </c>
    </row>
    <row r="28" ht="15.75" customHeight="1">
      <c r="A28" s="1"/>
      <c r="B28" s="4" t="s">
        <v>1236</v>
      </c>
      <c r="C28" s="15"/>
      <c r="D28" s="1"/>
      <c r="E28" s="1"/>
      <c r="F28" s="1"/>
      <c r="G28" s="2">
        <v>15000.0</v>
      </c>
    </row>
    <row r="29" ht="15.75" customHeight="1">
      <c r="A29" s="1"/>
      <c r="B29" s="4" t="s">
        <v>1237</v>
      </c>
      <c r="C29" s="15"/>
      <c r="D29" s="1"/>
      <c r="E29" s="1"/>
      <c r="F29" s="1"/>
      <c r="G29" s="2">
        <v>2000.0</v>
      </c>
    </row>
    <row r="30" ht="15.75" customHeight="1">
      <c r="A30" s="1"/>
      <c r="B30" s="4" t="s">
        <v>1238</v>
      </c>
      <c r="C30" s="15"/>
      <c r="D30" s="1"/>
      <c r="E30" s="1"/>
      <c r="F30" s="1"/>
      <c r="G30" s="2">
        <v>220000.0</v>
      </c>
    </row>
    <row r="31" ht="15.75" customHeight="1">
      <c r="A31" s="1"/>
      <c r="B31" s="4" t="s">
        <v>1239</v>
      </c>
      <c r="C31" s="15"/>
      <c r="D31" s="1"/>
      <c r="E31" s="1"/>
      <c r="F31" s="1"/>
      <c r="G31" s="2">
        <v>17281.0</v>
      </c>
    </row>
    <row r="32" ht="15.75" customHeight="1">
      <c r="A32" s="1"/>
      <c r="B32" s="4" t="s">
        <v>1235</v>
      </c>
      <c r="C32" s="15"/>
      <c r="D32" s="1"/>
      <c r="E32" s="1"/>
      <c r="F32" s="1"/>
      <c r="G32" s="2">
        <v>6000.0</v>
      </c>
    </row>
    <row r="33" ht="15.75" customHeight="1">
      <c r="A33" s="1"/>
      <c r="B33" s="4" t="s">
        <v>1240</v>
      </c>
      <c r="C33" s="15"/>
      <c r="D33" s="1"/>
      <c r="E33" s="1"/>
      <c r="F33" s="1"/>
      <c r="G33" s="2">
        <v>3491.0</v>
      </c>
    </row>
    <row r="34" ht="15.75" customHeight="1">
      <c r="A34" s="1"/>
      <c r="B34" s="4" t="s">
        <v>1241</v>
      </c>
      <c r="C34" s="15"/>
      <c r="D34" s="1"/>
      <c r="E34" s="1"/>
      <c r="F34" s="1"/>
      <c r="G34" s="2">
        <v>6000.0</v>
      </c>
    </row>
    <row r="35" ht="15.75" customHeight="1">
      <c r="A35" s="1"/>
      <c r="B35" s="4" t="s">
        <v>1242</v>
      </c>
      <c r="C35" s="15"/>
      <c r="D35" s="1"/>
      <c r="E35" s="1"/>
      <c r="F35" s="1"/>
      <c r="G35" s="2">
        <v>94000.0</v>
      </c>
    </row>
    <row r="36" ht="15.75" customHeight="1">
      <c r="A36" s="1"/>
      <c r="B36" s="4" t="s">
        <v>1243</v>
      </c>
      <c r="C36" s="15"/>
      <c r="D36" s="1"/>
      <c r="E36" s="1"/>
      <c r="F36" s="1"/>
      <c r="G36" s="2">
        <v>105000.0</v>
      </c>
    </row>
    <row r="37" ht="15.75" customHeight="1">
      <c r="A37" s="1"/>
      <c r="B37" s="4" t="s">
        <v>1244</v>
      </c>
      <c r="C37" s="15"/>
      <c r="D37" s="1"/>
      <c r="E37" s="1"/>
      <c r="F37" s="1"/>
      <c r="G37" s="2">
        <v>130500.0</v>
      </c>
    </row>
    <row r="38" ht="15.75" customHeight="1">
      <c r="A38" s="1"/>
      <c r="B38" s="4" t="s">
        <v>234</v>
      </c>
      <c r="C38" s="15"/>
      <c r="D38" s="1"/>
      <c r="E38" s="1"/>
      <c r="F38" s="1"/>
      <c r="G38" s="2">
        <v>100000.0</v>
      </c>
    </row>
    <row r="39" ht="15.75" customHeight="1">
      <c r="A39" s="1"/>
      <c r="B39" s="4" t="s">
        <v>1245</v>
      </c>
      <c r="C39" s="15"/>
      <c r="D39" s="1"/>
      <c r="E39" s="1"/>
      <c r="F39" s="1"/>
      <c r="G39" s="2">
        <v>2000.0</v>
      </c>
    </row>
    <row r="40" ht="15.75" customHeight="1">
      <c r="A40" s="1"/>
      <c r="B40" s="4" t="s">
        <v>1246</v>
      </c>
      <c r="C40" s="15"/>
      <c r="D40" s="1"/>
      <c r="E40" s="1"/>
      <c r="F40" s="1"/>
      <c r="G40" s="2">
        <v>12000.0</v>
      </c>
    </row>
    <row r="41" ht="15.75" customHeight="1">
      <c r="A41" s="1"/>
      <c r="B41" s="4" t="s">
        <v>1247</v>
      </c>
      <c r="C41" s="15"/>
      <c r="D41" s="1"/>
      <c r="E41" s="1"/>
      <c r="F41" s="1"/>
      <c r="G41" s="2">
        <v>237500.0</v>
      </c>
    </row>
    <row r="42" ht="15.75" customHeight="1">
      <c r="A42" s="1"/>
      <c r="B42" s="4" t="s">
        <v>1248</v>
      </c>
      <c r="C42" s="15"/>
      <c r="D42" s="1"/>
      <c r="E42" s="1"/>
      <c r="F42" s="1"/>
      <c r="G42" s="2">
        <v>15000.0</v>
      </c>
    </row>
    <row r="43" ht="15.75" customHeight="1">
      <c r="A43" s="1"/>
      <c r="B43" s="4" t="s">
        <v>1249</v>
      </c>
      <c r="C43" s="15"/>
      <c r="D43" s="1"/>
      <c r="E43" s="1"/>
      <c r="F43" s="1"/>
      <c r="G43" s="2">
        <v>10000.0</v>
      </c>
    </row>
    <row r="44" ht="15.75" customHeight="1">
      <c r="A44" s="1"/>
      <c r="B44" s="4" t="s">
        <v>1250</v>
      </c>
      <c r="C44" s="15"/>
      <c r="D44" s="1"/>
      <c r="E44" s="1"/>
      <c r="F44" s="1"/>
      <c r="G44" s="2">
        <v>133700.0</v>
      </c>
    </row>
    <row r="45" ht="15.75" customHeight="1">
      <c r="A45" s="1"/>
      <c r="B45" s="4" t="s">
        <v>1251</v>
      </c>
      <c r="C45" s="15"/>
      <c r="D45" s="1"/>
      <c r="E45" s="1"/>
      <c r="F45" s="1"/>
      <c r="G45" s="2">
        <v>6000.0</v>
      </c>
    </row>
    <row r="46" ht="15.75" customHeight="1">
      <c r="A46" s="1"/>
      <c r="B46" s="4" t="s">
        <v>1252</v>
      </c>
      <c r="C46" s="15"/>
      <c r="D46" s="1"/>
      <c r="E46" s="1"/>
      <c r="F46" s="1"/>
      <c r="G46" s="2">
        <v>27500.0</v>
      </c>
    </row>
    <row r="47" ht="15.75" customHeight="1">
      <c r="A47" s="1"/>
      <c r="B47" s="1" t="s">
        <v>1253</v>
      </c>
      <c r="C47" s="1"/>
      <c r="D47" s="1"/>
      <c r="E47" s="1"/>
      <c r="F47" s="1"/>
      <c r="G47" s="13">
        <v>30000.0</v>
      </c>
    </row>
    <row r="48" ht="15.75" customHeight="1">
      <c r="A48" s="1"/>
      <c r="B48" s="1" t="s">
        <v>1254</v>
      </c>
      <c r="C48" s="1"/>
      <c r="D48" s="1"/>
      <c r="E48" s="1"/>
      <c r="F48" s="1"/>
      <c r="G48" s="13">
        <v>2000.0</v>
      </c>
    </row>
    <row r="49" ht="15.75" customHeight="1">
      <c r="A49" s="1"/>
      <c r="B49" s="1" t="s">
        <v>1255</v>
      </c>
      <c r="C49" s="1"/>
      <c r="D49" s="1"/>
      <c r="E49" s="1"/>
      <c r="F49" s="1"/>
      <c r="G49" s="13">
        <v>40000.0</v>
      </c>
    </row>
    <row r="50" ht="15.75" customHeight="1">
      <c r="A50" s="1"/>
      <c r="B50" s="1" t="s">
        <v>1256</v>
      </c>
      <c r="C50" s="1"/>
      <c r="D50" s="1"/>
      <c r="E50" s="1"/>
      <c r="F50" s="1"/>
      <c r="G50" s="13">
        <v>24000.0</v>
      </c>
    </row>
    <row r="51" ht="15.75" customHeight="1">
      <c r="A51" s="1"/>
      <c r="B51" s="1" t="s">
        <v>1257</v>
      </c>
      <c r="C51" s="1"/>
      <c r="D51" s="1"/>
      <c r="E51" s="1"/>
      <c r="F51" s="1"/>
      <c r="G51" s="13">
        <v>10000.0</v>
      </c>
    </row>
    <row r="52" ht="15.75" customHeight="1">
      <c r="A52" s="1"/>
      <c r="B52" s="1" t="s">
        <v>1258</v>
      </c>
      <c r="C52" s="1"/>
      <c r="D52" s="1"/>
      <c r="E52" s="1"/>
      <c r="F52" s="1"/>
      <c r="G52" s="13">
        <v>2000.0</v>
      </c>
    </row>
    <row r="53" ht="15.75" customHeight="1">
      <c r="A53" s="1"/>
      <c r="B53" s="1" t="s">
        <v>1259</v>
      </c>
      <c r="C53" s="1"/>
      <c r="D53" s="1"/>
      <c r="E53" s="1"/>
      <c r="F53" s="1"/>
      <c r="G53" s="13">
        <v>5000.0</v>
      </c>
    </row>
    <row r="54" ht="15.75" customHeight="1">
      <c r="A54" s="1"/>
      <c r="B54" s="1" t="s">
        <v>1260</v>
      </c>
      <c r="C54" s="1"/>
      <c r="D54" s="1"/>
      <c r="E54" s="1"/>
      <c r="F54" s="1"/>
      <c r="G54" s="13">
        <v>10000.0</v>
      </c>
    </row>
    <row r="55" ht="15.75" customHeight="1">
      <c r="A55" s="1"/>
      <c r="B55" s="1" t="s">
        <v>1261</v>
      </c>
      <c r="C55" s="1"/>
      <c r="D55" s="1"/>
      <c r="E55" s="1"/>
      <c r="F55" s="1"/>
      <c r="G55" s="13">
        <v>2000.0</v>
      </c>
    </row>
    <row r="56" ht="15.75" customHeight="1">
      <c r="A56" s="1"/>
      <c r="B56" s="1" t="s">
        <v>1262</v>
      </c>
      <c r="C56" s="1"/>
      <c r="D56" s="1"/>
      <c r="E56" s="1"/>
      <c r="F56" s="1"/>
      <c r="G56" s="13">
        <v>36000.0</v>
      </c>
    </row>
    <row r="57" ht="15.75" customHeight="1">
      <c r="A57" s="1"/>
      <c r="B57" s="1" t="s">
        <v>1263</v>
      </c>
      <c r="C57" s="1"/>
      <c r="D57" s="1"/>
      <c r="E57" s="1"/>
      <c r="F57" s="1"/>
      <c r="G57" s="13">
        <v>237500.0</v>
      </c>
    </row>
    <row r="58" ht="15.75" customHeight="1">
      <c r="A58" s="1"/>
      <c r="B58" s="1" t="s">
        <v>1264</v>
      </c>
      <c r="C58" s="1"/>
      <c r="D58" s="1"/>
      <c r="E58" s="1"/>
      <c r="F58" s="1"/>
      <c r="G58" s="13">
        <v>20000.0</v>
      </c>
    </row>
    <row r="59" ht="15.75" customHeight="1">
      <c r="A59" s="1"/>
      <c r="B59" s="1" t="s">
        <v>1265</v>
      </c>
      <c r="C59" s="1"/>
      <c r="D59" s="1"/>
      <c r="E59" s="1"/>
      <c r="F59" s="1"/>
      <c r="G59" s="13">
        <v>4800.0</v>
      </c>
    </row>
    <row r="60" ht="15.75" customHeight="1">
      <c r="A60" s="1"/>
      <c r="B60" s="1" t="s">
        <v>1266</v>
      </c>
      <c r="C60" s="1"/>
      <c r="D60" s="1"/>
      <c r="E60" s="1"/>
      <c r="F60" s="1"/>
      <c r="G60" s="13">
        <v>40000.0</v>
      </c>
    </row>
    <row r="61" ht="15.75" customHeight="1">
      <c r="A61" s="1"/>
      <c r="B61" s="1"/>
      <c r="C61" s="1"/>
      <c r="D61" s="1"/>
      <c r="E61" s="1"/>
      <c r="F61" s="1"/>
      <c r="G61" s="13"/>
    </row>
    <row r="62" ht="15.75" customHeight="1">
      <c r="A62" s="1"/>
      <c r="B62" s="43" t="s">
        <v>43</v>
      </c>
      <c r="C62" s="1"/>
      <c r="D62" s="1"/>
      <c r="E62" s="1"/>
      <c r="F62" s="1"/>
      <c r="G62" s="13">
        <f>SUM(G22:G61)</f>
        <v>1758892</v>
      </c>
    </row>
    <row r="63" ht="15.75" customHeight="1">
      <c r="A63" s="1"/>
      <c r="B63" s="19" t="s">
        <v>45</v>
      </c>
      <c r="C63" s="20"/>
      <c r="D63" s="20"/>
      <c r="E63" s="20"/>
      <c r="F63" s="20"/>
      <c r="G63" s="64">
        <f>SUM(G20+G62)</f>
        <v>2386092</v>
      </c>
    </row>
    <row r="64" ht="15.75" customHeight="1">
      <c r="A64" s="1"/>
      <c r="B64" s="4" t="s">
        <v>46</v>
      </c>
      <c r="C64" s="1"/>
      <c r="D64" s="1"/>
      <c r="E64" s="1"/>
      <c r="F64" s="1"/>
      <c r="G64" s="2"/>
    </row>
    <row r="65" ht="15.75" customHeight="1">
      <c r="A65" s="35" t="s">
        <v>1267</v>
      </c>
      <c r="B65" s="36"/>
      <c r="C65" s="37"/>
      <c r="D65" s="37"/>
      <c r="E65" s="37"/>
      <c r="F65" s="37"/>
      <c r="G65" s="38">
        <f>(G11-G63)</f>
        <v>1353408</v>
      </c>
    </row>
    <row r="66" ht="15.75" customHeight="1">
      <c r="A66" s="22" t="s">
        <v>254</v>
      </c>
      <c r="B66" s="1" t="s">
        <v>255</v>
      </c>
      <c r="C66" s="1"/>
      <c r="D66" s="1"/>
      <c r="E66" s="1"/>
      <c r="F66" s="1"/>
      <c r="G66" s="2"/>
    </row>
    <row r="67" ht="15.75" customHeight="1">
      <c r="A67" s="22"/>
      <c r="B67" s="1"/>
      <c r="C67" s="1"/>
      <c r="D67" s="1"/>
      <c r="E67" s="1"/>
      <c r="F67" s="1"/>
      <c r="G67" s="2"/>
    </row>
    <row r="68" ht="15.75" customHeight="1">
      <c r="A68" s="1"/>
      <c r="B68" s="27" t="s">
        <v>51</v>
      </c>
      <c r="C68" s="27"/>
      <c r="D68" s="27"/>
      <c r="E68" s="27"/>
      <c r="F68" s="27"/>
      <c r="G68" s="2">
        <v>0.0</v>
      </c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44"/>
      <c r="B70" s="45" t="s">
        <v>1268</v>
      </c>
      <c r="C70" s="46"/>
      <c r="D70" s="46"/>
      <c r="E70" s="46"/>
      <c r="F70" s="46"/>
      <c r="G70" s="65">
        <f>G2+G65-G68</f>
        <v>20584914</v>
      </c>
    </row>
    <row r="71" ht="15.75" customHeight="1">
      <c r="A71" s="1"/>
      <c r="B71" s="1"/>
      <c r="C71" s="1"/>
      <c r="D71" s="1"/>
      <c r="E71" s="1"/>
      <c r="F71" s="1"/>
      <c r="G71" s="2"/>
    </row>
    <row r="72" ht="15.75" customHeight="1">
      <c r="A72" s="1"/>
      <c r="B72" s="32" t="s">
        <v>1269</v>
      </c>
    </row>
    <row r="73" ht="15.75" customHeight="1">
      <c r="A73" s="1"/>
      <c r="B73" s="1"/>
      <c r="C73" s="1" t="s">
        <v>1270</v>
      </c>
      <c r="D73" s="1"/>
      <c r="E73" s="1"/>
      <c r="F73" s="1"/>
      <c r="G73" s="2">
        <v>0.0</v>
      </c>
    </row>
    <row r="74" ht="15.75" customHeight="1">
      <c r="A74" s="1"/>
      <c r="B74" s="1"/>
      <c r="C74" s="1" t="s">
        <v>1271</v>
      </c>
      <c r="D74" s="1"/>
      <c r="E74" s="1"/>
      <c r="F74" s="1"/>
      <c r="G74" s="2">
        <v>511000.0</v>
      </c>
    </row>
    <row r="75" ht="15.75" customHeight="1">
      <c r="A75" s="1"/>
      <c r="B75" s="1"/>
      <c r="C75" s="43" t="s">
        <v>115</v>
      </c>
      <c r="D75" s="1"/>
      <c r="E75" s="1"/>
      <c r="F75" s="1"/>
      <c r="G75" s="2">
        <f>SUM(G73:G74)</f>
        <v>511000</v>
      </c>
    </row>
    <row r="76" ht="15.75" customHeight="1">
      <c r="A76" s="1"/>
      <c r="B76" s="1"/>
      <c r="C76" s="43"/>
      <c r="D76" s="1"/>
      <c r="E76" s="1"/>
      <c r="F76" s="1"/>
      <c r="G76" s="2"/>
    </row>
    <row r="77" ht="15.75" customHeight="1">
      <c r="A77" s="1"/>
      <c r="B77" s="1" t="s">
        <v>1175</v>
      </c>
      <c r="C77" s="43"/>
      <c r="D77" s="1"/>
      <c r="E77" s="1"/>
      <c r="F77" s="1"/>
      <c r="G77" s="2"/>
    </row>
    <row r="78" ht="15.75" customHeight="1">
      <c r="A78" s="1"/>
      <c r="B78" s="1"/>
      <c r="C78" s="43"/>
      <c r="D78" s="1"/>
      <c r="E78" s="1"/>
      <c r="F78" s="1"/>
      <c r="G78" s="1"/>
    </row>
    <row r="79" ht="15.75" customHeight="1">
      <c r="A79" s="1"/>
      <c r="B79" s="1" t="s">
        <v>1118</v>
      </c>
      <c r="C79" s="43"/>
      <c r="D79" s="1"/>
      <c r="E79" s="1"/>
      <c r="F79" s="1"/>
      <c r="G79" s="1"/>
    </row>
    <row r="80" ht="15.75" customHeight="1">
      <c r="A80" s="1"/>
      <c r="B80" s="1"/>
      <c r="C80" s="43"/>
      <c r="D80" s="1"/>
      <c r="E80" s="1"/>
      <c r="F80" s="1"/>
      <c r="G80" s="1"/>
    </row>
    <row r="81" ht="15.75" customHeight="1">
      <c r="A81" s="1"/>
      <c r="B81" s="33" t="s">
        <v>1272</v>
      </c>
      <c r="C81" s="1"/>
      <c r="D81" s="1"/>
      <c r="E81" s="1"/>
      <c r="F81" s="1"/>
      <c r="G81" s="2"/>
    </row>
    <row r="82" ht="15.75" customHeight="1">
      <c r="A82" s="1"/>
      <c r="B82" s="4"/>
      <c r="C82" s="1"/>
      <c r="D82" s="1"/>
      <c r="E82" s="1"/>
      <c r="F82" s="1"/>
      <c r="G82" s="2"/>
    </row>
    <row r="83" ht="15.75" customHeight="1">
      <c r="A83" s="1"/>
      <c r="B83" s="55" t="s">
        <v>531</v>
      </c>
      <c r="C83" s="56"/>
      <c r="D83" s="56"/>
      <c r="E83" s="56"/>
      <c r="F83" s="1"/>
      <c r="G83" s="2"/>
    </row>
    <row r="84" ht="15.75" customHeight="1">
      <c r="A84" s="1"/>
      <c r="B84" s="55" t="s">
        <v>1273</v>
      </c>
      <c r="C84" s="56"/>
      <c r="D84" s="56"/>
      <c r="E84" s="56"/>
      <c r="F84" s="1"/>
      <c r="G84" s="2"/>
    </row>
    <row r="85" ht="15.75" customHeight="1">
      <c r="A85" s="1"/>
      <c r="B85" s="55" t="s">
        <v>681</v>
      </c>
      <c r="F85" s="1"/>
      <c r="G85" s="2"/>
    </row>
    <row r="86" ht="15.75" customHeight="1">
      <c r="A86" s="1"/>
      <c r="B86" s="55" t="s">
        <v>1274</v>
      </c>
      <c r="C86" s="56"/>
      <c r="D86" s="57"/>
      <c r="E86" s="56"/>
      <c r="F86" s="1"/>
      <c r="G86" s="2"/>
    </row>
    <row r="87" ht="15.75" customHeight="1">
      <c r="A87" s="1"/>
      <c r="B87" s="55" t="s">
        <v>535</v>
      </c>
      <c r="C87" s="56"/>
      <c r="D87" s="57"/>
      <c r="E87" s="56"/>
      <c r="F87" s="1"/>
      <c r="G87" s="2"/>
    </row>
    <row r="88" ht="15.75" customHeight="1">
      <c r="B88" s="55" t="s">
        <v>536</v>
      </c>
      <c r="C88" s="56"/>
      <c r="D88" s="57"/>
      <c r="E88" s="57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72:G72"/>
    <mergeCell ref="B85:E85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721</v>
      </c>
      <c r="B1" s="3" t="s">
        <v>1275</v>
      </c>
      <c r="C1" s="1"/>
      <c r="D1" s="1"/>
      <c r="E1" s="1"/>
      <c r="F1" s="1"/>
      <c r="G1" s="2"/>
    </row>
    <row r="2">
      <c r="A2" s="1"/>
      <c r="B2" s="63" t="s">
        <v>1276</v>
      </c>
      <c r="G2" s="65">
        <v>2.0584914E7</v>
      </c>
    </row>
    <row r="3">
      <c r="A3" s="1"/>
      <c r="G3" s="2"/>
    </row>
    <row r="4">
      <c r="A4" s="6" t="s">
        <v>1277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455700.0</v>
      </c>
      <c r="G5" s="7">
        <v>303000.0</v>
      </c>
    </row>
    <row r="6">
      <c r="A6" s="1"/>
      <c r="B6" s="4" t="s">
        <v>64</v>
      </c>
      <c r="C6" s="1"/>
      <c r="D6" s="1"/>
      <c r="E6" s="1"/>
      <c r="F6" s="2">
        <v>189700.0</v>
      </c>
      <c r="G6" s="7">
        <v>106000.0</v>
      </c>
    </row>
    <row r="7">
      <c r="A7" s="1"/>
      <c r="B7" s="4" t="s">
        <v>65</v>
      </c>
      <c r="C7" s="1"/>
      <c r="D7" s="1"/>
      <c r="E7" s="1"/>
      <c r="F7" s="2">
        <v>610500.0</v>
      </c>
      <c r="G7" s="7">
        <v>245000.0</v>
      </c>
    </row>
    <row r="8">
      <c r="A8" s="1"/>
      <c r="B8" s="4" t="s">
        <v>66</v>
      </c>
      <c r="C8" s="1"/>
      <c r="D8" s="1"/>
      <c r="E8" s="1"/>
      <c r="F8" s="2">
        <v>545500.0</v>
      </c>
      <c r="G8" s="8">
        <v>235000.0</v>
      </c>
    </row>
    <row r="9">
      <c r="A9" s="1"/>
      <c r="B9" s="4" t="s">
        <v>67</v>
      </c>
      <c r="C9" s="1"/>
      <c r="D9" s="49" t="s">
        <v>8</v>
      </c>
      <c r="E9" s="49"/>
      <c r="F9" s="62">
        <v>253600.0</v>
      </c>
      <c r="G9" s="7">
        <v>61000.0</v>
      </c>
    </row>
    <row r="10">
      <c r="A10" s="1"/>
      <c r="B10" s="4"/>
      <c r="C10" s="50" t="s">
        <v>405</v>
      </c>
      <c r="E10" s="4"/>
      <c r="F10" s="2">
        <f t="shared" ref="F10:G10" si="1">SUM(F5:F9)</f>
        <v>2055000</v>
      </c>
      <c r="G10" s="7">
        <f t="shared" si="1"/>
        <v>950000</v>
      </c>
    </row>
    <row r="11">
      <c r="A11" s="1"/>
      <c r="B11" s="51" t="s">
        <v>9</v>
      </c>
      <c r="C11" s="52"/>
      <c r="D11" s="52"/>
      <c r="E11" s="52"/>
      <c r="F11" s="53"/>
      <c r="G11" s="11">
        <f>SUM(F10:G10)</f>
        <v>3005000</v>
      </c>
    </row>
    <row r="12">
      <c r="A12" s="6" t="s">
        <v>1278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1279</v>
      </c>
      <c r="C14" s="1"/>
      <c r="D14" s="1"/>
      <c r="E14" s="1"/>
      <c r="F14" s="1"/>
      <c r="G14" s="2">
        <v>183600.0</v>
      </c>
    </row>
    <row r="15">
      <c r="A15" s="1"/>
      <c r="B15" s="4" t="s">
        <v>13</v>
      </c>
      <c r="C15" s="1"/>
      <c r="D15" s="1"/>
      <c r="E15" s="1"/>
      <c r="F15" s="1"/>
      <c r="G15" s="13">
        <v>100000.0</v>
      </c>
    </row>
    <row r="16">
      <c r="A16" s="1"/>
      <c r="B16" s="4" t="s">
        <v>14</v>
      </c>
      <c r="C16" s="1"/>
      <c r="D16" s="1"/>
      <c r="E16" s="1"/>
      <c r="F16" s="1"/>
      <c r="G16" s="13">
        <v>100000.0</v>
      </c>
    </row>
    <row r="17">
      <c r="A17" s="1"/>
      <c r="B17" s="4" t="s">
        <v>15</v>
      </c>
      <c r="C17" s="1"/>
      <c r="D17" s="1"/>
      <c r="E17" s="1"/>
      <c r="F17" s="1"/>
      <c r="G17" s="2">
        <v>80000.0</v>
      </c>
    </row>
    <row r="18">
      <c r="A18" s="1"/>
      <c r="B18" s="4" t="s">
        <v>16</v>
      </c>
      <c r="C18" s="1"/>
      <c r="D18" s="1"/>
      <c r="E18" s="1"/>
      <c r="F18" s="1"/>
      <c r="G18" s="2">
        <v>60000.0</v>
      </c>
    </row>
    <row r="19">
      <c r="A19" s="1"/>
      <c r="B19" s="4" t="s">
        <v>17</v>
      </c>
      <c r="C19" s="1"/>
      <c r="D19" s="1"/>
      <c r="E19" s="1"/>
      <c r="F19" s="1"/>
      <c r="G19" s="2">
        <v>100000.0</v>
      </c>
    </row>
    <row r="20">
      <c r="A20" s="1"/>
      <c r="B20" s="9" t="s">
        <v>18</v>
      </c>
      <c r="C20" s="10"/>
      <c r="D20" s="10"/>
      <c r="E20" s="10"/>
      <c r="F20" s="10"/>
      <c r="G20" s="14">
        <f>SUM(G14:G19)</f>
        <v>623600</v>
      </c>
    </row>
    <row r="21" ht="15.75" customHeight="1">
      <c r="A21" s="1"/>
      <c r="B21" s="12" t="s">
        <v>19</v>
      </c>
      <c r="C21" s="15"/>
      <c r="D21" s="1"/>
      <c r="E21" s="1"/>
      <c r="F21" s="1"/>
      <c r="G21" s="2"/>
    </row>
    <row r="22" ht="15.75" customHeight="1">
      <c r="A22" s="1"/>
      <c r="B22" s="4" t="s">
        <v>1280</v>
      </c>
      <c r="C22" s="15"/>
      <c r="D22" s="1"/>
      <c r="E22" s="1"/>
      <c r="F22" s="1"/>
      <c r="G22" s="2">
        <v>2000.0</v>
      </c>
    </row>
    <row r="23" ht="15.75" customHeight="1">
      <c r="A23" s="1"/>
      <c r="B23" s="4" t="s">
        <v>1281</v>
      </c>
      <c r="C23" s="15"/>
      <c r="D23" s="1"/>
      <c r="E23" s="1"/>
      <c r="F23" s="1"/>
      <c r="G23" s="2">
        <v>1500.0</v>
      </c>
    </row>
    <row r="24" ht="15.75" customHeight="1">
      <c r="A24" s="1"/>
      <c r="B24" s="4" t="s">
        <v>1282</v>
      </c>
      <c r="C24" s="15"/>
      <c r="D24" s="1"/>
      <c r="E24" s="1"/>
      <c r="F24" s="1"/>
      <c r="G24" s="2">
        <v>65250.0</v>
      </c>
    </row>
    <row r="25" ht="15.75" customHeight="1">
      <c r="A25" s="1"/>
      <c r="B25" s="4" t="s">
        <v>1283</v>
      </c>
      <c r="C25" s="15"/>
      <c r="D25" s="1"/>
      <c r="E25" s="1"/>
      <c r="F25" s="1"/>
      <c r="G25" s="2">
        <v>134500.0</v>
      </c>
    </row>
    <row r="26" ht="15.75" customHeight="1">
      <c r="A26" s="1"/>
      <c r="B26" s="4" t="s">
        <v>1284</v>
      </c>
      <c r="C26" s="15"/>
      <c r="D26" s="1"/>
      <c r="E26" s="1"/>
      <c r="F26" s="1"/>
      <c r="G26" s="2">
        <v>14247.0</v>
      </c>
    </row>
    <row r="27" ht="15.75" customHeight="1">
      <c r="A27" s="1"/>
      <c r="B27" s="4" t="s">
        <v>1285</v>
      </c>
      <c r="C27" s="15"/>
      <c r="D27" s="1"/>
      <c r="E27" s="1"/>
      <c r="F27" s="1"/>
      <c r="G27" s="2">
        <v>1000.0</v>
      </c>
    </row>
    <row r="28" ht="15.75" customHeight="1">
      <c r="A28" s="1"/>
      <c r="B28" s="4" t="s">
        <v>652</v>
      </c>
      <c r="C28" s="15"/>
      <c r="D28" s="1"/>
      <c r="E28" s="1"/>
      <c r="F28" s="1"/>
      <c r="G28" s="2">
        <v>8000.0</v>
      </c>
    </row>
    <row r="29" ht="15.75" customHeight="1">
      <c r="A29" s="1"/>
      <c r="B29" s="4" t="s">
        <v>1286</v>
      </c>
      <c r="C29" s="15"/>
      <c r="D29" s="1"/>
      <c r="E29" s="1"/>
      <c r="F29" s="1"/>
      <c r="G29" s="2">
        <v>2000.0</v>
      </c>
    </row>
    <row r="30" ht="15.75" customHeight="1">
      <c r="A30" s="1"/>
      <c r="B30" s="4" t="s">
        <v>1287</v>
      </c>
      <c r="C30" s="15"/>
      <c r="D30" s="1"/>
      <c r="E30" s="1"/>
      <c r="F30" s="1"/>
      <c r="G30" s="2">
        <v>5000.0</v>
      </c>
    </row>
    <row r="31" ht="15.75" customHeight="1">
      <c r="A31" s="1"/>
      <c r="B31" s="4" t="s">
        <v>1288</v>
      </c>
      <c r="C31" s="15"/>
      <c r="D31" s="1"/>
      <c r="E31" s="1"/>
      <c r="F31" s="1"/>
      <c r="G31" s="2">
        <v>1500.0</v>
      </c>
    </row>
    <row r="32" ht="15.75" customHeight="1">
      <c r="A32" s="1"/>
      <c r="B32" s="4" t="s">
        <v>1289</v>
      </c>
      <c r="C32" s="15"/>
      <c r="D32" s="1"/>
      <c r="E32" s="1"/>
      <c r="F32" s="1"/>
      <c r="G32" s="2">
        <v>4500.0</v>
      </c>
    </row>
    <row r="33" ht="15.75" customHeight="1">
      <c r="A33" s="1"/>
      <c r="B33" s="4" t="s">
        <v>1290</v>
      </c>
      <c r="C33" s="15"/>
      <c r="D33" s="1"/>
      <c r="E33" s="1"/>
      <c r="F33" s="1"/>
      <c r="G33" s="2">
        <v>2000.0</v>
      </c>
    </row>
    <row r="34" ht="15.75" customHeight="1">
      <c r="A34" s="1"/>
      <c r="B34" s="4" t="s">
        <v>1291</v>
      </c>
      <c r="C34" s="15"/>
      <c r="D34" s="1"/>
      <c r="E34" s="1"/>
      <c r="F34" s="1"/>
      <c r="G34" s="2">
        <v>65000.0</v>
      </c>
    </row>
    <row r="35" ht="15.75" customHeight="1">
      <c r="A35" s="1"/>
      <c r="B35" s="4" t="s">
        <v>1292</v>
      </c>
      <c r="C35" s="15"/>
      <c r="D35" s="1"/>
      <c r="E35" s="1"/>
      <c r="F35" s="1"/>
      <c r="G35" s="2">
        <v>100000.0</v>
      </c>
    </row>
    <row r="36" ht="15.75" customHeight="1">
      <c r="A36" s="1"/>
      <c r="B36" s="1" t="s">
        <v>1293</v>
      </c>
      <c r="C36" s="1"/>
      <c r="D36" s="1"/>
      <c r="E36" s="1"/>
      <c r="F36" s="1"/>
      <c r="G36" s="13">
        <v>37610.0</v>
      </c>
    </row>
    <row r="37" ht="15.75" customHeight="1">
      <c r="A37" s="1"/>
      <c r="B37" s="1" t="s">
        <v>1294</v>
      </c>
      <c r="C37" s="1"/>
      <c r="D37" s="1"/>
      <c r="E37" s="1"/>
      <c r="F37" s="1"/>
      <c r="G37" s="13">
        <v>25300.0</v>
      </c>
    </row>
    <row r="38" ht="15.75" customHeight="1">
      <c r="A38" s="1"/>
      <c r="B38" s="1" t="s">
        <v>1295</v>
      </c>
      <c r="C38" s="1"/>
      <c r="D38" s="1"/>
      <c r="E38" s="1"/>
      <c r="F38" s="1"/>
      <c r="G38" s="13">
        <v>2000.0</v>
      </c>
    </row>
    <row r="39" ht="15.75" customHeight="1">
      <c r="A39" s="1"/>
      <c r="B39" s="1" t="s">
        <v>1296</v>
      </c>
      <c r="C39" s="1"/>
      <c r="D39" s="1"/>
      <c r="E39" s="1"/>
      <c r="F39" s="1"/>
      <c r="G39" s="13">
        <v>2500.0</v>
      </c>
    </row>
    <row r="40" ht="15.75" customHeight="1">
      <c r="A40" s="1"/>
      <c r="B40" s="1" t="s">
        <v>1297</v>
      </c>
      <c r="C40" s="1"/>
      <c r="D40" s="1"/>
      <c r="E40" s="1"/>
      <c r="F40" s="1"/>
      <c r="G40" s="13">
        <v>2000.0</v>
      </c>
    </row>
    <row r="41" ht="15.75" customHeight="1">
      <c r="A41" s="1"/>
      <c r="B41" s="1" t="s">
        <v>1298</v>
      </c>
      <c r="C41" s="1"/>
      <c r="D41" s="1"/>
      <c r="E41" s="1"/>
      <c r="F41" s="1"/>
      <c r="G41" s="13">
        <v>339012.0</v>
      </c>
    </row>
    <row r="42" ht="15.75" customHeight="1">
      <c r="A42" s="1"/>
      <c r="B42" s="1" t="s">
        <v>1289</v>
      </c>
      <c r="C42" s="1"/>
      <c r="D42" s="1"/>
      <c r="E42" s="1"/>
      <c r="F42" s="1"/>
      <c r="G42" s="13">
        <v>3000.0</v>
      </c>
    </row>
    <row r="43" ht="15.75" customHeight="1">
      <c r="A43" s="1"/>
      <c r="B43" s="1" t="s">
        <v>690</v>
      </c>
      <c r="C43" s="1"/>
      <c r="D43" s="1"/>
      <c r="E43" s="1"/>
      <c r="F43" s="1"/>
      <c r="G43" s="13">
        <v>5000.0</v>
      </c>
    </row>
    <row r="44" ht="15.75" customHeight="1">
      <c r="A44" s="1"/>
      <c r="B44" s="1" t="s">
        <v>1299</v>
      </c>
      <c r="C44" s="1"/>
      <c r="D44" s="1"/>
      <c r="E44" s="1"/>
      <c r="F44" s="1"/>
      <c r="G44" s="13">
        <v>267000.0</v>
      </c>
    </row>
    <row r="45" ht="15.75" customHeight="1">
      <c r="A45" s="1"/>
      <c r="B45" s="1" t="s">
        <v>1300</v>
      </c>
      <c r="C45" s="1"/>
      <c r="D45" s="1"/>
      <c r="E45" s="1"/>
      <c r="F45" s="1"/>
      <c r="G45" s="13">
        <v>60000.0</v>
      </c>
    </row>
    <row r="46" ht="15.75" customHeight="1">
      <c r="A46" s="1"/>
      <c r="B46" s="1" t="s">
        <v>1301</v>
      </c>
      <c r="C46" s="1"/>
      <c r="D46" s="1"/>
      <c r="E46" s="1"/>
      <c r="F46" s="1"/>
      <c r="G46" s="13">
        <v>257500.0</v>
      </c>
    </row>
    <row r="47" ht="15.75" customHeight="1">
      <c r="A47" s="1"/>
      <c r="B47" s="1" t="s">
        <v>1302</v>
      </c>
      <c r="C47" s="1"/>
      <c r="D47" s="1"/>
      <c r="E47" s="1"/>
      <c r="F47" s="1"/>
      <c r="G47" s="13">
        <v>2000.0</v>
      </c>
    </row>
    <row r="48" ht="15.75" customHeight="1">
      <c r="A48" s="1"/>
      <c r="B48" s="1" t="s">
        <v>1303</v>
      </c>
      <c r="C48" s="1"/>
      <c r="D48" s="1"/>
      <c r="E48" s="1"/>
      <c r="F48" s="1"/>
      <c r="G48" s="13">
        <v>5000.0</v>
      </c>
    </row>
    <row r="49" ht="15.75" customHeight="1">
      <c r="A49" s="1"/>
      <c r="B49" s="1" t="s">
        <v>1304</v>
      </c>
      <c r="C49" s="1"/>
      <c r="D49" s="1"/>
      <c r="E49" s="1"/>
      <c r="F49" s="1"/>
      <c r="G49" s="13">
        <v>212500.0</v>
      </c>
    </row>
    <row r="50" ht="15.75" customHeight="1">
      <c r="A50" s="1"/>
      <c r="B50" s="1" t="s">
        <v>463</v>
      </c>
      <c r="C50" s="1"/>
      <c r="D50" s="1"/>
      <c r="E50" s="1"/>
      <c r="F50" s="1"/>
      <c r="G50" s="13">
        <v>10000.0</v>
      </c>
    </row>
    <row r="51" ht="15.75" customHeight="1">
      <c r="A51" s="1"/>
      <c r="B51" s="1" t="s">
        <v>1305</v>
      </c>
      <c r="C51" s="1"/>
      <c r="D51" s="1"/>
      <c r="E51" s="1"/>
      <c r="F51" s="1"/>
      <c r="G51" s="13">
        <v>1000.0</v>
      </c>
    </row>
    <row r="52" ht="15.75" customHeight="1">
      <c r="A52" s="1"/>
      <c r="B52" s="1" t="s">
        <v>1306</v>
      </c>
      <c r="C52" s="1"/>
      <c r="D52" s="1"/>
      <c r="E52" s="1"/>
      <c r="F52" s="1"/>
      <c r="G52" s="13">
        <v>2000.0</v>
      </c>
    </row>
    <row r="53" ht="15.75" customHeight="1">
      <c r="A53" s="1"/>
      <c r="B53" s="1" t="s">
        <v>1307</v>
      </c>
      <c r="C53" s="1"/>
      <c r="D53" s="1"/>
      <c r="E53" s="1"/>
      <c r="F53" s="1"/>
      <c r="G53" s="13">
        <v>700000.0</v>
      </c>
    </row>
    <row r="54" ht="15.75" customHeight="1">
      <c r="A54" s="1"/>
      <c r="B54" s="1" t="s">
        <v>1308</v>
      </c>
      <c r="C54" s="1"/>
      <c r="D54" s="1"/>
      <c r="E54" s="1"/>
      <c r="F54" s="1"/>
      <c r="G54" s="13">
        <v>350000.0</v>
      </c>
    </row>
    <row r="55" ht="15.75" customHeight="1">
      <c r="A55" s="1"/>
      <c r="B55" s="1" t="s">
        <v>1309</v>
      </c>
      <c r="C55" s="1"/>
      <c r="D55" s="1"/>
      <c r="E55" s="1"/>
      <c r="F55" s="1"/>
      <c r="G55" s="13">
        <v>125000.0</v>
      </c>
    </row>
    <row r="56" ht="15.75" customHeight="1">
      <c r="A56" s="1"/>
      <c r="B56" s="43" t="s">
        <v>43</v>
      </c>
      <c r="C56" s="1"/>
      <c r="D56" s="1"/>
      <c r="E56" s="1"/>
      <c r="F56" s="1"/>
      <c r="G56" s="13">
        <f>SUM(G22:G55)</f>
        <v>2814919</v>
      </c>
    </row>
    <row r="57" ht="15.75" customHeight="1">
      <c r="A57" s="1"/>
      <c r="B57" s="19" t="s">
        <v>45</v>
      </c>
      <c r="C57" s="20"/>
      <c r="D57" s="20"/>
      <c r="E57" s="20"/>
      <c r="F57" s="20"/>
      <c r="G57" s="64">
        <f>SUM(G20+G56)</f>
        <v>3438519</v>
      </c>
    </row>
    <row r="58" ht="15.75" customHeight="1">
      <c r="A58" s="1"/>
      <c r="B58" s="4" t="s">
        <v>46</v>
      </c>
      <c r="C58" s="1"/>
      <c r="D58" s="1"/>
      <c r="E58" s="1"/>
      <c r="F58" s="1"/>
      <c r="G58" s="2"/>
    </row>
    <row r="59" ht="15.75" customHeight="1">
      <c r="A59" s="35" t="s">
        <v>1310</v>
      </c>
      <c r="B59" s="36"/>
      <c r="C59" s="37"/>
      <c r="D59" s="37"/>
      <c r="E59" s="37"/>
      <c r="F59" s="37"/>
      <c r="G59" s="38">
        <f>(G11-G57)</f>
        <v>-433519</v>
      </c>
    </row>
    <row r="60" ht="15.75" customHeight="1">
      <c r="A60" s="22" t="s">
        <v>254</v>
      </c>
      <c r="B60" s="1" t="s">
        <v>255</v>
      </c>
      <c r="C60" s="1"/>
      <c r="D60" s="1"/>
      <c r="E60" s="1"/>
      <c r="F60" s="1"/>
      <c r="G60" s="2"/>
    </row>
    <row r="61" ht="15.75" customHeight="1">
      <c r="A61" s="22"/>
      <c r="B61" s="1" t="s">
        <v>1311</v>
      </c>
      <c r="C61" s="1"/>
      <c r="D61" s="1"/>
      <c r="E61" s="1"/>
      <c r="F61" s="1"/>
      <c r="G61" s="2">
        <v>2000000.0</v>
      </c>
    </row>
    <row r="62" ht="15.75" customHeight="1">
      <c r="A62" s="22"/>
      <c r="B62" s="1"/>
      <c r="C62" s="1"/>
      <c r="D62" s="1"/>
      <c r="E62" s="1"/>
      <c r="F62" s="1"/>
      <c r="G62" s="2"/>
    </row>
    <row r="63" ht="15.75" customHeight="1">
      <c r="A63" s="1"/>
      <c r="B63" s="27" t="s">
        <v>51</v>
      </c>
      <c r="C63" s="27"/>
      <c r="D63" s="27"/>
      <c r="E63" s="27"/>
      <c r="F63" s="27"/>
      <c r="G63" s="2">
        <v>2000000.0</v>
      </c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44"/>
      <c r="B65" s="45" t="s">
        <v>1312</v>
      </c>
      <c r="C65" s="46"/>
      <c r="D65" s="46"/>
      <c r="E65" s="46"/>
      <c r="F65" s="46"/>
      <c r="G65" s="65">
        <f>G2+G59-G63</f>
        <v>18151395</v>
      </c>
    </row>
    <row r="66" ht="15.75" customHeight="1">
      <c r="A66" s="1"/>
      <c r="B66" s="1"/>
      <c r="C66" s="1"/>
      <c r="D66" s="1"/>
      <c r="E66" s="1"/>
      <c r="F66" s="1"/>
      <c r="G66" s="2"/>
    </row>
    <row r="67" ht="15.75" customHeight="1">
      <c r="A67" s="1"/>
      <c r="B67" s="32" t="s">
        <v>1313</v>
      </c>
    </row>
    <row r="68" ht="15.75" customHeight="1">
      <c r="A68" s="1"/>
      <c r="B68" s="1"/>
      <c r="C68" s="1" t="s">
        <v>1270</v>
      </c>
      <c r="D68" s="1"/>
      <c r="E68" s="1"/>
      <c r="F68" s="1"/>
      <c r="G68" s="2">
        <v>0.0</v>
      </c>
    </row>
    <row r="69" ht="15.75" customHeight="1">
      <c r="A69" s="1"/>
      <c r="B69" s="1"/>
      <c r="C69" s="1" t="s">
        <v>1314</v>
      </c>
      <c r="D69" s="1"/>
      <c r="E69" s="1"/>
      <c r="F69" s="1"/>
      <c r="G69" s="2">
        <v>401900.0</v>
      </c>
    </row>
    <row r="70" ht="15.75" customHeight="1">
      <c r="A70" s="1"/>
      <c r="B70" s="1"/>
      <c r="C70" s="43" t="s">
        <v>115</v>
      </c>
      <c r="D70" s="1"/>
      <c r="E70" s="1"/>
      <c r="F70" s="1"/>
      <c r="G70" s="2">
        <f>SUM(G68:G69)</f>
        <v>401900</v>
      </c>
    </row>
    <row r="71" ht="15.75" customHeight="1">
      <c r="A71" s="1"/>
      <c r="B71" s="1"/>
      <c r="C71" s="43"/>
      <c r="D71" s="1"/>
      <c r="E71" s="1"/>
      <c r="F71" s="1"/>
      <c r="G71" s="2"/>
    </row>
    <row r="72" ht="15.75" customHeight="1">
      <c r="A72" s="1"/>
      <c r="B72" s="1" t="s">
        <v>1315</v>
      </c>
      <c r="C72" s="43"/>
      <c r="D72" s="1"/>
      <c r="E72" s="1"/>
      <c r="F72" s="1"/>
      <c r="G72" s="2"/>
    </row>
    <row r="73" ht="15.75" customHeight="1">
      <c r="A73" s="1"/>
      <c r="B73" s="1"/>
      <c r="C73" s="43"/>
      <c r="D73" s="1"/>
      <c r="E73" s="1"/>
      <c r="F73" s="1"/>
      <c r="G73" s="1"/>
    </row>
    <row r="74" ht="15.75" customHeight="1">
      <c r="A74" s="1"/>
      <c r="B74" s="1" t="s">
        <v>1118</v>
      </c>
      <c r="C74" s="43"/>
      <c r="D74" s="1"/>
      <c r="E74" s="1"/>
      <c r="F74" s="1"/>
      <c r="G74" s="1"/>
    </row>
    <row r="75" ht="15.75" customHeight="1">
      <c r="A75" s="1"/>
      <c r="B75" s="1"/>
      <c r="C75" s="43"/>
      <c r="D75" s="1"/>
      <c r="E75" s="1"/>
      <c r="F75" s="1"/>
      <c r="G75" s="1"/>
    </row>
    <row r="76" ht="15.75" customHeight="1">
      <c r="A76" s="1"/>
      <c r="B76" s="33" t="s">
        <v>1316</v>
      </c>
      <c r="C76" s="1"/>
      <c r="D76" s="1"/>
      <c r="E76" s="1"/>
      <c r="F76" s="1"/>
      <c r="G76" s="2"/>
    </row>
    <row r="77" ht="15.75" customHeight="1">
      <c r="A77" s="1"/>
      <c r="B77" s="4"/>
      <c r="C77" s="1"/>
      <c r="D77" s="1"/>
      <c r="E77" s="1"/>
      <c r="F77" s="1"/>
      <c r="G77" s="2"/>
    </row>
    <row r="78" ht="15.75" customHeight="1">
      <c r="A78" s="1"/>
      <c r="B78" s="55" t="s">
        <v>531</v>
      </c>
      <c r="C78" s="56"/>
      <c r="D78" s="56"/>
      <c r="E78" s="56"/>
      <c r="F78" s="1"/>
      <c r="G78" s="2"/>
    </row>
    <row r="79" ht="15.75" customHeight="1">
      <c r="A79" s="1"/>
      <c r="B79" s="55"/>
      <c r="C79" s="56"/>
      <c r="D79" s="56"/>
      <c r="E79" s="56"/>
      <c r="F79" s="1"/>
      <c r="G79" s="2"/>
    </row>
    <row r="80" ht="15.75" customHeight="1">
      <c r="A80" s="1"/>
      <c r="B80" s="55" t="s">
        <v>1317</v>
      </c>
      <c r="C80" s="56"/>
      <c r="D80" s="56"/>
      <c r="E80" s="56"/>
      <c r="F80" s="1"/>
      <c r="G80" s="2"/>
    </row>
    <row r="81" ht="15.75" customHeight="1">
      <c r="A81" s="1"/>
      <c r="B81" s="55"/>
      <c r="C81" s="56"/>
      <c r="D81" s="56"/>
      <c r="E81" s="56"/>
      <c r="F81" s="1"/>
      <c r="G81" s="2"/>
    </row>
    <row r="82" ht="15.75" customHeight="1">
      <c r="A82" s="1"/>
      <c r="B82" s="55" t="s">
        <v>681</v>
      </c>
      <c r="F82" s="1"/>
      <c r="G82" s="2"/>
    </row>
    <row r="83" ht="15.75" customHeight="1">
      <c r="A83" s="1"/>
      <c r="B83" s="55"/>
      <c r="C83" s="55"/>
      <c r="D83" s="55"/>
      <c r="E83" s="55"/>
      <c r="F83" s="1"/>
      <c r="G83" s="2"/>
    </row>
    <row r="84" ht="15.75" customHeight="1">
      <c r="A84" s="1"/>
      <c r="B84" s="55" t="s">
        <v>1318</v>
      </c>
      <c r="C84" s="56"/>
      <c r="D84" s="57"/>
      <c r="E84" s="56"/>
      <c r="F84" s="1"/>
      <c r="G84" s="2"/>
    </row>
    <row r="85" ht="15.75" customHeight="1">
      <c r="A85" s="1"/>
      <c r="B85" s="55"/>
      <c r="C85" s="56"/>
      <c r="D85" s="57"/>
      <c r="E85" s="56"/>
      <c r="F85" s="1"/>
      <c r="G85" s="2"/>
    </row>
    <row r="86" ht="15.75" customHeight="1">
      <c r="A86" s="1"/>
      <c r="B86" s="55" t="s">
        <v>535</v>
      </c>
      <c r="C86" s="56"/>
      <c r="D86" s="57"/>
      <c r="E86" s="56"/>
      <c r="F86" s="1"/>
      <c r="G86" s="2"/>
    </row>
    <row r="87" ht="15.75" customHeight="1">
      <c r="A87" s="1"/>
      <c r="B87" s="55"/>
      <c r="C87" s="56"/>
      <c r="D87" s="57"/>
      <c r="E87" s="56"/>
      <c r="F87" s="1"/>
      <c r="G87" s="2"/>
    </row>
    <row r="88" ht="15.75" customHeight="1">
      <c r="B88" s="55" t="s">
        <v>536</v>
      </c>
      <c r="C88" s="56"/>
      <c r="D88" s="57"/>
      <c r="E88" s="57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67:G67"/>
    <mergeCell ref="B82:E82"/>
  </mergeCells>
  <printOptions/>
  <pageMargins bottom="0.75" footer="0.0" header="0.0" left="0.7" right="0.7" top="0.75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721</v>
      </c>
      <c r="B1" s="3" t="s">
        <v>1319</v>
      </c>
      <c r="C1" s="1"/>
      <c r="D1" s="1"/>
      <c r="E1" s="1"/>
      <c r="F1" s="1"/>
      <c r="G1" s="2"/>
    </row>
    <row r="2">
      <c r="A2" s="1"/>
      <c r="B2" s="63" t="s">
        <v>1320</v>
      </c>
      <c r="G2" s="65">
        <v>1.8151395E7</v>
      </c>
    </row>
    <row r="3">
      <c r="A3" s="1"/>
      <c r="G3" s="2"/>
    </row>
    <row r="4">
      <c r="A4" s="6" t="s">
        <v>1321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599600.0</v>
      </c>
      <c r="G5" s="7">
        <v>256000.0</v>
      </c>
    </row>
    <row r="6">
      <c r="A6" s="1"/>
      <c r="B6" s="4" t="s">
        <v>64</v>
      </c>
      <c r="C6" s="1"/>
      <c r="D6" s="1"/>
      <c r="E6" s="1"/>
      <c r="F6" s="2">
        <v>641200.0</v>
      </c>
      <c r="G6" s="7">
        <v>222000.0</v>
      </c>
    </row>
    <row r="7">
      <c r="A7" s="1"/>
      <c r="B7" s="4" t="s">
        <v>65</v>
      </c>
      <c r="C7" s="1"/>
      <c r="D7" s="1"/>
      <c r="E7" s="1"/>
      <c r="F7" s="2">
        <v>285200.0</v>
      </c>
      <c r="G7" s="7">
        <v>153000.0</v>
      </c>
    </row>
    <row r="8">
      <c r="A8" s="1"/>
      <c r="B8" s="4" t="s">
        <v>66</v>
      </c>
      <c r="C8" s="1"/>
      <c r="D8" s="1"/>
      <c r="E8" s="1"/>
      <c r="F8" s="2">
        <v>565500.0</v>
      </c>
      <c r="G8" s="8">
        <v>201000.0</v>
      </c>
    </row>
    <row r="9">
      <c r="A9" s="1"/>
      <c r="B9" s="4" t="s">
        <v>67</v>
      </c>
      <c r="C9" s="1"/>
      <c r="D9" s="49" t="s">
        <v>8</v>
      </c>
      <c r="E9" s="49"/>
      <c r="F9" s="62">
        <v>218800.0</v>
      </c>
      <c r="G9" s="7">
        <v>86000.0</v>
      </c>
    </row>
    <row r="10">
      <c r="A10" s="1"/>
      <c r="B10" s="4"/>
      <c r="C10" s="50" t="s">
        <v>405</v>
      </c>
      <c r="E10" s="4"/>
      <c r="F10" s="2">
        <f t="shared" ref="F10:G10" si="1">SUM(F5:F9)</f>
        <v>2310300</v>
      </c>
      <c r="G10" s="7">
        <f t="shared" si="1"/>
        <v>918000</v>
      </c>
    </row>
    <row r="11">
      <c r="A11" s="1"/>
      <c r="B11" s="51" t="s">
        <v>9</v>
      </c>
      <c r="C11" s="52"/>
      <c r="D11" s="52"/>
      <c r="E11" s="52"/>
      <c r="F11" s="53"/>
      <c r="G11" s="11">
        <f>SUM(F10:G10)</f>
        <v>3228300</v>
      </c>
    </row>
    <row r="12">
      <c r="A12" s="6" t="s">
        <v>1322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1323</v>
      </c>
      <c r="C14" s="1"/>
      <c r="D14" s="1"/>
      <c r="E14" s="1"/>
      <c r="F14" s="1"/>
      <c r="G14" s="2">
        <v>147100.0</v>
      </c>
    </row>
    <row r="15">
      <c r="A15" s="1"/>
      <c r="B15" s="4" t="s">
        <v>13</v>
      </c>
      <c r="C15" s="1"/>
      <c r="D15" s="1"/>
      <c r="E15" s="1"/>
      <c r="F15" s="1"/>
      <c r="G15" s="13">
        <v>100000.0</v>
      </c>
    </row>
    <row r="16">
      <c r="A16" s="1"/>
      <c r="B16" s="4" t="s">
        <v>14</v>
      </c>
      <c r="C16" s="1"/>
      <c r="D16" s="1"/>
      <c r="E16" s="1"/>
      <c r="F16" s="1"/>
      <c r="G16" s="13">
        <v>100000.0</v>
      </c>
    </row>
    <row r="17">
      <c r="A17" s="1"/>
      <c r="B17" s="4" t="s">
        <v>15</v>
      </c>
      <c r="C17" s="1"/>
      <c r="D17" s="1"/>
      <c r="E17" s="1"/>
      <c r="F17" s="1"/>
      <c r="G17" s="2">
        <v>80000.0</v>
      </c>
    </row>
    <row r="18">
      <c r="A18" s="1"/>
      <c r="B18" s="4" t="s">
        <v>16</v>
      </c>
      <c r="C18" s="1"/>
      <c r="D18" s="1"/>
      <c r="E18" s="1"/>
      <c r="F18" s="1"/>
      <c r="G18" s="2">
        <v>60000.0</v>
      </c>
    </row>
    <row r="19">
      <c r="A19" s="1"/>
      <c r="B19" s="4" t="s">
        <v>17</v>
      </c>
      <c r="C19" s="1"/>
      <c r="D19" s="1"/>
      <c r="E19" s="1"/>
      <c r="F19" s="1"/>
      <c r="G19" s="2">
        <v>100000.0</v>
      </c>
    </row>
    <row r="20">
      <c r="A20" s="1"/>
      <c r="B20" s="9" t="s">
        <v>18</v>
      </c>
      <c r="C20" s="10"/>
      <c r="D20" s="10"/>
      <c r="E20" s="10"/>
      <c r="F20" s="10"/>
      <c r="G20" s="14">
        <f>SUM(G14:G19)</f>
        <v>587100</v>
      </c>
    </row>
    <row r="21" ht="15.75" customHeight="1">
      <c r="A21" s="1"/>
      <c r="B21" s="12" t="s">
        <v>19</v>
      </c>
      <c r="C21" s="15"/>
      <c r="D21" s="1"/>
      <c r="E21" s="1"/>
      <c r="F21" s="1"/>
      <c r="G21" s="2"/>
    </row>
    <row r="22" ht="15.75" customHeight="1">
      <c r="A22" s="1"/>
      <c r="B22" s="4" t="s">
        <v>1324</v>
      </c>
      <c r="C22" s="15"/>
      <c r="D22" s="1"/>
      <c r="E22" s="1"/>
      <c r="F22" s="1"/>
      <c r="G22" s="2">
        <v>2000.0</v>
      </c>
    </row>
    <row r="23" ht="15.75" customHeight="1">
      <c r="A23" s="1"/>
      <c r="B23" s="4" t="s">
        <v>1325</v>
      </c>
      <c r="C23" s="15"/>
      <c r="D23" s="1"/>
      <c r="E23" s="1"/>
      <c r="F23" s="1"/>
      <c r="G23" s="2">
        <v>18805.0</v>
      </c>
    </row>
    <row r="24" ht="15.75" customHeight="1">
      <c r="A24" s="1"/>
      <c r="B24" s="4" t="s">
        <v>1326</v>
      </c>
      <c r="C24" s="15"/>
      <c r="D24" s="1"/>
      <c r="E24" s="1"/>
      <c r="F24" s="1"/>
      <c r="G24" s="2">
        <v>59045.0</v>
      </c>
    </row>
    <row r="25" ht="15.75" customHeight="1">
      <c r="A25" s="1"/>
      <c r="B25" s="4" t="s">
        <v>1327</v>
      </c>
      <c r="C25" s="15"/>
      <c r="D25" s="1"/>
      <c r="E25" s="1"/>
      <c r="F25" s="1"/>
      <c r="G25" s="2">
        <v>150000.0</v>
      </c>
    </row>
    <row r="26" ht="15.75" customHeight="1">
      <c r="A26" s="1"/>
      <c r="B26" s="4" t="s">
        <v>1292</v>
      </c>
      <c r="C26" s="15"/>
      <c r="D26" s="1"/>
      <c r="E26" s="1"/>
      <c r="F26" s="1"/>
      <c r="G26" s="2">
        <v>100000.0</v>
      </c>
    </row>
    <row r="27" ht="15.75" customHeight="1">
      <c r="A27" s="1"/>
      <c r="B27" s="4" t="s">
        <v>1328</v>
      </c>
      <c r="C27" s="15"/>
      <c r="D27" s="1"/>
      <c r="E27" s="1"/>
      <c r="F27" s="1"/>
      <c r="G27" s="2">
        <v>6000.0</v>
      </c>
    </row>
    <row r="28" ht="15.75" customHeight="1">
      <c r="A28" s="1"/>
      <c r="B28" s="4" t="s">
        <v>1329</v>
      </c>
      <c r="C28" s="15"/>
      <c r="D28" s="1"/>
      <c r="E28" s="1"/>
      <c r="F28" s="1"/>
      <c r="G28" s="2">
        <v>65250.0</v>
      </c>
    </row>
    <row r="29" ht="15.75" customHeight="1">
      <c r="A29" s="1"/>
      <c r="B29" s="4" t="s">
        <v>1330</v>
      </c>
      <c r="C29" s="15"/>
      <c r="D29" s="1"/>
      <c r="E29" s="1"/>
      <c r="F29" s="1"/>
      <c r="G29" s="2">
        <v>313000.0</v>
      </c>
    </row>
    <row r="30" ht="15.75" customHeight="1">
      <c r="A30" s="1"/>
      <c r="B30" s="4" t="s">
        <v>1331</v>
      </c>
      <c r="C30" s="15"/>
      <c r="D30" s="1"/>
      <c r="E30" s="1"/>
      <c r="F30" s="1"/>
      <c r="G30" s="2">
        <v>85000.0</v>
      </c>
    </row>
    <row r="31" ht="15.75" customHeight="1">
      <c r="A31" s="1"/>
      <c r="B31" s="4" t="s">
        <v>1332</v>
      </c>
      <c r="C31" s="15"/>
      <c r="D31" s="1"/>
      <c r="E31" s="1"/>
      <c r="F31" s="1"/>
      <c r="G31" s="2">
        <v>2000.0</v>
      </c>
    </row>
    <row r="32" ht="15.75" customHeight="1">
      <c r="A32" s="1"/>
      <c r="B32" s="4" t="s">
        <v>203</v>
      </c>
      <c r="C32" s="15"/>
      <c r="D32" s="1"/>
      <c r="E32" s="1"/>
      <c r="F32" s="1"/>
      <c r="G32" s="2">
        <v>5000.0</v>
      </c>
    </row>
    <row r="33" ht="15.75" customHeight="1">
      <c r="A33" s="1"/>
      <c r="B33" s="4" t="s">
        <v>1333</v>
      </c>
      <c r="C33" s="15"/>
      <c r="D33" s="1"/>
      <c r="E33" s="1"/>
      <c r="F33" s="1"/>
      <c r="G33" s="2">
        <v>40356.0</v>
      </c>
    </row>
    <row r="34" ht="15.75" customHeight="1">
      <c r="A34" s="1"/>
      <c r="B34" s="4" t="s">
        <v>1334</v>
      </c>
      <c r="C34" s="15"/>
      <c r="D34" s="1"/>
      <c r="E34" s="1"/>
      <c r="F34" s="1"/>
      <c r="G34" s="2">
        <v>36000.0</v>
      </c>
    </row>
    <row r="35" ht="15.75" customHeight="1">
      <c r="A35" s="1"/>
      <c r="B35" s="4" t="s">
        <v>1335</v>
      </c>
      <c r="C35" s="15"/>
      <c r="D35" s="1"/>
      <c r="E35" s="1"/>
      <c r="F35" s="1"/>
      <c r="G35" s="2">
        <v>2000.0</v>
      </c>
    </row>
    <row r="36" ht="15.75" customHeight="1">
      <c r="A36" s="1"/>
      <c r="B36" s="1" t="s">
        <v>1336</v>
      </c>
      <c r="C36" s="1"/>
      <c r="D36" s="1"/>
      <c r="E36" s="1"/>
      <c r="F36" s="1"/>
      <c r="G36" s="13">
        <v>62500.0</v>
      </c>
    </row>
    <row r="37" ht="15.75" customHeight="1">
      <c r="A37" s="1"/>
      <c r="B37" s="1" t="s">
        <v>1337</v>
      </c>
      <c r="C37" s="1"/>
      <c r="D37" s="1"/>
      <c r="E37" s="1"/>
      <c r="F37" s="1"/>
      <c r="G37" s="13">
        <v>50000.0</v>
      </c>
    </row>
    <row r="38" ht="15.75" customHeight="1">
      <c r="A38" s="1"/>
      <c r="B38" s="1" t="s">
        <v>1338</v>
      </c>
      <c r="C38" s="1"/>
      <c r="D38" s="1"/>
      <c r="E38" s="1"/>
      <c r="F38" s="1"/>
      <c r="G38" s="13">
        <v>110000.0</v>
      </c>
    </row>
    <row r="39" ht="15.75" customHeight="1">
      <c r="A39" s="1"/>
      <c r="B39" s="1" t="s">
        <v>1339</v>
      </c>
      <c r="C39" s="1"/>
      <c r="D39" s="1"/>
      <c r="E39" s="1"/>
      <c r="F39" s="1"/>
      <c r="G39" s="13">
        <v>3000.0</v>
      </c>
    </row>
    <row r="40" ht="15.75" customHeight="1">
      <c r="A40" s="1"/>
      <c r="B40" s="1" t="s">
        <v>1340</v>
      </c>
      <c r="C40" s="1"/>
      <c r="D40" s="1"/>
      <c r="E40" s="1"/>
      <c r="F40" s="1"/>
      <c r="G40" s="13">
        <v>5000.0</v>
      </c>
    </row>
    <row r="41" ht="15.75" customHeight="1">
      <c r="A41" s="1"/>
      <c r="B41" s="1" t="s">
        <v>463</v>
      </c>
      <c r="C41" s="1"/>
      <c r="D41" s="1"/>
      <c r="E41" s="1"/>
      <c r="F41" s="1"/>
      <c r="G41" s="13">
        <v>10000.0</v>
      </c>
    </row>
    <row r="42" ht="15.75" customHeight="1">
      <c r="A42" s="1"/>
      <c r="B42" s="1" t="s">
        <v>1341</v>
      </c>
      <c r="C42" s="1"/>
      <c r="D42" s="1"/>
      <c r="E42" s="1"/>
      <c r="F42" s="1"/>
      <c r="G42" s="13">
        <v>20000.0</v>
      </c>
    </row>
    <row r="43" ht="15.75" customHeight="1">
      <c r="A43" s="1"/>
      <c r="B43" s="1" t="s">
        <v>1342</v>
      </c>
      <c r="C43" s="1"/>
      <c r="D43" s="1"/>
      <c r="E43" s="1"/>
      <c r="F43" s="1"/>
      <c r="G43" s="13">
        <v>2000.0</v>
      </c>
    </row>
    <row r="44" ht="15.75" customHeight="1">
      <c r="A44" s="1"/>
      <c r="B44" s="1" t="s">
        <v>1343</v>
      </c>
      <c r="C44" s="1"/>
      <c r="D44" s="1"/>
      <c r="E44" s="1"/>
      <c r="F44" s="1"/>
      <c r="G44" s="13">
        <v>1610.0</v>
      </c>
    </row>
    <row r="45" ht="15.75" customHeight="1">
      <c r="A45" s="1"/>
      <c r="B45" s="1" t="s">
        <v>1344</v>
      </c>
      <c r="C45" s="1"/>
      <c r="D45" s="1"/>
      <c r="E45" s="1"/>
      <c r="F45" s="1"/>
      <c r="G45" s="13">
        <v>1000.0</v>
      </c>
    </row>
    <row r="46" ht="15.75" customHeight="1">
      <c r="A46" s="1"/>
      <c r="B46" s="1" t="s">
        <v>1345</v>
      </c>
      <c r="C46" s="1"/>
      <c r="D46" s="1"/>
      <c r="E46" s="1"/>
      <c r="F46" s="1"/>
      <c r="G46" s="13">
        <v>10000.0</v>
      </c>
    </row>
    <row r="47" ht="15.75" customHeight="1">
      <c r="A47" s="1"/>
      <c r="B47" s="1" t="s">
        <v>1346</v>
      </c>
      <c r="C47" s="1"/>
      <c r="D47" s="1"/>
      <c r="E47" s="1"/>
      <c r="F47" s="1"/>
      <c r="G47" s="13">
        <v>174000.0</v>
      </c>
    </row>
    <row r="48" ht="15.75" customHeight="1">
      <c r="A48" s="1"/>
      <c r="B48" s="1" t="s">
        <v>1347</v>
      </c>
      <c r="C48" s="1"/>
      <c r="D48" s="1"/>
      <c r="E48" s="1"/>
      <c r="F48" s="1"/>
      <c r="G48" s="13">
        <v>39900.0</v>
      </c>
    </row>
    <row r="49" ht="15.75" customHeight="1">
      <c r="A49" s="1"/>
      <c r="B49" s="1" t="s">
        <v>1348</v>
      </c>
      <c r="C49" s="1"/>
      <c r="D49" s="1"/>
      <c r="E49" s="1"/>
      <c r="F49" s="1"/>
      <c r="G49" s="13">
        <v>121000.0</v>
      </c>
    </row>
    <row r="50" ht="15.75" customHeight="1">
      <c r="A50" s="1"/>
      <c r="B50" s="1" t="s">
        <v>1349</v>
      </c>
      <c r="C50" s="1"/>
      <c r="D50" s="1"/>
      <c r="E50" s="1"/>
      <c r="F50" s="1"/>
      <c r="G50" s="13">
        <v>5000.0</v>
      </c>
    </row>
    <row r="51" ht="15.75" customHeight="1">
      <c r="A51" s="1"/>
      <c r="B51" s="1" t="s">
        <v>1350</v>
      </c>
      <c r="C51" s="1"/>
      <c r="D51" s="1"/>
      <c r="E51" s="1"/>
      <c r="F51" s="1"/>
      <c r="G51" s="13">
        <v>2000.0</v>
      </c>
    </row>
    <row r="52" ht="15.75" customHeight="1">
      <c r="A52" s="1"/>
      <c r="B52" s="1" t="s">
        <v>1351</v>
      </c>
      <c r="C52" s="1"/>
      <c r="D52" s="1"/>
      <c r="E52" s="1"/>
      <c r="F52" s="1"/>
      <c r="G52" s="13">
        <v>5400.0</v>
      </c>
    </row>
    <row r="53" ht="15.75" customHeight="1">
      <c r="A53" s="1"/>
      <c r="B53" s="1" t="s">
        <v>1352</v>
      </c>
      <c r="C53" s="1"/>
      <c r="D53" s="1"/>
      <c r="E53" s="1"/>
      <c r="F53" s="1"/>
      <c r="G53" s="13">
        <v>23000.0</v>
      </c>
    </row>
    <row r="54" ht="15.75" customHeight="1">
      <c r="A54" s="1"/>
      <c r="B54" s="1" t="s">
        <v>1353</v>
      </c>
      <c r="C54" s="1"/>
      <c r="D54" s="1"/>
      <c r="E54" s="1"/>
      <c r="F54" s="1"/>
      <c r="G54" s="13">
        <v>22000.0</v>
      </c>
    </row>
    <row r="55" ht="15.75" customHeight="1">
      <c r="A55" s="1"/>
      <c r="B55" s="1" t="s">
        <v>1354</v>
      </c>
      <c r="C55" s="1"/>
      <c r="D55" s="1"/>
      <c r="E55" s="1"/>
      <c r="F55" s="1"/>
      <c r="G55" s="13">
        <v>2000.0</v>
      </c>
    </row>
    <row r="56" ht="15.75" customHeight="1">
      <c r="A56" s="1"/>
      <c r="B56" s="1" t="s">
        <v>1355</v>
      </c>
      <c r="C56" s="1"/>
      <c r="D56" s="1"/>
      <c r="E56" s="1"/>
      <c r="F56" s="1"/>
      <c r="G56" s="13">
        <v>900.0</v>
      </c>
    </row>
    <row r="57" ht="15.75" customHeight="1">
      <c r="A57" s="1"/>
      <c r="B57" s="1" t="s">
        <v>1356</v>
      </c>
      <c r="C57" s="1"/>
      <c r="D57" s="1"/>
      <c r="E57" s="1"/>
      <c r="F57" s="1"/>
      <c r="G57" s="13">
        <v>10000.0</v>
      </c>
    </row>
    <row r="58" ht="15.75" customHeight="1">
      <c r="A58" s="1"/>
      <c r="B58" s="1" t="s">
        <v>1357</v>
      </c>
      <c r="C58" s="1"/>
      <c r="D58" s="1"/>
      <c r="E58" s="1"/>
      <c r="F58" s="1"/>
      <c r="G58" s="13">
        <v>897000.0</v>
      </c>
    </row>
    <row r="59" ht="15.75" customHeight="1">
      <c r="A59" s="1"/>
      <c r="B59" s="1" t="s">
        <v>1358</v>
      </c>
      <c r="C59" s="1"/>
      <c r="D59" s="1"/>
      <c r="E59" s="1"/>
      <c r="F59" s="1"/>
      <c r="G59" s="13">
        <v>2000.0</v>
      </c>
    </row>
    <row r="60" ht="15.75" customHeight="1">
      <c r="A60" s="1"/>
      <c r="B60" s="1" t="s">
        <v>652</v>
      </c>
      <c r="C60" s="1"/>
      <c r="D60" s="1"/>
      <c r="E60" s="1"/>
      <c r="F60" s="1"/>
      <c r="G60" s="13">
        <v>8000.0</v>
      </c>
    </row>
    <row r="61" ht="15.75" customHeight="1">
      <c r="A61" s="1"/>
      <c r="B61" s="1" t="s">
        <v>1359</v>
      </c>
      <c r="C61" s="1"/>
      <c r="D61" s="1"/>
      <c r="E61" s="1"/>
      <c r="F61" s="1"/>
      <c r="G61" s="13">
        <v>25000.0</v>
      </c>
    </row>
    <row r="62" ht="15.75" customHeight="1">
      <c r="A62" s="1"/>
      <c r="B62" s="1"/>
      <c r="C62" s="1"/>
      <c r="D62" s="1"/>
      <c r="E62" s="1"/>
      <c r="F62" s="1"/>
      <c r="G62" s="13"/>
    </row>
    <row r="63" ht="15.75" customHeight="1">
      <c r="A63" s="1"/>
      <c r="B63" s="1"/>
      <c r="C63" s="1"/>
      <c r="D63" s="1"/>
      <c r="E63" s="1"/>
      <c r="F63" s="1"/>
      <c r="G63" s="13" t="s">
        <v>480</v>
      </c>
    </row>
    <row r="64" ht="15.75" customHeight="1">
      <c r="A64" s="1"/>
      <c r="B64" s="43" t="s">
        <v>43</v>
      </c>
      <c r="C64" s="1"/>
      <c r="D64" s="1"/>
      <c r="E64" s="1"/>
      <c r="F64" s="1"/>
      <c r="G64" s="13">
        <f>SUM(G22:G61)</f>
        <v>2496766</v>
      </c>
    </row>
    <row r="65" ht="15.75" customHeight="1">
      <c r="A65" s="1"/>
      <c r="B65" s="19" t="s">
        <v>45</v>
      </c>
      <c r="C65" s="20"/>
      <c r="D65" s="20"/>
      <c r="E65" s="20"/>
      <c r="F65" s="20"/>
      <c r="G65" s="64">
        <f>SUM(G20+G64)</f>
        <v>3083866</v>
      </c>
    </row>
    <row r="66" ht="15.75" customHeight="1">
      <c r="A66" s="1"/>
      <c r="B66" s="4" t="s">
        <v>46</v>
      </c>
      <c r="C66" s="1"/>
      <c r="D66" s="1"/>
      <c r="E66" s="1"/>
      <c r="F66" s="1"/>
      <c r="G66" s="2"/>
    </row>
    <row r="67" ht="15.75" customHeight="1">
      <c r="A67" s="35" t="s">
        <v>1360</v>
      </c>
      <c r="B67" s="36"/>
      <c r="C67" s="37"/>
      <c r="D67" s="37"/>
      <c r="E67" s="37"/>
      <c r="F67" s="37"/>
      <c r="G67" s="38">
        <f>(G11-G65)</f>
        <v>144434</v>
      </c>
    </row>
    <row r="68" ht="15.75" customHeight="1">
      <c r="A68" s="22" t="s">
        <v>254</v>
      </c>
      <c r="B68" s="1" t="s">
        <v>255</v>
      </c>
      <c r="C68" s="1"/>
      <c r="D68" s="1"/>
      <c r="E68" s="1"/>
      <c r="F68" s="1"/>
      <c r="G68" s="2"/>
    </row>
    <row r="69" ht="15.75" customHeight="1">
      <c r="A69" s="22"/>
      <c r="B69" s="1" t="s">
        <v>1311</v>
      </c>
      <c r="C69" s="1"/>
      <c r="D69" s="1"/>
      <c r="E69" s="1"/>
      <c r="F69" s="1"/>
      <c r="G69" s="2">
        <v>2000000.0</v>
      </c>
    </row>
    <row r="70" ht="15.75" customHeight="1">
      <c r="A70" s="22"/>
      <c r="B70" s="1" t="s">
        <v>1361</v>
      </c>
      <c r="C70" s="1"/>
      <c r="D70" s="1"/>
      <c r="E70" s="1"/>
      <c r="F70" s="1"/>
      <c r="G70" s="2">
        <v>150000.0</v>
      </c>
    </row>
    <row r="71" ht="15.75" customHeight="1">
      <c r="A71" s="1"/>
      <c r="B71" s="27" t="s">
        <v>51</v>
      </c>
      <c r="C71" s="27"/>
      <c r="D71" s="27"/>
      <c r="E71" s="27"/>
      <c r="F71" s="27"/>
      <c r="G71" s="2">
        <f>G69+G70</f>
        <v>2150000</v>
      </c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44"/>
      <c r="B73" s="45" t="s">
        <v>1362</v>
      </c>
      <c r="C73" s="46"/>
      <c r="D73" s="46"/>
      <c r="E73" s="46"/>
      <c r="F73" s="46"/>
      <c r="G73" s="65">
        <f>G2+G67-G71</f>
        <v>16145829</v>
      </c>
    </row>
    <row r="74" ht="15.75" customHeight="1">
      <c r="A74" s="1"/>
      <c r="B74" s="1"/>
      <c r="C74" s="1"/>
      <c r="D74" s="1"/>
      <c r="E74" s="1"/>
      <c r="F74" s="1"/>
      <c r="G74" s="2"/>
    </row>
    <row r="75" ht="15.75" customHeight="1">
      <c r="A75" s="1"/>
      <c r="B75" s="32" t="s">
        <v>1363</v>
      </c>
    </row>
    <row r="76" ht="15.75" customHeight="1">
      <c r="A76" s="1"/>
      <c r="B76" s="1"/>
      <c r="C76" s="1" t="s">
        <v>1115</v>
      </c>
      <c r="D76" s="1"/>
      <c r="E76" s="1"/>
      <c r="F76" s="1"/>
      <c r="G76" s="2">
        <v>9200.0</v>
      </c>
    </row>
    <row r="77" ht="15.75" customHeight="1">
      <c r="A77" s="1"/>
      <c r="B77" s="1"/>
      <c r="C77" s="1" t="s">
        <v>1364</v>
      </c>
      <c r="D77" s="1"/>
      <c r="E77" s="1"/>
      <c r="F77" s="1"/>
      <c r="G77" s="2">
        <v>348000.0</v>
      </c>
    </row>
    <row r="78" ht="15.75" customHeight="1">
      <c r="A78" s="1"/>
      <c r="B78" s="1"/>
      <c r="C78" s="43" t="s">
        <v>115</v>
      </c>
      <c r="D78" s="1"/>
      <c r="E78" s="1"/>
      <c r="F78" s="1"/>
      <c r="G78" s="2">
        <f>SUM(G76:G77)</f>
        <v>357200</v>
      </c>
    </row>
    <row r="79" ht="15.75" customHeight="1">
      <c r="A79" s="1"/>
      <c r="B79" s="1"/>
      <c r="C79" s="43"/>
      <c r="D79" s="1"/>
      <c r="E79" s="1"/>
      <c r="F79" s="1"/>
      <c r="G79" s="2"/>
    </row>
    <row r="80" ht="15.75" customHeight="1">
      <c r="A80" s="1"/>
      <c r="B80" s="1" t="s">
        <v>1315</v>
      </c>
      <c r="C80" s="43"/>
      <c r="D80" s="1"/>
      <c r="E80" s="1"/>
      <c r="F80" s="1"/>
      <c r="G80" s="2"/>
    </row>
    <row r="81" ht="15.75" customHeight="1">
      <c r="A81" s="1"/>
      <c r="B81" s="1" t="s">
        <v>1118</v>
      </c>
      <c r="C81" s="43"/>
      <c r="D81" s="1"/>
      <c r="E81" s="1"/>
      <c r="F81" s="1"/>
      <c r="G81" s="1"/>
    </row>
    <row r="82" ht="15.75" customHeight="1">
      <c r="A82" s="1"/>
      <c r="B82" s="33" t="s">
        <v>1365</v>
      </c>
      <c r="C82" s="1"/>
      <c r="D82" s="1"/>
      <c r="E82" s="1"/>
      <c r="F82" s="1"/>
      <c r="G82" s="2"/>
    </row>
    <row r="83" ht="15.75" customHeight="1">
      <c r="A83" s="1"/>
      <c r="B83" s="55" t="s">
        <v>531</v>
      </c>
      <c r="C83" s="56"/>
      <c r="D83" s="56"/>
      <c r="E83" s="56"/>
      <c r="F83" s="1"/>
      <c r="G83" s="2"/>
    </row>
    <row r="84" ht="15.75" customHeight="1">
      <c r="A84" s="1"/>
      <c r="B84" s="55" t="s">
        <v>1366</v>
      </c>
      <c r="C84" s="56"/>
      <c r="D84" s="56"/>
      <c r="E84" s="56"/>
      <c r="F84" s="1"/>
      <c r="G84" s="2"/>
    </row>
    <row r="85" ht="15.75" customHeight="1">
      <c r="A85" s="1"/>
      <c r="B85" s="55" t="s">
        <v>681</v>
      </c>
      <c r="F85" s="1"/>
      <c r="G85" s="2"/>
    </row>
    <row r="86" ht="15.75" customHeight="1">
      <c r="A86" s="1"/>
      <c r="B86" s="55" t="s">
        <v>1367</v>
      </c>
      <c r="C86" s="56"/>
      <c r="D86" s="57"/>
      <c r="E86" s="56"/>
      <c r="F86" s="1"/>
      <c r="G86" s="2"/>
    </row>
    <row r="87" ht="15.75" customHeight="1">
      <c r="A87" s="1"/>
      <c r="B87" s="55" t="s">
        <v>535</v>
      </c>
      <c r="C87" s="56"/>
      <c r="D87" s="57"/>
      <c r="E87" s="56"/>
      <c r="F87" s="1"/>
      <c r="G87" s="2"/>
    </row>
    <row r="88" ht="15.75" customHeight="1">
      <c r="B88" s="55" t="s">
        <v>536</v>
      </c>
      <c r="C88" s="56"/>
      <c r="D88" s="57"/>
      <c r="E88" s="57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75:G75"/>
    <mergeCell ref="B85:E85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0"/>
    <col customWidth="1" min="8" max="26" width="10.71"/>
  </cols>
  <sheetData>
    <row r="1">
      <c r="A1" s="1" t="s">
        <v>721</v>
      </c>
      <c r="B1" s="3" t="s">
        <v>1368</v>
      </c>
      <c r="C1" s="1"/>
      <c r="D1" s="1"/>
      <c r="E1" s="1"/>
      <c r="F1" s="1"/>
      <c r="G1" s="2"/>
    </row>
    <row r="2">
      <c r="A2" s="1"/>
      <c r="B2" s="63" t="s">
        <v>1369</v>
      </c>
      <c r="G2" s="65">
        <v>1.6145829E7</v>
      </c>
    </row>
    <row r="3">
      <c r="A3" s="1"/>
      <c r="G3" s="2"/>
    </row>
    <row r="4">
      <c r="A4" s="6" t="s">
        <v>1370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262300.0</v>
      </c>
      <c r="G5" s="7">
        <v>74000.0</v>
      </c>
    </row>
    <row r="6">
      <c r="A6" s="1"/>
      <c r="B6" s="4" t="s">
        <v>64</v>
      </c>
      <c r="C6" s="1"/>
      <c r="D6" s="1"/>
      <c r="E6" s="1"/>
      <c r="F6" s="2">
        <v>710100.0</v>
      </c>
      <c r="G6" s="7">
        <v>207000.0</v>
      </c>
    </row>
    <row r="7">
      <c r="A7" s="1"/>
      <c r="B7" s="4" t="s">
        <v>65</v>
      </c>
      <c r="C7" s="1"/>
      <c r="D7" s="1"/>
      <c r="E7" s="1"/>
      <c r="F7" s="2">
        <v>517400.0</v>
      </c>
      <c r="G7" s="7">
        <v>147000.0</v>
      </c>
      <c r="I7" s="66"/>
    </row>
    <row r="8">
      <c r="A8" s="1"/>
      <c r="B8" s="4" t="s">
        <v>66</v>
      </c>
      <c r="C8" s="1"/>
      <c r="D8" s="1"/>
      <c r="E8" s="1"/>
      <c r="F8" s="2">
        <v>155800.0</v>
      </c>
      <c r="G8" s="8">
        <v>46000.0</v>
      </c>
    </row>
    <row r="9">
      <c r="A9" s="1"/>
      <c r="B9" s="4" t="s">
        <v>67</v>
      </c>
      <c r="C9" s="1"/>
      <c r="D9" s="49" t="s">
        <v>8</v>
      </c>
      <c r="E9" s="49"/>
      <c r="F9" s="62">
        <v>565100.0</v>
      </c>
      <c r="G9" s="7">
        <v>200000.0</v>
      </c>
    </row>
    <row r="10">
      <c r="A10" s="1"/>
      <c r="B10" s="4"/>
      <c r="C10" s="50" t="s">
        <v>405</v>
      </c>
      <c r="E10" s="4"/>
      <c r="F10" s="2">
        <f t="shared" ref="F10:G10" si="1">SUM(F5:F9)</f>
        <v>2210700</v>
      </c>
      <c r="G10" s="7">
        <f t="shared" si="1"/>
        <v>674000</v>
      </c>
    </row>
    <row r="11">
      <c r="A11" s="1"/>
      <c r="B11" s="51" t="s">
        <v>9</v>
      </c>
      <c r="C11" s="52"/>
      <c r="D11" s="52"/>
      <c r="E11" s="52"/>
      <c r="F11" s="53"/>
      <c r="G11" s="11">
        <f>SUM(F10:G10)</f>
        <v>2884700</v>
      </c>
    </row>
    <row r="12">
      <c r="A12" s="6" t="s">
        <v>1371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12"/>
      <c r="C14" s="1"/>
      <c r="D14" s="1"/>
      <c r="E14" s="1"/>
      <c r="F14" s="1"/>
      <c r="G14" s="2"/>
    </row>
    <row r="15">
      <c r="A15" s="1"/>
      <c r="B15" s="4" t="s">
        <v>1372</v>
      </c>
      <c r="C15" s="1"/>
      <c r="D15" s="1"/>
      <c r="E15" s="1"/>
      <c r="F15" s="1"/>
      <c r="G15" s="2">
        <v>186400.0</v>
      </c>
    </row>
    <row r="16">
      <c r="A16" s="1"/>
      <c r="B16" s="4" t="s">
        <v>13</v>
      </c>
      <c r="C16" s="1"/>
      <c r="D16" s="1"/>
      <c r="E16" s="1"/>
      <c r="F16" s="1"/>
      <c r="G16" s="13">
        <v>100000.0</v>
      </c>
    </row>
    <row r="17">
      <c r="A17" s="1"/>
      <c r="B17" s="4" t="s">
        <v>14</v>
      </c>
      <c r="C17" s="1"/>
      <c r="D17" s="1"/>
      <c r="E17" s="1"/>
      <c r="F17" s="1"/>
      <c r="G17" s="13">
        <v>100000.0</v>
      </c>
    </row>
    <row r="18">
      <c r="A18" s="1"/>
      <c r="B18" s="4" t="s">
        <v>15</v>
      </c>
      <c r="C18" s="1"/>
      <c r="D18" s="1"/>
      <c r="E18" s="1"/>
      <c r="F18" s="1"/>
      <c r="G18" s="2">
        <v>80000.0</v>
      </c>
    </row>
    <row r="19">
      <c r="A19" s="1"/>
      <c r="B19" s="4" t="s">
        <v>16</v>
      </c>
      <c r="C19" s="1"/>
      <c r="D19" s="1"/>
      <c r="E19" s="1"/>
      <c r="F19" s="1"/>
      <c r="G19" s="2">
        <v>60000.0</v>
      </c>
    </row>
    <row r="20">
      <c r="A20" s="1"/>
      <c r="B20" s="4" t="s">
        <v>17</v>
      </c>
      <c r="C20" s="1"/>
      <c r="D20" s="1"/>
      <c r="E20" s="1"/>
      <c r="F20" s="1"/>
      <c r="G20" s="2">
        <v>100000.0</v>
      </c>
    </row>
    <row r="21" ht="15.75" customHeight="1">
      <c r="A21" s="1"/>
      <c r="B21" s="9" t="s">
        <v>18</v>
      </c>
      <c r="C21" s="10"/>
      <c r="D21" s="10"/>
      <c r="E21" s="10"/>
      <c r="F21" s="10"/>
      <c r="G21" s="14">
        <f>SUM(G15:G20)</f>
        <v>626400</v>
      </c>
    </row>
    <row r="22" ht="15.75" customHeight="1">
      <c r="A22" s="1"/>
      <c r="B22" s="12" t="s">
        <v>19</v>
      </c>
      <c r="C22" s="15"/>
      <c r="D22" s="1"/>
      <c r="E22" s="1"/>
      <c r="F22" s="1"/>
      <c r="G22" s="2"/>
    </row>
    <row r="23" ht="15.75" customHeight="1">
      <c r="A23" s="1"/>
      <c r="B23" s="4" t="s">
        <v>1373</v>
      </c>
      <c r="C23" s="15"/>
      <c r="D23" s="1"/>
      <c r="E23" s="1"/>
      <c r="F23" s="1"/>
      <c r="G23" s="2">
        <v>2000.0</v>
      </c>
    </row>
    <row r="24" ht="15.75" customHeight="1">
      <c r="A24" s="1"/>
      <c r="B24" s="4" t="s">
        <v>1374</v>
      </c>
      <c r="C24" s="15"/>
      <c r="D24" s="1"/>
      <c r="E24" s="1"/>
      <c r="F24" s="1"/>
      <c r="G24" s="2">
        <v>400.0</v>
      </c>
    </row>
    <row r="25" ht="15.75" customHeight="1">
      <c r="A25" s="1"/>
      <c r="B25" s="4" t="s">
        <v>1375</v>
      </c>
      <c r="C25" s="15"/>
      <c r="D25" s="1"/>
      <c r="E25" s="1"/>
      <c r="F25" s="1"/>
      <c r="G25" s="2">
        <v>65250.0</v>
      </c>
    </row>
    <row r="26" ht="15.75" customHeight="1">
      <c r="A26" s="1"/>
      <c r="B26" s="4" t="s">
        <v>1376</v>
      </c>
      <c r="C26" s="15"/>
      <c r="D26" s="1"/>
      <c r="E26" s="1"/>
      <c r="F26" s="1"/>
      <c r="G26" s="2">
        <v>18000.0</v>
      </c>
    </row>
    <row r="27" ht="15.75" customHeight="1">
      <c r="A27" s="1"/>
      <c r="B27" s="4" t="s">
        <v>1377</v>
      </c>
      <c r="C27" s="15"/>
      <c r="D27" s="1"/>
      <c r="E27" s="1"/>
      <c r="F27" s="1"/>
      <c r="G27" s="2">
        <v>65250.0</v>
      </c>
    </row>
    <row r="28" ht="15.75" customHeight="1">
      <c r="A28" s="1"/>
      <c r="B28" s="4" t="s">
        <v>1378</v>
      </c>
      <c r="C28" s="15"/>
      <c r="D28" s="1"/>
      <c r="E28" s="1"/>
      <c r="F28" s="1"/>
      <c r="G28" s="2">
        <v>130000.0</v>
      </c>
    </row>
    <row r="29" ht="15.75" customHeight="1">
      <c r="A29" s="1"/>
      <c r="B29" s="4" t="s">
        <v>1379</v>
      </c>
      <c r="C29" s="15"/>
      <c r="D29" s="1"/>
      <c r="E29" s="1"/>
      <c r="F29" s="1"/>
      <c r="G29" s="2">
        <v>2000.0</v>
      </c>
    </row>
    <row r="30" ht="15.75" customHeight="1">
      <c r="A30" s="1"/>
      <c r="B30" s="4" t="s">
        <v>1380</v>
      </c>
      <c r="C30" s="15"/>
      <c r="D30" s="1"/>
      <c r="E30" s="1"/>
      <c r="F30" s="1"/>
      <c r="G30" s="2">
        <v>46000.0</v>
      </c>
    </row>
    <row r="31" ht="15.75" customHeight="1">
      <c r="A31" s="1"/>
      <c r="B31" s="4" t="s">
        <v>1381</v>
      </c>
      <c r="C31" s="15"/>
      <c r="D31" s="1"/>
      <c r="E31" s="1"/>
      <c r="F31" s="1"/>
      <c r="G31" s="2">
        <v>18000.0</v>
      </c>
    </row>
    <row r="32" ht="15.75" customHeight="1">
      <c r="A32" s="1"/>
      <c r="B32" s="4" t="s">
        <v>1382</v>
      </c>
      <c r="C32" s="15"/>
      <c r="D32" s="1"/>
      <c r="E32" s="1"/>
      <c r="F32" s="1"/>
      <c r="G32" s="2">
        <v>10437.0</v>
      </c>
    </row>
    <row r="33" ht="15.75" customHeight="1">
      <c r="A33" s="1"/>
      <c r="B33" s="4" t="s">
        <v>1383</v>
      </c>
      <c r="C33" s="15"/>
      <c r="D33" s="1"/>
      <c r="E33" s="1"/>
      <c r="F33" s="1"/>
      <c r="G33" s="2">
        <v>100000.0</v>
      </c>
    </row>
    <row r="34" ht="15.75" customHeight="1">
      <c r="A34" s="1"/>
      <c r="B34" s="4" t="s">
        <v>1384</v>
      </c>
      <c r="C34" s="15"/>
      <c r="D34" s="1"/>
      <c r="E34" s="1"/>
      <c r="F34" s="1"/>
      <c r="G34" s="2">
        <v>3675.0</v>
      </c>
    </row>
    <row r="35" ht="15.75" customHeight="1">
      <c r="A35" s="1"/>
      <c r="B35" s="4" t="s">
        <v>1385</v>
      </c>
      <c r="C35" s="15"/>
      <c r="D35" s="1"/>
      <c r="E35" s="1"/>
      <c r="F35" s="1"/>
      <c r="G35" s="2">
        <v>196000.0</v>
      </c>
    </row>
    <row r="36" ht="15.75" customHeight="1">
      <c r="A36" s="1"/>
      <c r="B36" s="4" t="s">
        <v>1386</v>
      </c>
      <c r="C36" s="15"/>
      <c r="D36" s="1"/>
      <c r="E36" s="1"/>
      <c r="F36" s="1"/>
      <c r="G36" s="2">
        <v>162458.0</v>
      </c>
    </row>
    <row r="37" ht="15.75" customHeight="1">
      <c r="A37" s="1"/>
      <c r="B37" s="4" t="s">
        <v>1387</v>
      </c>
      <c r="C37" s="15"/>
      <c r="D37" s="1"/>
      <c r="E37" s="1"/>
      <c r="F37" s="1"/>
      <c r="G37" s="2">
        <v>65000.0</v>
      </c>
    </row>
    <row r="38" ht="15.75" customHeight="1">
      <c r="A38" s="1"/>
      <c r="B38" s="4" t="s">
        <v>1388</v>
      </c>
      <c r="C38" s="15"/>
      <c r="D38" s="1"/>
      <c r="E38" s="1"/>
      <c r="F38" s="1"/>
      <c r="G38" s="2">
        <v>2000.0</v>
      </c>
    </row>
    <row r="39" ht="15.75" customHeight="1">
      <c r="A39" s="1"/>
      <c r="B39" s="1" t="s">
        <v>1389</v>
      </c>
      <c r="C39" s="1"/>
      <c r="D39" s="1"/>
      <c r="E39" s="1"/>
      <c r="F39" s="1"/>
      <c r="G39" s="13">
        <v>3675.0</v>
      </c>
    </row>
    <row r="40" ht="15.75" customHeight="1">
      <c r="A40" s="1"/>
      <c r="B40" s="1" t="s">
        <v>1390</v>
      </c>
      <c r="C40" s="1"/>
      <c r="D40" s="1"/>
      <c r="E40" s="1"/>
      <c r="F40" s="1"/>
      <c r="G40" s="13">
        <v>74000.0</v>
      </c>
    </row>
    <row r="41" ht="15.75" customHeight="1">
      <c r="A41" s="1"/>
      <c r="B41" s="1" t="s">
        <v>1391</v>
      </c>
      <c r="C41" s="1"/>
      <c r="D41" s="1"/>
      <c r="E41" s="1"/>
      <c r="F41" s="1"/>
      <c r="G41" s="13">
        <v>2000.0</v>
      </c>
    </row>
    <row r="42" ht="15.75" customHeight="1">
      <c r="A42" s="1"/>
      <c r="B42" s="1" t="s">
        <v>1392</v>
      </c>
      <c r="C42" s="1"/>
      <c r="D42" s="1"/>
      <c r="E42" s="1"/>
      <c r="F42" s="1"/>
      <c r="G42" s="13">
        <v>206895.0</v>
      </c>
    </row>
    <row r="43" ht="15.75" customHeight="1">
      <c r="A43" s="1"/>
      <c r="B43" s="1" t="s">
        <v>1393</v>
      </c>
      <c r="C43" s="1"/>
      <c r="D43" s="1"/>
      <c r="E43" s="1"/>
      <c r="F43" s="1"/>
      <c r="G43" s="13">
        <v>8000.0</v>
      </c>
    </row>
    <row r="44" ht="15.75" customHeight="1">
      <c r="A44" s="1"/>
      <c r="B44" s="1" t="s">
        <v>1394</v>
      </c>
      <c r="C44" s="1"/>
      <c r="D44" s="1"/>
      <c r="E44" s="1"/>
      <c r="F44" s="1"/>
      <c r="G44" s="13">
        <v>5117.0</v>
      </c>
    </row>
    <row r="45" ht="15.75" customHeight="1">
      <c r="A45" s="1"/>
      <c r="B45" s="1" t="s">
        <v>1395</v>
      </c>
      <c r="C45" s="1"/>
      <c r="D45" s="1"/>
      <c r="E45" s="1"/>
      <c r="F45" s="1"/>
      <c r="G45" s="13">
        <v>2000.0</v>
      </c>
    </row>
    <row r="46" ht="15.75" customHeight="1">
      <c r="A46" s="1"/>
      <c r="B46" s="1" t="s">
        <v>1396</v>
      </c>
      <c r="C46" s="1"/>
      <c r="D46" s="1"/>
      <c r="E46" s="1"/>
      <c r="F46" s="1"/>
      <c r="G46" s="13">
        <v>6000.0</v>
      </c>
    </row>
    <row r="47" ht="15.75" customHeight="1">
      <c r="A47" s="1"/>
      <c r="B47" s="1" t="s">
        <v>1397</v>
      </c>
      <c r="C47" s="1"/>
      <c r="D47" s="1"/>
      <c r="E47" s="1"/>
      <c r="F47" s="1"/>
      <c r="G47" s="13">
        <v>22000.0</v>
      </c>
    </row>
    <row r="48" ht="15.75" customHeight="1">
      <c r="A48" s="1"/>
      <c r="B48" s="1" t="s">
        <v>1398</v>
      </c>
      <c r="C48" s="1"/>
      <c r="D48" s="1"/>
      <c r="E48" s="1"/>
      <c r="F48" s="1"/>
      <c r="G48" s="13">
        <v>13000.0</v>
      </c>
    </row>
    <row r="49" ht="15.75" customHeight="1">
      <c r="A49" s="1"/>
      <c r="B49" s="1" t="s">
        <v>1399</v>
      </c>
      <c r="C49" s="1"/>
      <c r="D49" s="1"/>
      <c r="E49" s="1"/>
      <c r="F49" s="1"/>
      <c r="G49" s="13">
        <v>5000.0</v>
      </c>
    </row>
    <row r="50" ht="15.75" customHeight="1">
      <c r="A50" s="1"/>
      <c r="B50" s="1" t="s">
        <v>463</v>
      </c>
      <c r="C50" s="1"/>
      <c r="D50" s="1"/>
      <c r="E50" s="1"/>
      <c r="F50" s="1"/>
      <c r="G50" s="13">
        <v>10000.0</v>
      </c>
    </row>
    <row r="51" ht="15.75" customHeight="1">
      <c r="A51" s="1"/>
      <c r="B51" s="1" t="s">
        <v>1400</v>
      </c>
      <c r="C51" s="1"/>
      <c r="D51" s="1"/>
      <c r="E51" s="1"/>
      <c r="F51" s="1"/>
      <c r="G51" s="13">
        <v>10000.0</v>
      </c>
    </row>
    <row r="52" ht="15.75" customHeight="1">
      <c r="A52" s="1"/>
      <c r="B52" s="1" t="s">
        <v>1401</v>
      </c>
      <c r="C52" s="1"/>
      <c r="D52" s="1"/>
      <c r="E52" s="1"/>
      <c r="F52" s="1"/>
      <c r="G52" s="13">
        <v>22000.0</v>
      </c>
    </row>
    <row r="53" ht="15.75" customHeight="1">
      <c r="A53" s="1"/>
      <c r="B53" s="1" t="s">
        <v>1402</v>
      </c>
      <c r="C53" s="1"/>
      <c r="D53" s="1"/>
      <c r="E53" s="1"/>
      <c r="F53" s="1"/>
      <c r="G53" s="13">
        <v>21000.0</v>
      </c>
    </row>
    <row r="54" ht="15.75" customHeight="1">
      <c r="A54" s="1"/>
      <c r="B54" s="1" t="s">
        <v>1403</v>
      </c>
      <c r="C54" s="1"/>
      <c r="D54" s="1"/>
      <c r="E54" s="1"/>
      <c r="F54" s="1"/>
      <c r="G54" s="13">
        <v>2000.0</v>
      </c>
    </row>
    <row r="55" ht="15.75" customHeight="1">
      <c r="A55" s="1"/>
      <c r="B55" s="1" t="s">
        <v>1404</v>
      </c>
      <c r="C55" s="1"/>
      <c r="D55" s="1"/>
      <c r="E55" s="1"/>
      <c r="F55" s="1"/>
      <c r="G55" s="13">
        <v>2000.0</v>
      </c>
    </row>
    <row r="56" ht="15.75" customHeight="1">
      <c r="A56" s="1"/>
      <c r="B56" s="1" t="s">
        <v>1405</v>
      </c>
      <c r="C56" s="1"/>
      <c r="D56" s="1"/>
      <c r="E56" s="1"/>
      <c r="F56" s="1"/>
      <c r="G56" s="13">
        <v>2500.0</v>
      </c>
    </row>
    <row r="57" ht="15.75" customHeight="1">
      <c r="A57" s="1"/>
      <c r="B57" s="1" t="s">
        <v>1406</v>
      </c>
      <c r="C57" s="1"/>
      <c r="D57" s="1"/>
      <c r="E57" s="1"/>
      <c r="F57" s="1"/>
      <c r="G57" s="13">
        <v>45925.0</v>
      </c>
    </row>
    <row r="58" ht="15.75" customHeight="1">
      <c r="A58" s="1"/>
      <c r="B58" s="1" t="s">
        <v>1407</v>
      </c>
      <c r="C58" s="1"/>
      <c r="D58" s="1"/>
      <c r="E58" s="1"/>
      <c r="F58" s="1"/>
      <c r="G58" s="13">
        <v>2000.0</v>
      </c>
    </row>
    <row r="59" ht="15.75" customHeight="1">
      <c r="A59" s="1"/>
      <c r="B59" s="1" t="s">
        <v>1408</v>
      </c>
      <c r="C59" s="1"/>
      <c r="D59" s="1"/>
      <c r="E59" s="1"/>
      <c r="F59" s="1"/>
      <c r="G59" s="13">
        <v>500.0</v>
      </c>
    </row>
    <row r="60" ht="15.75" customHeight="1">
      <c r="A60" s="1"/>
      <c r="B60" s="1" t="s">
        <v>1409</v>
      </c>
      <c r="C60" s="1"/>
      <c r="D60" s="1"/>
      <c r="E60" s="1"/>
      <c r="F60" s="1"/>
      <c r="G60" s="13">
        <v>1609.0</v>
      </c>
    </row>
    <row r="61" ht="15.75" customHeight="1">
      <c r="A61" s="1"/>
      <c r="B61" s="1" t="s">
        <v>1410</v>
      </c>
      <c r="C61" s="1"/>
      <c r="D61" s="1"/>
      <c r="E61" s="1"/>
      <c r="F61" s="1"/>
      <c r="G61" s="13">
        <v>6298.0</v>
      </c>
    </row>
    <row r="62" ht="15.75" customHeight="1">
      <c r="A62" s="1"/>
      <c r="B62" s="1" t="s">
        <v>1411</v>
      </c>
      <c r="C62" s="1"/>
      <c r="D62" s="1"/>
      <c r="E62" s="1"/>
      <c r="F62" s="1"/>
      <c r="G62" s="13">
        <v>4250.0</v>
      </c>
    </row>
    <row r="63" ht="15.75" customHeight="1">
      <c r="A63" s="1"/>
      <c r="B63" s="1" t="s">
        <v>1412</v>
      </c>
      <c r="C63" s="1"/>
      <c r="D63" s="1"/>
      <c r="E63" s="1"/>
      <c r="F63" s="1"/>
      <c r="G63" s="13">
        <v>30000.0</v>
      </c>
    </row>
    <row r="64" ht="15.75" customHeight="1">
      <c r="A64" s="1"/>
      <c r="B64" s="1" t="s">
        <v>1413</v>
      </c>
      <c r="C64" s="1"/>
      <c r="D64" s="1"/>
      <c r="E64" s="1"/>
      <c r="F64" s="1"/>
      <c r="G64" s="13">
        <v>38350.0</v>
      </c>
    </row>
    <row r="65" ht="15.75" customHeight="1">
      <c r="A65" s="1"/>
      <c r="B65" s="1" t="s">
        <v>1414</v>
      </c>
      <c r="C65" s="1"/>
      <c r="D65" s="1"/>
      <c r="E65" s="1"/>
      <c r="F65" s="1"/>
      <c r="G65" s="13">
        <v>54000.0</v>
      </c>
    </row>
    <row r="66" ht="15.75" customHeight="1">
      <c r="A66" s="1"/>
      <c r="B66" s="1" t="s">
        <v>1415</v>
      </c>
      <c r="C66" s="1"/>
      <c r="D66" s="1"/>
      <c r="E66" s="1"/>
      <c r="F66" s="1"/>
      <c r="G66" s="13">
        <v>65250.0</v>
      </c>
    </row>
    <row r="67" ht="15.75" customHeight="1">
      <c r="A67" s="1"/>
      <c r="B67" s="1" t="s">
        <v>1416</v>
      </c>
      <c r="C67" s="1"/>
      <c r="D67" s="1"/>
      <c r="E67" s="1"/>
      <c r="F67" s="1"/>
      <c r="G67" s="13">
        <v>10000.0</v>
      </c>
    </row>
    <row r="68" ht="15.75" customHeight="1">
      <c r="A68" s="1"/>
      <c r="B68" s="1" t="s">
        <v>1417</v>
      </c>
      <c r="C68" s="1"/>
      <c r="D68" s="1"/>
      <c r="E68" s="1"/>
      <c r="F68" s="1"/>
      <c r="G68" s="13">
        <v>10000.0</v>
      </c>
    </row>
    <row r="69" ht="15.75" customHeight="1">
      <c r="A69" s="1"/>
      <c r="B69" s="1"/>
      <c r="C69" s="1"/>
      <c r="D69" s="1"/>
      <c r="E69" s="1"/>
      <c r="F69" s="1"/>
      <c r="G69" s="13" t="s">
        <v>480</v>
      </c>
    </row>
    <row r="70" ht="15.75" customHeight="1">
      <c r="A70" s="1"/>
      <c r="B70" s="1"/>
      <c r="C70" s="1"/>
      <c r="D70" s="1"/>
      <c r="E70" s="1"/>
      <c r="F70" s="1"/>
      <c r="G70" s="13" t="s">
        <v>480</v>
      </c>
    </row>
    <row r="71" ht="15.75" customHeight="1">
      <c r="A71" s="1"/>
      <c r="B71" s="43" t="s">
        <v>43</v>
      </c>
      <c r="C71" s="1"/>
      <c r="D71" s="1"/>
      <c r="E71" s="1"/>
      <c r="F71" s="1"/>
      <c r="G71" s="13">
        <f>SUM(G23:G68)</f>
        <v>1571839</v>
      </c>
    </row>
    <row r="72" ht="15.75" customHeight="1">
      <c r="A72" s="1"/>
      <c r="B72" s="19" t="s">
        <v>45</v>
      </c>
      <c r="C72" s="20"/>
      <c r="D72" s="20"/>
      <c r="E72" s="20"/>
      <c r="F72" s="20"/>
      <c r="G72" s="64">
        <f>SUM(G21+G71)</f>
        <v>2198239</v>
      </c>
    </row>
    <row r="73" ht="15.75" customHeight="1">
      <c r="A73" s="1"/>
      <c r="B73" s="4" t="s">
        <v>46</v>
      </c>
      <c r="C73" s="1"/>
      <c r="D73" s="1"/>
      <c r="E73" s="1"/>
      <c r="F73" s="1"/>
      <c r="G73" s="2"/>
    </row>
    <row r="74" ht="15.75" customHeight="1">
      <c r="A74" s="35" t="s">
        <v>1418</v>
      </c>
      <c r="B74" s="36"/>
      <c r="C74" s="37"/>
      <c r="D74" s="37"/>
      <c r="E74" s="37"/>
      <c r="F74" s="37"/>
      <c r="G74" s="38">
        <f>(G11-G72)</f>
        <v>686461</v>
      </c>
    </row>
    <row r="75" ht="15.75" customHeight="1">
      <c r="A75" s="22" t="s">
        <v>254</v>
      </c>
      <c r="B75" s="1" t="s">
        <v>255</v>
      </c>
      <c r="C75" s="1"/>
      <c r="D75" s="1"/>
      <c r="E75" s="1"/>
      <c r="F75" s="1"/>
      <c r="G75" s="2"/>
    </row>
    <row r="76" ht="15.75" customHeight="1">
      <c r="A76" s="22"/>
      <c r="B76" s="1" t="s">
        <v>1419</v>
      </c>
      <c r="C76" s="1"/>
      <c r="D76" s="1"/>
      <c r="E76" s="1"/>
      <c r="F76" s="1"/>
      <c r="G76" s="2">
        <v>320000.0</v>
      </c>
    </row>
    <row r="77" ht="15.75" customHeight="1">
      <c r="A77" s="22"/>
      <c r="B77" s="1" t="s">
        <v>1420</v>
      </c>
      <c r="C77" s="1"/>
      <c r="D77" s="1"/>
      <c r="E77" s="1"/>
      <c r="F77" s="1"/>
      <c r="G77" s="2">
        <v>5000000.0</v>
      </c>
    </row>
    <row r="78" ht="15.75" customHeight="1">
      <c r="A78" s="22"/>
      <c r="B78" s="1" t="s">
        <v>1421</v>
      </c>
      <c r="C78" s="1"/>
      <c r="D78" s="1"/>
      <c r="E78" s="1"/>
      <c r="F78" s="1"/>
      <c r="G78" s="2">
        <v>310000.0</v>
      </c>
    </row>
    <row r="79" ht="15.75" customHeight="1">
      <c r="A79" s="22"/>
      <c r="B79" s="1" t="s">
        <v>1422</v>
      </c>
      <c r="C79" s="1"/>
      <c r="D79" s="1"/>
      <c r="E79" s="1"/>
      <c r="F79" s="1"/>
      <c r="G79" s="2">
        <v>150300.0</v>
      </c>
    </row>
    <row r="80" ht="15.75" customHeight="1">
      <c r="A80" s="1"/>
      <c r="B80" s="27" t="s">
        <v>51</v>
      </c>
      <c r="C80" s="27"/>
      <c r="D80" s="27"/>
      <c r="E80" s="27"/>
      <c r="F80" s="27"/>
      <c r="G80" s="2">
        <f>G76+G77+G78+G79</f>
        <v>5780300</v>
      </c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44"/>
      <c r="B82" s="45" t="s">
        <v>1423</v>
      </c>
      <c r="C82" s="46"/>
      <c r="D82" s="46"/>
      <c r="E82" s="46"/>
      <c r="F82" s="46"/>
      <c r="G82" s="65">
        <f>G2+G74-G80</f>
        <v>11051990</v>
      </c>
    </row>
    <row r="83" ht="15.75" customHeight="1">
      <c r="A83" s="1"/>
      <c r="B83" s="1"/>
      <c r="C83" s="1"/>
      <c r="D83" s="1"/>
      <c r="E83" s="1"/>
      <c r="F83" s="1"/>
      <c r="G83" s="2"/>
    </row>
    <row r="84" ht="15.75" customHeight="1">
      <c r="A84" s="1"/>
      <c r="B84" s="32" t="s">
        <v>1424</v>
      </c>
    </row>
    <row r="85" ht="15.75" customHeight="1">
      <c r="A85" s="1"/>
      <c r="B85" s="1"/>
      <c r="C85" s="1" t="s">
        <v>1115</v>
      </c>
      <c r="D85" s="1"/>
      <c r="E85" s="1"/>
      <c r="F85" s="1"/>
      <c r="G85" s="2">
        <v>1400.0</v>
      </c>
    </row>
    <row r="86" ht="15.75" customHeight="1">
      <c r="A86" s="1"/>
      <c r="B86" s="1"/>
      <c r="C86" s="1" t="s">
        <v>1425</v>
      </c>
      <c r="D86" s="1"/>
      <c r="E86" s="1"/>
      <c r="F86" s="1"/>
      <c r="G86" s="2">
        <v>487100.0</v>
      </c>
    </row>
    <row r="87" ht="15.75" customHeight="1">
      <c r="A87" s="1"/>
      <c r="B87" s="1"/>
      <c r="C87" s="43" t="s">
        <v>115</v>
      </c>
      <c r="D87" s="1"/>
      <c r="E87" s="1"/>
      <c r="F87" s="1"/>
      <c r="G87" s="2">
        <f>SUM(G85:G86)</f>
        <v>488500</v>
      </c>
    </row>
    <row r="88" ht="15.75" customHeight="1">
      <c r="A88" s="1"/>
      <c r="B88" s="1"/>
      <c r="C88" s="43"/>
      <c r="D88" s="1"/>
      <c r="E88" s="1"/>
      <c r="F88" s="1"/>
      <c r="G88" s="2"/>
    </row>
    <row r="89" ht="15.75" customHeight="1">
      <c r="A89" s="1"/>
      <c r="B89" s="1" t="s">
        <v>1315</v>
      </c>
      <c r="C89" s="43"/>
      <c r="D89" s="1"/>
      <c r="E89" s="1"/>
      <c r="F89" s="1"/>
      <c r="G89" s="2"/>
    </row>
    <row r="90" ht="15.75" customHeight="1">
      <c r="A90" s="1"/>
      <c r="B90" s="1" t="s">
        <v>1118</v>
      </c>
      <c r="C90" s="43"/>
      <c r="D90" s="1"/>
      <c r="E90" s="1"/>
      <c r="F90" s="1"/>
      <c r="G90" s="1"/>
    </row>
    <row r="91" ht="15.75" customHeight="1">
      <c r="A91" s="1"/>
      <c r="B91" s="33" t="s">
        <v>1426</v>
      </c>
      <c r="C91" s="1"/>
      <c r="D91" s="1"/>
      <c r="E91" s="1"/>
      <c r="F91" s="1"/>
      <c r="G91" s="2"/>
    </row>
    <row r="92" ht="15.75" customHeight="1">
      <c r="A92" s="1"/>
      <c r="B92" s="33"/>
      <c r="C92" s="1"/>
      <c r="D92" s="1"/>
      <c r="E92" s="1"/>
      <c r="F92" s="1"/>
      <c r="G92" s="2"/>
    </row>
    <row r="93" ht="15.75" customHeight="1">
      <c r="A93" s="1"/>
      <c r="B93" s="55" t="s">
        <v>531</v>
      </c>
      <c r="C93" s="56"/>
      <c r="D93" s="56"/>
      <c r="E93" s="56"/>
      <c r="F93" s="1"/>
      <c r="G93" s="2"/>
    </row>
    <row r="94" ht="15.75" customHeight="1">
      <c r="A94" s="1"/>
      <c r="B94" s="55"/>
      <c r="C94" s="56"/>
      <c r="D94" s="56"/>
      <c r="E94" s="56"/>
      <c r="F94" s="1"/>
      <c r="G94" s="2"/>
    </row>
    <row r="95" ht="15.75" customHeight="1">
      <c r="A95" s="1"/>
      <c r="B95" s="55" t="s">
        <v>1427</v>
      </c>
      <c r="C95" s="56"/>
      <c r="D95" s="56"/>
      <c r="E95" s="56"/>
      <c r="F95" s="1"/>
      <c r="G95" s="2"/>
    </row>
    <row r="96" ht="15.75" customHeight="1">
      <c r="A96" s="1"/>
      <c r="B96" s="55"/>
      <c r="C96" s="56"/>
      <c r="D96" s="56"/>
      <c r="E96" s="56"/>
      <c r="F96" s="1"/>
      <c r="G96" s="2"/>
    </row>
    <row r="97" ht="15.75" customHeight="1">
      <c r="A97" s="1"/>
      <c r="B97" s="55" t="s">
        <v>681</v>
      </c>
      <c r="F97" s="1"/>
      <c r="G97" s="2"/>
    </row>
    <row r="98" ht="15.75" customHeight="1">
      <c r="A98" s="1"/>
      <c r="B98" s="55"/>
      <c r="C98" s="55"/>
      <c r="D98" s="55"/>
      <c r="E98" s="55"/>
      <c r="F98" s="1"/>
      <c r="G98" s="2"/>
    </row>
    <row r="99" ht="15.75" customHeight="1">
      <c r="A99" s="1"/>
      <c r="B99" s="55" t="s">
        <v>1428</v>
      </c>
      <c r="C99" s="56"/>
      <c r="D99" s="57"/>
      <c r="E99" s="56"/>
      <c r="F99" s="1"/>
      <c r="G99" s="2"/>
    </row>
    <row r="100" ht="15.75" customHeight="1">
      <c r="A100" s="1"/>
      <c r="B100" s="55"/>
      <c r="C100" s="56"/>
      <c r="D100" s="57"/>
      <c r="E100" s="56"/>
      <c r="F100" s="1"/>
      <c r="G100" s="2"/>
    </row>
    <row r="101" ht="15.75" customHeight="1">
      <c r="A101" s="1"/>
      <c r="B101" s="55" t="s">
        <v>535</v>
      </c>
      <c r="C101" s="56"/>
      <c r="D101" s="57"/>
      <c r="E101" s="56"/>
      <c r="F101" s="1"/>
      <c r="G101" s="2"/>
    </row>
    <row r="102" ht="15.75" customHeight="1">
      <c r="A102" s="1"/>
      <c r="B102" s="55"/>
      <c r="C102" s="56" t="s">
        <v>480</v>
      </c>
      <c r="D102" s="57"/>
      <c r="E102" s="56"/>
      <c r="F102" s="1"/>
      <c r="G102" s="2"/>
    </row>
    <row r="103" ht="15.75" customHeight="1">
      <c r="B103" s="55" t="s">
        <v>536</v>
      </c>
      <c r="C103" s="56"/>
      <c r="D103" s="57"/>
      <c r="E103" s="57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84:G84"/>
    <mergeCell ref="B97:E97"/>
  </mergeCells>
  <printOptions/>
  <pageMargins bottom="0.75" footer="0.0" header="0.0" left="0.7" right="0.7" top="0.75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1.43"/>
    <col customWidth="1" min="7" max="7" width="16.0"/>
    <col customWidth="1" min="8" max="26" width="10.71"/>
  </cols>
  <sheetData>
    <row r="1">
      <c r="A1" s="1" t="s">
        <v>721</v>
      </c>
      <c r="B1" s="3" t="s">
        <v>1429</v>
      </c>
      <c r="C1" s="1"/>
      <c r="D1" s="1"/>
      <c r="E1" s="1"/>
      <c r="F1" s="1"/>
      <c r="G1" s="2"/>
    </row>
    <row r="2">
      <c r="A2" s="1"/>
      <c r="B2" s="63" t="s">
        <v>1430</v>
      </c>
      <c r="G2" s="65">
        <v>1.105199E7</v>
      </c>
    </row>
    <row r="3">
      <c r="A3" s="1"/>
      <c r="G3" s="2"/>
    </row>
    <row r="4">
      <c r="A4" s="6" t="s">
        <v>1431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678800.0</v>
      </c>
      <c r="G5" s="7">
        <v>159000.0</v>
      </c>
    </row>
    <row r="6">
      <c r="A6" s="1"/>
      <c r="B6" s="4" t="s">
        <v>64</v>
      </c>
      <c r="C6" s="1"/>
      <c r="D6" s="1"/>
      <c r="E6" s="1"/>
      <c r="F6" s="2">
        <v>435700.0</v>
      </c>
      <c r="G6" s="7">
        <v>227000.0</v>
      </c>
    </row>
    <row r="7">
      <c r="A7" s="1"/>
      <c r="B7" s="4" t="s">
        <v>65</v>
      </c>
      <c r="C7" s="1"/>
      <c r="D7" s="1"/>
      <c r="E7" s="1"/>
      <c r="F7" s="2">
        <v>247500.0</v>
      </c>
      <c r="G7" s="7">
        <v>176000.0</v>
      </c>
    </row>
    <row r="8">
      <c r="A8" s="1"/>
      <c r="B8" s="4" t="s">
        <v>66</v>
      </c>
      <c r="C8" s="1"/>
      <c r="D8" s="1"/>
      <c r="E8" s="1"/>
      <c r="F8" s="2">
        <v>468700.0</v>
      </c>
      <c r="G8" s="8">
        <v>324000.0</v>
      </c>
    </row>
    <row r="9">
      <c r="A9" s="1"/>
      <c r="B9" s="4" t="s">
        <v>67</v>
      </c>
      <c r="C9" s="1"/>
      <c r="D9" s="49" t="s">
        <v>8</v>
      </c>
      <c r="E9" s="49"/>
      <c r="F9" s="62">
        <v>178300.0</v>
      </c>
      <c r="G9" s="7">
        <v>127000.0</v>
      </c>
    </row>
    <row r="10">
      <c r="A10" s="1"/>
      <c r="B10" s="4"/>
      <c r="C10" s="50" t="s">
        <v>405</v>
      </c>
      <c r="E10" s="4"/>
      <c r="F10" s="2">
        <f t="shared" ref="F10:G10" si="1">SUM(F5:F9)</f>
        <v>2009000</v>
      </c>
      <c r="G10" s="7">
        <f t="shared" si="1"/>
        <v>1013000</v>
      </c>
    </row>
    <row r="11">
      <c r="A11" s="1"/>
      <c r="B11" s="51" t="s">
        <v>9</v>
      </c>
      <c r="C11" s="52"/>
      <c r="D11" s="52"/>
      <c r="E11" s="52"/>
      <c r="F11" s="53"/>
      <c r="G11" s="11">
        <f>SUM(F10:G10)</f>
        <v>3022000</v>
      </c>
    </row>
    <row r="12">
      <c r="A12" s="6" t="s">
        <v>1432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1372</v>
      </c>
      <c r="C14" s="1"/>
      <c r="D14" s="1"/>
      <c r="E14" s="1"/>
      <c r="F14" s="1"/>
      <c r="G14" s="2">
        <v>186400.0</v>
      </c>
    </row>
    <row r="15">
      <c r="A15" s="1"/>
      <c r="B15" s="4" t="s">
        <v>13</v>
      </c>
      <c r="C15" s="1"/>
      <c r="D15" s="1"/>
      <c r="E15" s="1"/>
      <c r="F15" s="1"/>
      <c r="G15" s="13">
        <v>100000.0</v>
      </c>
    </row>
    <row r="16">
      <c r="A16" s="1"/>
      <c r="B16" s="4" t="s">
        <v>14</v>
      </c>
      <c r="C16" s="1"/>
      <c r="D16" s="1"/>
      <c r="E16" s="1"/>
      <c r="F16" s="1"/>
      <c r="G16" s="13">
        <v>100000.0</v>
      </c>
    </row>
    <row r="17">
      <c r="A17" s="1"/>
      <c r="B17" s="4" t="s">
        <v>15</v>
      </c>
      <c r="C17" s="1"/>
      <c r="D17" s="1"/>
      <c r="E17" s="1"/>
      <c r="F17" s="1"/>
      <c r="G17" s="2">
        <v>80000.0</v>
      </c>
    </row>
    <row r="18">
      <c r="A18" s="1"/>
      <c r="B18" s="4" t="s">
        <v>16</v>
      </c>
      <c r="C18" s="1"/>
      <c r="D18" s="1"/>
      <c r="E18" s="1"/>
      <c r="F18" s="1"/>
      <c r="G18" s="2">
        <v>60000.0</v>
      </c>
    </row>
    <row r="19">
      <c r="A19" s="1"/>
      <c r="B19" s="4" t="s">
        <v>17</v>
      </c>
      <c r="C19" s="1"/>
      <c r="D19" s="1"/>
      <c r="E19" s="1"/>
      <c r="F19" s="1"/>
      <c r="G19" s="2">
        <v>100000.0</v>
      </c>
    </row>
    <row r="20">
      <c r="A20" s="1"/>
      <c r="B20" s="9" t="s">
        <v>18</v>
      </c>
      <c r="C20" s="10"/>
      <c r="D20" s="10"/>
      <c r="E20" s="10"/>
      <c r="F20" s="10"/>
      <c r="G20" s="14">
        <f>SUM(G14:G19)</f>
        <v>626400</v>
      </c>
    </row>
    <row r="21" ht="15.75" customHeight="1">
      <c r="A21" s="1"/>
      <c r="B21" s="12" t="s">
        <v>19</v>
      </c>
      <c r="C21" s="15"/>
      <c r="D21" s="1"/>
      <c r="E21" s="1"/>
      <c r="F21" s="1"/>
      <c r="G21" s="2"/>
    </row>
    <row r="22" ht="15.75" customHeight="1">
      <c r="A22" s="1"/>
      <c r="B22" s="12" t="s">
        <v>1433</v>
      </c>
      <c r="C22" s="15"/>
      <c r="D22" s="1"/>
      <c r="E22" s="1"/>
      <c r="F22" s="1"/>
      <c r="G22" s="2">
        <v>22500.0</v>
      </c>
    </row>
    <row r="23" ht="15.75" customHeight="1">
      <c r="A23" s="1"/>
      <c r="B23" s="4" t="s">
        <v>1434</v>
      </c>
      <c r="C23" s="15"/>
      <c r="D23" s="1"/>
      <c r="E23" s="1"/>
      <c r="F23" s="1"/>
      <c r="G23" s="2">
        <v>2000.0</v>
      </c>
    </row>
    <row r="24" ht="15.75" customHeight="1">
      <c r="A24" s="1"/>
      <c r="B24" s="4" t="s">
        <v>1435</v>
      </c>
      <c r="C24" s="15"/>
      <c r="D24" s="1"/>
      <c r="E24" s="1"/>
      <c r="F24" s="1"/>
      <c r="G24" s="2">
        <v>1500.0</v>
      </c>
    </row>
    <row r="25" ht="15.75" customHeight="1">
      <c r="A25" s="1"/>
      <c r="B25" s="4" t="s">
        <v>1436</v>
      </c>
      <c r="C25" s="15"/>
      <c r="D25" s="1"/>
      <c r="E25" s="1"/>
      <c r="F25" s="1"/>
      <c r="G25" s="2">
        <v>2000.0</v>
      </c>
    </row>
    <row r="26" ht="15.75" customHeight="1">
      <c r="A26" s="1"/>
      <c r="B26" s="4" t="s">
        <v>1437</v>
      </c>
      <c r="C26" s="15"/>
      <c r="D26" s="1"/>
      <c r="E26" s="1"/>
      <c r="F26" s="1"/>
      <c r="G26" s="2">
        <v>5000.0</v>
      </c>
    </row>
    <row r="27" ht="15.75" customHeight="1">
      <c r="A27" s="1"/>
      <c r="B27" s="4" t="s">
        <v>1438</v>
      </c>
      <c r="C27" s="15"/>
      <c r="D27" s="1"/>
      <c r="E27" s="1"/>
      <c r="F27" s="1"/>
      <c r="G27" s="2">
        <v>69000.0</v>
      </c>
    </row>
    <row r="28" ht="15.75" customHeight="1">
      <c r="A28" s="1"/>
      <c r="B28" s="4" t="s">
        <v>1439</v>
      </c>
      <c r="C28" s="15"/>
      <c r="D28" s="1"/>
      <c r="E28" s="1"/>
      <c r="F28" s="1"/>
      <c r="G28" s="2">
        <v>50000.0</v>
      </c>
    </row>
    <row r="29" ht="15.75" customHeight="1">
      <c r="A29" s="1"/>
      <c r="B29" s="4" t="s">
        <v>1440</v>
      </c>
      <c r="C29" s="15"/>
      <c r="D29" s="1"/>
      <c r="E29" s="1"/>
      <c r="F29" s="1"/>
      <c r="G29" s="2">
        <v>2000.0</v>
      </c>
    </row>
    <row r="30" ht="15.75" customHeight="1">
      <c r="A30" s="1"/>
      <c r="B30" s="4" t="s">
        <v>1441</v>
      </c>
      <c r="C30" s="15"/>
      <c r="D30" s="1"/>
      <c r="E30" s="1"/>
      <c r="F30" s="1"/>
      <c r="G30" s="2">
        <v>3500.0</v>
      </c>
    </row>
    <row r="31" ht="15.75" customHeight="1">
      <c r="A31" s="1"/>
      <c r="B31" s="4" t="s">
        <v>463</v>
      </c>
      <c r="C31" s="15"/>
      <c r="D31" s="1"/>
      <c r="E31" s="1"/>
      <c r="F31" s="1"/>
      <c r="G31" s="2">
        <v>10000.0</v>
      </c>
    </row>
    <row r="32" ht="15.75" customHeight="1">
      <c r="A32" s="1"/>
      <c r="B32" s="4" t="s">
        <v>1442</v>
      </c>
      <c r="C32" s="15"/>
      <c r="D32" s="1"/>
      <c r="E32" s="1"/>
      <c r="F32" s="1"/>
      <c r="G32" s="2">
        <v>107275.0</v>
      </c>
    </row>
    <row r="33" ht="15.75" customHeight="1">
      <c r="A33" s="1"/>
      <c r="B33" s="4" t="s">
        <v>1443</v>
      </c>
      <c r="C33" s="15"/>
      <c r="D33" s="1"/>
      <c r="E33" s="1"/>
      <c r="F33" s="1"/>
      <c r="G33" s="2">
        <v>432300.0</v>
      </c>
    </row>
    <row r="34" ht="15.75" customHeight="1">
      <c r="A34" s="1"/>
      <c r="B34" s="4" t="s">
        <v>1444</v>
      </c>
      <c r="C34" s="15"/>
      <c r="D34" s="1"/>
      <c r="E34" s="1"/>
      <c r="F34" s="1"/>
      <c r="G34" s="2">
        <v>2000.0</v>
      </c>
    </row>
    <row r="35" ht="15.75" customHeight="1">
      <c r="A35" s="1"/>
      <c r="B35" s="4" t="s">
        <v>1445</v>
      </c>
      <c r="C35" s="15"/>
      <c r="D35" s="1"/>
      <c r="E35" s="1"/>
      <c r="F35" s="1"/>
      <c r="G35" s="2">
        <v>4364.0</v>
      </c>
    </row>
    <row r="36" ht="15.75" customHeight="1">
      <c r="A36" s="1"/>
      <c r="B36" s="4" t="s">
        <v>1446</v>
      </c>
      <c r="C36" s="15"/>
      <c r="D36" s="1"/>
      <c r="E36" s="1"/>
      <c r="F36" s="1"/>
      <c r="G36" s="2">
        <v>5000.0</v>
      </c>
    </row>
    <row r="37" ht="15.75" customHeight="1">
      <c r="A37" s="1"/>
      <c r="B37" s="4" t="s">
        <v>1447</v>
      </c>
      <c r="C37" s="15"/>
      <c r="D37" s="1"/>
      <c r="E37" s="1"/>
      <c r="F37" s="1"/>
      <c r="G37" s="2">
        <v>100000.0</v>
      </c>
    </row>
    <row r="38" ht="15.75" customHeight="1">
      <c r="A38" s="1"/>
      <c r="B38" s="4" t="s">
        <v>1448</v>
      </c>
      <c r="C38" s="15"/>
      <c r="D38" s="1"/>
      <c r="E38" s="1"/>
      <c r="F38" s="1"/>
      <c r="G38" s="2">
        <v>1500.0</v>
      </c>
    </row>
    <row r="39" ht="15.75" customHeight="1">
      <c r="A39" s="1"/>
      <c r="B39" s="1" t="s">
        <v>1449</v>
      </c>
      <c r="C39" s="1"/>
      <c r="D39" s="1"/>
      <c r="E39" s="1"/>
      <c r="F39" s="1"/>
      <c r="G39" s="13">
        <v>1000.0</v>
      </c>
    </row>
    <row r="40" ht="15.75" customHeight="1">
      <c r="A40" s="1"/>
      <c r="B40" s="1" t="s">
        <v>1450</v>
      </c>
      <c r="C40" s="1"/>
      <c r="D40" s="1"/>
      <c r="E40" s="1"/>
      <c r="F40" s="1"/>
      <c r="G40" s="13">
        <v>10000.0</v>
      </c>
    </row>
    <row r="41" ht="15.75" customHeight="1">
      <c r="A41" s="1"/>
      <c r="B41" s="1" t="s">
        <v>1451</v>
      </c>
      <c r="C41" s="1"/>
      <c r="D41" s="1"/>
      <c r="E41" s="1"/>
      <c r="F41" s="1"/>
      <c r="G41" s="13">
        <v>5000.0</v>
      </c>
    </row>
    <row r="42" ht="15.75" customHeight="1">
      <c r="A42" s="1"/>
      <c r="B42" s="1" t="s">
        <v>1452</v>
      </c>
      <c r="C42" s="1"/>
      <c r="D42" s="1"/>
      <c r="E42" s="1"/>
      <c r="F42" s="1"/>
      <c r="G42" s="13">
        <v>2000.0</v>
      </c>
    </row>
    <row r="43" ht="15.75" customHeight="1">
      <c r="A43" s="1"/>
      <c r="B43" s="1" t="s">
        <v>1453</v>
      </c>
      <c r="C43" s="1"/>
      <c r="D43" s="1"/>
      <c r="E43" s="1"/>
      <c r="F43" s="1"/>
      <c r="G43" s="13">
        <v>5000.0</v>
      </c>
    </row>
    <row r="44" ht="15.75" customHeight="1">
      <c r="A44" s="1"/>
      <c r="B44" s="1" t="s">
        <v>1454</v>
      </c>
      <c r="C44" s="1"/>
      <c r="D44" s="1"/>
      <c r="E44" s="1"/>
      <c r="F44" s="1"/>
      <c r="G44" s="13">
        <v>47495.0</v>
      </c>
    </row>
    <row r="45" ht="15.75" customHeight="1">
      <c r="A45" s="1"/>
      <c r="B45" s="1" t="s">
        <v>1455</v>
      </c>
      <c r="C45" s="1"/>
      <c r="D45" s="1"/>
      <c r="E45" s="1"/>
      <c r="F45" s="1"/>
      <c r="G45" s="13">
        <v>32800.0</v>
      </c>
    </row>
    <row r="46" ht="15.75" customHeight="1">
      <c r="A46" s="1"/>
      <c r="B46" s="1" t="s">
        <v>1456</v>
      </c>
      <c r="C46" s="1"/>
      <c r="D46" s="1"/>
      <c r="E46" s="1"/>
      <c r="F46" s="1"/>
      <c r="G46" s="13">
        <v>65000.0</v>
      </c>
    </row>
    <row r="47" ht="15.75" customHeight="1">
      <c r="A47" s="1"/>
      <c r="B47" s="1" t="s">
        <v>1457</v>
      </c>
      <c r="C47" s="1"/>
      <c r="D47" s="1"/>
      <c r="E47" s="1"/>
      <c r="F47" s="1"/>
      <c r="G47" s="13">
        <v>8000.0</v>
      </c>
    </row>
    <row r="48" ht="15.75" customHeight="1">
      <c r="A48" s="1"/>
      <c r="B48" s="1" t="s">
        <v>1458</v>
      </c>
      <c r="C48" s="1"/>
      <c r="D48" s="1"/>
      <c r="E48" s="1"/>
      <c r="F48" s="1"/>
      <c r="G48" s="13">
        <v>350000.0</v>
      </c>
    </row>
    <row r="49" ht="15.75" customHeight="1">
      <c r="A49" s="1"/>
      <c r="B49" s="1" t="s">
        <v>1459</v>
      </c>
      <c r="C49" s="1"/>
      <c r="D49" s="1"/>
      <c r="E49" s="1"/>
      <c r="F49" s="1"/>
      <c r="G49" s="13">
        <v>2000.0</v>
      </c>
    </row>
    <row r="50" ht="15.75" customHeight="1">
      <c r="A50" s="1"/>
      <c r="B50" s="1" t="s">
        <v>463</v>
      </c>
      <c r="C50" s="1"/>
      <c r="D50" s="1"/>
      <c r="E50" s="1"/>
      <c r="F50" s="1"/>
      <c r="G50" s="13">
        <v>10000.0</v>
      </c>
    </row>
    <row r="51" ht="15.75" customHeight="1">
      <c r="A51" s="1"/>
      <c r="B51" s="1" t="s">
        <v>1437</v>
      </c>
      <c r="C51" s="1"/>
      <c r="D51" s="1"/>
      <c r="E51" s="1"/>
      <c r="F51" s="1"/>
      <c r="G51" s="13">
        <v>5000.0</v>
      </c>
    </row>
    <row r="52" ht="15.75" customHeight="1">
      <c r="A52" s="1"/>
      <c r="B52" s="1" t="s">
        <v>1460</v>
      </c>
      <c r="C52" s="1"/>
      <c r="D52" s="1"/>
      <c r="E52" s="1"/>
      <c r="F52" s="1"/>
      <c r="G52" s="13">
        <v>25000.0</v>
      </c>
    </row>
    <row r="53" ht="15.75" customHeight="1">
      <c r="A53" s="1"/>
      <c r="B53" s="1" t="s">
        <v>652</v>
      </c>
      <c r="C53" s="1"/>
      <c r="D53" s="1"/>
      <c r="E53" s="1"/>
      <c r="F53" s="1"/>
      <c r="G53" s="13">
        <v>8000.0</v>
      </c>
    </row>
    <row r="54" ht="15.75" customHeight="1">
      <c r="A54" s="1"/>
      <c r="B54" s="1" t="s">
        <v>1461</v>
      </c>
      <c r="C54" s="1"/>
      <c r="D54" s="1"/>
      <c r="E54" s="1"/>
      <c r="F54" s="1"/>
      <c r="G54" s="13">
        <v>13000.0</v>
      </c>
    </row>
    <row r="55" ht="15.75" customHeight="1">
      <c r="A55" s="1"/>
      <c r="B55" s="1" t="s">
        <v>1462</v>
      </c>
      <c r="C55" s="1"/>
      <c r="D55" s="1"/>
      <c r="E55" s="1"/>
      <c r="F55" s="1"/>
      <c r="G55" s="13">
        <v>2000.0</v>
      </c>
    </row>
    <row r="56" ht="15.75" customHeight="1">
      <c r="A56" s="1"/>
      <c r="B56" s="1" t="s">
        <v>1463</v>
      </c>
      <c r="C56" s="1"/>
      <c r="D56" s="1"/>
      <c r="E56" s="1"/>
      <c r="F56" s="1"/>
      <c r="G56" s="13">
        <v>1000.0</v>
      </c>
    </row>
    <row r="57" ht="15.75" customHeight="1">
      <c r="A57" s="1"/>
      <c r="B57" s="1" t="s">
        <v>1464</v>
      </c>
      <c r="C57" s="1"/>
      <c r="D57" s="1"/>
      <c r="E57" s="1"/>
      <c r="F57" s="1"/>
      <c r="G57" s="13">
        <v>49500.0</v>
      </c>
    </row>
    <row r="58" ht="15.75" customHeight="1">
      <c r="A58" s="1"/>
      <c r="B58" s="1" t="s">
        <v>1465</v>
      </c>
      <c r="C58" s="1"/>
      <c r="D58" s="1"/>
      <c r="E58" s="1"/>
      <c r="F58" s="1"/>
      <c r="G58" s="13">
        <v>24000.0</v>
      </c>
    </row>
    <row r="59" ht="15.75" customHeight="1">
      <c r="A59" s="1"/>
      <c r="B59" s="1" t="s">
        <v>1466</v>
      </c>
      <c r="C59" s="1"/>
      <c r="D59" s="1"/>
      <c r="E59" s="1"/>
      <c r="F59" s="1"/>
      <c r="G59" s="13">
        <v>235000.0</v>
      </c>
    </row>
    <row r="60" ht="15.75" customHeight="1">
      <c r="A60" s="1"/>
      <c r="B60" s="1" t="s">
        <v>1467</v>
      </c>
      <c r="C60" s="1"/>
      <c r="D60" s="1"/>
      <c r="E60" s="1"/>
      <c r="F60" s="1"/>
      <c r="G60" s="13">
        <v>8000.0</v>
      </c>
    </row>
    <row r="61" ht="15.75" customHeight="1">
      <c r="A61" s="1"/>
      <c r="B61" s="1" t="s">
        <v>1468</v>
      </c>
      <c r="C61" s="1"/>
      <c r="D61" s="1"/>
      <c r="E61" s="1"/>
      <c r="F61" s="1"/>
      <c r="G61" s="13">
        <v>92000.0</v>
      </c>
    </row>
    <row r="62" ht="15.75" customHeight="1">
      <c r="A62" s="1"/>
      <c r="B62" s="1" t="s">
        <v>1469</v>
      </c>
      <c r="C62" s="1"/>
      <c r="D62" s="1"/>
      <c r="E62" s="1"/>
      <c r="F62" s="1"/>
      <c r="G62" s="13">
        <v>65250.0</v>
      </c>
    </row>
    <row r="63" ht="15.75" customHeight="1">
      <c r="A63" s="1"/>
      <c r="B63" s="1" t="s">
        <v>1470</v>
      </c>
      <c r="C63" s="1"/>
      <c r="D63" s="1"/>
      <c r="E63" s="1"/>
      <c r="F63" s="1"/>
      <c r="G63" s="13">
        <v>3000.0</v>
      </c>
    </row>
    <row r="64" ht="15.75" customHeight="1">
      <c r="A64" s="1"/>
      <c r="B64" s="1" t="s">
        <v>1471</v>
      </c>
      <c r="C64" s="1"/>
      <c r="D64" s="1"/>
      <c r="E64" s="1"/>
      <c r="F64" s="1"/>
      <c r="G64" s="13">
        <v>2000.0</v>
      </c>
    </row>
    <row r="65" ht="15.75" customHeight="1">
      <c r="A65" s="1"/>
      <c r="B65" s="1" t="s">
        <v>1472</v>
      </c>
      <c r="C65" s="1"/>
      <c r="D65" s="1"/>
      <c r="E65" s="1"/>
      <c r="F65" s="1"/>
      <c r="G65" s="13">
        <v>269700.0</v>
      </c>
    </row>
    <row r="66" ht="15.75" customHeight="1">
      <c r="A66" s="1"/>
      <c r="B66" s="43" t="s">
        <v>43</v>
      </c>
      <c r="C66" s="1"/>
      <c r="D66" s="1"/>
      <c r="E66" s="1"/>
      <c r="F66" s="1"/>
      <c r="G66" s="13">
        <f>SUM(G23:G65)</f>
        <v>2138184</v>
      </c>
    </row>
    <row r="67" ht="15.75" customHeight="1">
      <c r="A67" s="1"/>
      <c r="B67" s="19" t="s">
        <v>45</v>
      </c>
      <c r="C67" s="20"/>
      <c r="D67" s="20"/>
      <c r="E67" s="20"/>
      <c r="F67" s="20"/>
      <c r="G67" s="64">
        <f>SUM(G20+G66)</f>
        <v>2764584</v>
      </c>
    </row>
    <row r="68" ht="15.75" customHeight="1">
      <c r="A68" s="1"/>
      <c r="B68" s="4" t="s">
        <v>46</v>
      </c>
      <c r="C68" s="1"/>
      <c r="D68" s="1"/>
      <c r="E68" s="1"/>
      <c r="F68" s="1"/>
      <c r="G68" s="2"/>
    </row>
    <row r="69" ht="15.75" customHeight="1">
      <c r="A69" s="35" t="s">
        <v>1473</v>
      </c>
      <c r="B69" s="36"/>
      <c r="C69" s="37"/>
      <c r="D69" s="37"/>
      <c r="E69" s="37"/>
      <c r="F69" s="37"/>
      <c r="G69" s="38">
        <f>(G11-G67)</f>
        <v>257416</v>
      </c>
    </row>
    <row r="70" ht="15.75" customHeight="1">
      <c r="A70" s="22" t="s">
        <v>254</v>
      </c>
      <c r="B70" s="1" t="s">
        <v>255</v>
      </c>
      <c r="C70" s="1"/>
      <c r="D70" s="1"/>
      <c r="E70" s="1"/>
      <c r="F70" s="1"/>
      <c r="G70" s="2"/>
    </row>
    <row r="71" ht="15.75" customHeight="1">
      <c r="A71" s="22"/>
      <c r="B71" s="1" t="s">
        <v>1474</v>
      </c>
      <c r="C71" s="1"/>
      <c r="D71" s="1"/>
      <c r="E71" s="1"/>
      <c r="F71" s="1"/>
      <c r="G71" s="2">
        <v>800000.0</v>
      </c>
    </row>
    <row r="72" ht="15.75" customHeight="1">
      <c r="A72" s="1"/>
      <c r="B72" s="27" t="s">
        <v>51</v>
      </c>
      <c r="C72" s="27"/>
      <c r="D72" s="27"/>
      <c r="E72" s="27"/>
      <c r="F72" s="27"/>
      <c r="G72" s="2">
        <f>G71</f>
        <v>800000</v>
      </c>
    </row>
    <row r="73" ht="15.75" customHeight="1">
      <c r="A73" s="44"/>
      <c r="B73" s="45" t="s">
        <v>1475</v>
      </c>
      <c r="C73" s="46"/>
      <c r="D73" s="46"/>
      <c r="E73" s="46"/>
      <c r="F73" s="46"/>
      <c r="G73" s="65">
        <f>G2+G69-G72</f>
        <v>10509406</v>
      </c>
    </row>
    <row r="74" ht="15.75" customHeight="1">
      <c r="A74" s="1"/>
      <c r="B74" s="32" t="s">
        <v>1476</v>
      </c>
    </row>
    <row r="75" ht="15.75" customHeight="1">
      <c r="A75" s="1"/>
      <c r="B75" s="1"/>
      <c r="C75" s="1" t="s">
        <v>1270</v>
      </c>
      <c r="D75" s="1"/>
      <c r="E75" s="1"/>
      <c r="F75" s="1"/>
      <c r="G75" s="2">
        <v>0.0</v>
      </c>
    </row>
    <row r="76" ht="15.75" customHeight="1">
      <c r="A76" s="1"/>
      <c r="B76" s="1"/>
      <c r="C76" s="1" t="s">
        <v>1477</v>
      </c>
      <c r="D76" s="1"/>
      <c r="E76" s="1"/>
      <c r="F76" s="1"/>
      <c r="G76" s="2">
        <v>465000.0</v>
      </c>
    </row>
    <row r="77" ht="15.75" customHeight="1">
      <c r="A77" s="1"/>
      <c r="B77" s="1"/>
      <c r="C77" s="43" t="s">
        <v>115</v>
      </c>
      <c r="D77" s="1"/>
      <c r="E77" s="1"/>
      <c r="F77" s="1"/>
      <c r="G77" s="2">
        <v>465000.0</v>
      </c>
    </row>
    <row r="78" ht="15.75" customHeight="1">
      <c r="A78" s="1"/>
      <c r="B78" s="1" t="s">
        <v>1478</v>
      </c>
      <c r="C78" s="43"/>
      <c r="D78" s="1"/>
      <c r="E78" s="1"/>
      <c r="F78" s="1"/>
      <c r="G78" s="2"/>
    </row>
    <row r="79" ht="15.75" customHeight="1">
      <c r="A79" s="1"/>
      <c r="B79" s="1" t="s">
        <v>1479</v>
      </c>
      <c r="C79" s="43"/>
      <c r="D79" s="1"/>
      <c r="E79" s="1"/>
      <c r="F79" s="1"/>
      <c r="G79" s="1"/>
    </row>
    <row r="80" ht="15.75" customHeight="1">
      <c r="A80" s="1"/>
      <c r="B80" s="33" t="s">
        <v>1480</v>
      </c>
      <c r="C80" s="1"/>
      <c r="D80" s="1"/>
      <c r="E80" s="1"/>
      <c r="F80" s="1"/>
      <c r="G80" s="2"/>
    </row>
    <row r="81" ht="15.75" customHeight="1">
      <c r="A81" s="1"/>
      <c r="B81" s="55" t="s">
        <v>531</v>
      </c>
      <c r="C81" s="56"/>
      <c r="D81" s="56"/>
      <c r="E81" s="56"/>
      <c r="F81" s="1"/>
      <c r="G81" s="2"/>
    </row>
    <row r="82" ht="15.75" customHeight="1">
      <c r="A82" s="1"/>
      <c r="B82" s="55" t="s">
        <v>1481</v>
      </c>
      <c r="C82" s="56"/>
      <c r="D82" s="56"/>
      <c r="E82" s="56"/>
      <c r="F82" s="1"/>
      <c r="G82" s="2"/>
    </row>
    <row r="83" ht="15.75" customHeight="1">
      <c r="A83" s="1"/>
      <c r="B83" s="55" t="s">
        <v>681</v>
      </c>
      <c r="F83" s="1"/>
      <c r="G83" s="2"/>
    </row>
    <row r="84" ht="15.75" customHeight="1">
      <c r="A84" s="1"/>
      <c r="B84" s="55" t="s">
        <v>1482</v>
      </c>
      <c r="C84" s="56"/>
      <c r="D84" s="57"/>
      <c r="E84" s="56"/>
      <c r="F84" s="1"/>
      <c r="G84" s="2"/>
    </row>
    <row r="85" ht="15.75" customHeight="1">
      <c r="A85" s="1"/>
      <c r="B85" s="55" t="s">
        <v>535</v>
      </c>
      <c r="C85" s="56"/>
      <c r="D85" s="57"/>
      <c r="E85" s="56"/>
      <c r="F85" s="1"/>
      <c r="G85" s="2"/>
    </row>
    <row r="86" ht="15.75" customHeight="1">
      <c r="B86" s="55" t="s">
        <v>536</v>
      </c>
      <c r="C86" s="56"/>
      <c r="D86" s="57"/>
      <c r="E86" s="5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74:G74"/>
    <mergeCell ref="B83:E83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1.43"/>
    <col customWidth="1" min="7" max="7" width="15.29"/>
    <col customWidth="1" min="8" max="26" width="10.71"/>
  </cols>
  <sheetData>
    <row r="1">
      <c r="A1" s="1" t="s">
        <v>721</v>
      </c>
      <c r="B1" s="3" t="s">
        <v>1483</v>
      </c>
      <c r="C1" s="1"/>
      <c r="D1" s="1"/>
      <c r="E1" s="1"/>
      <c r="F1" s="1"/>
      <c r="G1" s="2"/>
    </row>
    <row r="2">
      <c r="A2" s="1"/>
      <c r="B2" s="63" t="s">
        <v>1484</v>
      </c>
      <c r="G2" s="65">
        <f>'Août21'!$G$73</f>
        <v>10509406</v>
      </c>
    </row>
    <row r="3">
      <c r="A3" s="1"/>
      <c r="G3" s="2"/>
    </row>
    <row r="4">
      <c r="A4" s="6" t="s">
        <v>1485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243300.0</v>
      </c>
      <c r="G5" s="7">
        <v>190000.0</v>
      </c>
    </row>
    <row r="6">
      <c r="A6" s="1"/>
      <c r="B6" s="4" t="s">
        <v>64</v>
      </c>
      <c r="C6" s="1"/>
      <c r="D6" s="1"/>
      <c r="E6" s="1"/>
      <c r="F6" s="2">
        <v>630100.0</v>
      </c>
      <c r="G6" s="7">
        <v>272000.0</v>
      </c>
    </row>
    <row r="7">
      <c r="A7" s="1"/>
      <c r="B7" s="4" t="s">
        <v>65</v>
      </c>
      <c r="C7" s="1"/>
      <c r="D7" s="1"/>
      <c r="E7" s="1"/>
      <c r="F7" s="2">
        <v>606400.0</v>
      </c>
      <c r="G7" s="7">
        <v>255000.0</v>
      </c>
    </row>
    <row r="8">
      <c r="A8" s="1"/>
      <c r="B8" s="4" t="s">
        <v>66</v>
      </c>
      <c r="C8" s="1"/>
      <c r="D8" s="1"/>
      <c r="E8" s="1"/>
      <c r="F8" s="2">
        <v>393400.0</v>
      </c>
      <c r="G8" s="8">
        <v>268000.0</v>
      </c>
    </row>
    <row r="9">
      <c r="A9" s="1"/>
      <c r="B9" s="4" t="s">
        <v>67</v>
      </c>
      <c r="C9" s="1"/>
      <c r="D9" s="49" t="s">
        <v>8</v>
      </c>
      <c r="E9" s="49"/>
      <c r="F9" s="62">
        <v>363300.0</v>
      </c>
      <c r="G9" s="7">
        <v>131000.0</v>
      </c>
    </row>
    <row r="10">
      <c r="A10" s="1"/>
      <c r="B10" s="4"/>
      <c r="C10" s="50" t="s">
        <v>405</v>
      </c>
      <c r="E10" s="4"/>
      <c r="F10" s="2">
        <f t="shared" ref="F10:G10" si="1">SUM(F5:F9)</f>
        <v>2236500</v>
      </c>
      <c r="G10" s="7">
        <f t="shared" si="1"/>
        <v>1116000</v>
      </c>
    </row>
    <row r="11">
      <c r="A11" s="1"/>
      <c r="B11" s="51" t="s">
        <v>9</v>
      </c>
      <c r="C11" s="52"/>
      <c r="D11" s="52"/>
      <c r="E11" s="52"/>
      <c r="F11" s="53"/>
      <c r="G11" s="11">
        <f>SUM(F10:G10)</f>
        <v>3352500</v>
      </c>
      <c r="I11" s="67" t="s">
        <v>480</v>
      </c>
    </row>
    <row r="12">
      <c r="A12" s="6" t="s">
        <v>1486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1487</v>
      </c>
      <c r="C14" s="1"/>
      <c r="D14" s="1"/>
      <c r="E14" s="1"/>
      <c r="F14" s="1"/>
      <c r="G14" s="2">
        <v>195500.0</v>
      </c>
    </row>
    <row r="15">
      <c r="A15" s="1"/>
      <c r="B15" s="4" t="s">
        <v>13</v>
      </c>
      <c r="C15" s="1"/>
      <c r="D15" s="1"/>
      <c r="E15" s="1"/>
      <c r="F15" s="1"/>
      <c r="G15" s="13">
        <v>100000.0</v>
      </c>
    </row>
    <row r="16">
      <c r="A16" s="1"/>
      <c r="B16" s="4" t="s">
        <v>14</v>
      </c>
      <c r="C16" s="1"/>
      <c r="D16" s="1"/>
      <c r="E16" s="1"/>
      <c r="F16" s="1"/>
      <c r="G16" s="13">
        <v>100000.0</v>
      </c>
    </row>
    <row r="17">
      <c r="A17" s="1"/>
      <c r="B17" s="4" t="s">
        <v>15</v>
      </c>
      <c r="C17" s="1"/>
      <c r="D17" s="1"/>
      <c r="E17" s="1"/>
      <c r="F17" s="1"/>
      <c r="G17" s="2">
        <v>80000.0</v>
      </c>
    </row>
    <row r="18">
      <c r="A18" s="1"/>
      <c r="B18" s="4" t="s">
        <v>16</v>
      </c>
      <c r="C18" s="1"/>
      <c r="D18" s="1"/>
      <c r="E18" s="1"/>
      <c r="F18" s="1"/>
      <c r="G18" s="2">
        <v>80000.0</v>
      </c>
    </row>
    <row r="19">
      <c r="A19" s="1"/>
      <c r="B19" s="4" t="s">
        <v>17</v>
      </c>
      <c r="C19" s="1"/>
      <c r="D19" s="1"/>
      <c r="E19" s="1"/>
      <c r="F19" s="1"/>
      <c r="G19" s="2">
        <v>100000.0</v>
      </c>
    </row>
    <row r="20">
      <c r="A20" s="1"/>
      <c r="B20" s="9" t="s">
        <v>18</v>
      </c>
      <c r="C20" s="10"/>
      <c r="D20" s="10"/>
      <c r="E20" s="10"/>
      <c r="F20" s="10"/>
      <c r="G20" s="14">
        <f>SUM(G14:G19)</f>
        <v>655500</v>
      </c>
    </row>
    <row r="21" ht="15.75" customHeight="1">
      <c r="A21" s="1"/>
      <c r="B21" s="12" t="s">
        <v>19</v>
      </c>
      <c r="C21" s="15"/>
      <c r="D21" s="1"/>
      <c r="E21" s="1"/>
      <c r="F21" s="1"/>
      <c r="G21" s="2"/>
    </row>
    <row r="22" ht="15.75" customHeight="1">
      <c r="A22" s="1"/>
      <c r="B22" s="12" t="s">
        <v>1488</v>
      </c>
      <c r="C22" s="15"/>
      <c r="D22" s="1"/>
      <c r="E22" s="1"/>
      <c r="F22" s="1"/>
      <c r="G22" s="2">
        <v>5000.0</v>
      </c>
    </row>
    <row r="23" ht="15.75" customHeight="1">
      <c r="A23" s="1"/>
      <c r="B23" s="4" t="s">
        <v>1489</v>
      </c>
      <c r="C23" s="15"/>
      <c r="D23" s="1"/>
      <c r="E23" s="1"/>
      <c r="F23" s="1"/>
      <c r="G23" s="2">
        <v>2000.0</v>
      </c>
    </row>
    <row r="24" ht="15.75" customHeight="1">
      <c r="A24" s="1"/>
      <c r="B24" s="4" t="s">
        <v>1490</v>
      </c>
      <c r="C24" s="15"/>
      <c r="D24" s="1"/>
      <c r="E24" s="1"/>
      <c r="F24" s="1"/>
      <c r="G24" s="2">
        <v>15000.0</v>
      </c>
    </row>
    <row r="25" ht="15.75" customHeight="1">
      <c r="A25" s="1"/>
      <c r="B25" s="4" t="s">
        <v>1491</v>
      </c>
      <c r="C25" s="15"/>
      <c r="D25" s="1"/>
      <c r="E25" s="1"/>
      <c r="F25" s="1"/>
      <c r="G25" s="2">
        <v>100000.0</v>
      </c>
    </row>
    <row r="26" ht="15.75" customHeight="1">
      <c r="A26" s="1"/>
      <c r="B26" s="4" t="s">
        <v>1492</v>
      </c>
      <c r="C26" s="15"/>
      <c r="D26" s="1"/>
      <c r="E26" s="1"/>
      <c r="F26" s="1"/>
      <c r="G26" s="2">
        <v>54710.0</v>
      </c>
    </row>
    <row r="27" ht="15.75" customHeight="1">
      <c r="A27" s="1"/>
      <c r="B27" s="4" t="s">
        <v>1493</v>
      </c>
      <c r="C27" s="15"/>
      <c r="D27" s="1"/>
      <c r="E27" s="1"/>
      <c r="F27" s="1"/>
      <c r="G27" s="2">
        <v>2000.0</v>
      </c>
    </row>
    <row r="28" ht="15.75" customHeight="1">
      <c r="A28" s="1"/>
      <c r="B28" s="4" t="s">
        <v>652</v>
      </c>
      <c r="C28" s="15"/>
      <c r="D28" s="1"/>
      <c r="E28" s="1"/>
      <c r="F28" s="1"/>
      <c r="G28" s="2">
        <v>8000.0</v>
      </c>
    </row>
    <row r="29" ht="15.75" customHeight="1">
      <c r="A29" s="1"/>
      <c r="B29" s="4" t="s">
        <v>1494</v>
      </c>
      <c r="C29" s="15"/>
      <c r="D29" s="1"/>
      <c r="E29" s="1"/>
      <c r="F29" s="1"/>
      <c r="G29" s="2">
        <v>7000.0</v>
      </c>
    </row>
    <row r="30" ht="15.75" customHeight="1">
      <c r="A30" s="1"/>
      <c r="B30" s="4" t="s">
        <v>690</v>
      </c>
      <c r="C30" s="15"/>
      <c r="D30" s="1"/>
      <c r="E30" s="1"/>
      <c r="F30" s="1"/>
      <c r="G30" s="2">
        <v>5000.0</v>
      </c>
    </row>
    <row r="31" ht="15.75" customHeight="1">
      <c r="A31" s="1"/>
      <c r="B31" s="4" t="s">
        <v>1495</v>
      </c>
      <c r="C31" s="15"/>
      <c r="D31" s="1"/>
      <c r="E31" s="1"/>
      <c r="F31" s="1"/>
      <c r="G31" s="2">
        <v>2000.0</v>
      </c>
    </row>
    <row r="32" ht="15.75" customHeight="1">
      <c r="A32" s="1"/>
      <c r="B32" s="4" t="s">
        <v>1496</v>
      </c>
      <c r="C32" s="15"/>
      <c r="D32" s="1"/>
      <c r="E32" s="1"/>
      <c r="F32" s="1"/>
      <c r="G32" s="2">
        <v>6250.0</v>
      </c>
    </row>
    <row r="33" ht="15.75" customHeight="1">
      <c r="A33" s="1"/>
      <c r="B33" s="4" t="s">
        <v>1497</v>
      </c>
      <c r="C33" s="15"/>
      <c r="D33" s="1"/>
      <c r="E33" s="1"/>
      <c r="F33" s="1"/>
      <c r="G33" s="2">
        <v>25000.0</v>
      </c>
    </row>
    <row r="34" ht="15.75" customHeight="1">
      <c r="A34" s="1"/>
      <c r="B34" s="4" t="s">
        <v>1498</v>
      </c>
      <c r="C34" s="15"/>
      <c r="D34" s="1"/>
      <c r="E34" s="1"/>
      <c r="F34" s="1"/>
      <c r="G34" s="2">
        <v>25000.0</v>
      </c>
    </row>
    <row r="35" ht="15.75" customHeight="1">
      <c r="A35" s="1"/>
      <c r="B35" s="4" t="s">
        <v>1499</v>
      </c>
      <c r="C35" s="15"/>
      <c r="D35" s="1"/>
      <c r="E35" s="1"/>
      <c r="F35" s="1"/>
      <c r="G35" s="2">
        <v>30000.0</v>
      </c>
    </row>
    <row r="36" ht="15.75" customHeight="1">
      <c r="A36" s="1"/>
      <c r="B36" s="4" t="s">
        <v>1500</v>
      </c>
      <c r="C36" s="15"/>
      <c r="D36" s="1"/>
      <c r="E36" s="1"/>
      <c r="F36" s="1"/>
      <c r="G36" s="2">
        <v>10000.0</v>
      </c>
    </row>
    <row r="37" ht="15.75" customHeight="1">
      <c r="A37" s="1"/>
      <c r="B37" s="4" t="s">
        <v>1501</v>
      </c>
      <c r="C37" s="15"/>
      <c r="D37" s="1"/>
      <c r="E37" s="1"/>
      <c r="F37" s="1"/>
      <c r="G37" s="2">
        <v>50000.0</v>
      </c>
    </row>
    <row r="38" ht="15.75" customHeight="1">
      <c r="A38" s="1"/>
      <c r="B38" s="4" t="s">
        <v>1502</v>
      </c>
      <c r="C38" s="15"/>
      <c r="D38" s="1"/>
      <c r="E38" s="1"/>
      <c r="F38" s="1"/>
      <c r="G38" s="2">
        <v>2000.0</v>
      </c>
    </row>
    <row r="39" ht="15.75" customHeight="1">
      <c r="A39" s="1"/>
      <c r="B39" s="1" t="s">
        <v>1503</v>
      </c>
      <c r="C39" s="1"/>
      <c r="D39" s="1"/>
      <c r="E39" s="1"/>
      <c r="F39" s="1"/>
      <c r="G39" s="13">
        <v>2000.0</v>
      </c>
    </row>
    <row r="40" ht="15.75" customHeight="1">
      <c r="A40" s="1"/>
      <c r="B40" s="1" t="s">
        <v>1504</v>
      </c>
      <c r="C40" s="1"/>
      <c r="D40" s="1"/>
      <c r="E40" s="1"/>
      <c r="F40" s="1"/>
      <c r="G40" s="13">
        <v>2000.0</v>
      </c>
    </row>
    <row r="41" ht="15.75" customHeight="1">
      <c r="A41" s="1"/>
      <c r="B41" s="1" t="s">
        <v>1505</v>
      </c>
      <c r="C41" s="1"/>
      <c r="D41" s="1"/>
      <c r="E41" s="1"/>
      <c r="F41" s="1"/>
      <c r="G41" s="13">
        <v>77775.0</v>
      </c>
    </row>
    <row r="42" ht="15.75" customHeight="1">
      <c r="A42" s="1"/>
      <c r="B42" s="1" t="s">
        <v>1506</v>
      </c>
      <c r="C42" s="1"/>
      <c r="D42" s="1"/>
      <c r="E42" s="1"/>
      <c r="F42" s="1"/>
      <c r="G42" s="13">
        <v>100000.0</v>
      </c>
    </row>
    <row r="43" ht="15.75" customHeight="1">
      <c r="A43" s="1"/>
      <c r="B43" s="1" t="s">
        <v>1507</v>
      </c>
      <c r="C43" s="1"/>
      <c r="D43" s="1"/>
      <c r="E43" s="1"/>
      <c r="F43" s="1"/>
      <c r="G43" s="13">
        <v>17975.0</v>
      </c>
    </row>
    <row r="44" ht="15.75" customHeight="1">
      <c r="A44" s="1"/>
      <c r="B44" s="1" t="s">
        <v>1508</v>
      </c>
      <c r="C44" s="1"/>
      <c r="D44" s="1"/>
      <c r="E44" s="1"/>
      <c r="F44" s="1"/>
      <c r="G44" s="13">
        <v>5000.0</v>
      </c>
    </row>
    <row r="45" ht="15.75" customHeight="1">
      <c r="A45" s="1"/>
      <c r="B45" s="1" t="s">
        <v>652</v>
      </c>
      <c r="C45" s="1"/>
      <c r="D45" s="1"/>
      <c r="E45" s="1"/>
      <c r="F45" s="1"/>
      <c r="G45" s="13">
        <v>8000.0</v>
      </c>
    </row>
    <row r="46" ht="15.75" customHeight="1">
      <c r="A46" s="1"/>
      <c r="B46" s="1" t="s">
        <v>1509</v>
      </c>
      <c r="C46" s="1"/>
      <c r="D46" s="1"/>
      <c r="E46" s="1"/>
      <c r="F46" s="1"/>
      <c r="G46" s="13">
        <v>2000.0</v>
      </c>
      <c r="R46" s="67" t="s">
        <v>480</v>
      </c>
    </row>
    <row r="47" ht="15.75" customHeight="1">
      <c r="A47" s="1"/>
      <c r="B47" s="1" t="s">
        <v>1510</v>
      </c>
      <c r="C47" s="1"/>
      <c r="D47" s="1"/>
      <c r="E47" s="1"/>
      <c r="F47" s="1"/>
      <c r="G47" s="13">
        <v>17000.0</v>
      </c>
    </row>
    <row r="48" ht="15.75" customHeight="1">
      <c r="A48" s="1"/>
      <c r="B48" s="1" t="s">
        <v>1511</v>
      </c>
      <c r="C48" s="1"/>
      <c r="D48" s="1"/>
      <c r="E48" s="1"/>
      <c r="F48" s="1"/>
      <c r="G48" s="13">
        <v>8689.0</v>
      </c>
    </row>
    <row r="49" ht="15.75" customHeight="1">
      <c r="A49" s="1"/>
      <c r="B49" s="1" t="s">
        <v>1512</v>
      </c>
      <c r="C49" s="1"/>
      <c r="D49" s="1"/>
      <c r="E49" s="1"/>
      <c r="F49" s="1"/>
      <c r="G49" s="13">
        <v>5000.0</v>
      </c>
    </row>
    <row r="50" ht="15.75" customHeight="1">
      <c r="A50" s="1"/>
      <c r="B50" s="1" t="s">
        <v>1513</v>
      </c>
      <c r="C50" s="1"/>
      <c r="D50" s="1"/>
      <c r="E50" s="1"/>
      <c r="F50" s="1"/>
      <c r="G50" s="13">
        <v>46000.0</v>
      </c>
    </row>
    <row r="51" ht="15.75" customHeight="1">
      <c r="A51" s="1"/>
      <c r="B51" s="1" t="s">
        <v>1514</v>
      </c>
      <c r="C51" s="1"/>
      <c r="D51" s="1"/>
      <c r="E51" s="1"/>
      <c r="F51" s="1"/>
      <c r="G51" s="13">
        <v>4500.0</v>
      </c>
    </row>
    <row r="52" ht="15.75" customHeight="1">
      <c r="A52" s="1"/>
      <c r="B52" s="1" t="s">
        <v>690</v>
      </c>
      <c r="C52" s="1"/>
      <c r="D52" s="1"/>
      <c r="E52" s="1"/>
      <c r="F52" s="1"/>
      <c r="G52" s="13">
        <v>5000.0</v>
      </c>
    </row>
    <row r="53" ht="15.75" customHeight="1">
      <c r="A53" s="1"/>
      <c r="B53" s="1" t="s">
        <v>1515</v>
      </c>
      <c r="C53" s="1"/>
      <c r="D53" s="1"/>
      <c r="E53" s="1"/>
      <c r="F53" s="1"/>
      <c r="G53" s="13">
        <v>2000.0</v>
      </c>
    </row>
    <row r="54" ht="15.75" customHeight="1">
      <c r="A54" s="1"/>
      <c r="B54" s="1" t="s">
        <v>1516</v>
      </c>
      <c r="C54" s="1"/>
      <c r="D54" s="1"/>
      <c r="E54" s="1"/>
      <c r="F54" s="1"/>
      <c r="G54" s="13">
        <v>50000.0</v>
      </c>
    </row>
    <row r="55" ht="15.75" customHeight="1">
      <c r="A55" s="1"/>
      <c r="B55" s="1" t="s">
        <v>1517</v>
      </c>
      <c r="C55" s="1"/>
      <c r="D55" s="1"/>
      <c r="E55" s="1"/>
      <c r="F55" s="1"/>
      <c r="G55" s="13">
        <v>281400.0</v>
      </c>
    </row>
    <row r="56" ht="15.75" customHeight="1">
      <c r="A56" s="1"/>
      <c r="B56" s="1" t="s">
        <v>1518</v>
      </c>
      <c r="C56" s="1"/>
      <c r="D56" s="1"/>
      <c r="E56" s="1"/>
      <c r="F56" s="1"/>
      <c r="G56" s="13">
        <v>10000.0</v>
      </c>
    </row>
    <row r="57" ht="15.75" customHeight="1">
      <c r="A57" s="1"/>
      <c r="B57" s="1" t="s">
        <v>1519</v>
      </c>
      <c r="C57" s="1"/>
      <c r="D57" s="1"/>
      <c r="E57" s="1"/>
      <c r="F57" s="1"/>
      <c r="G57" s="13">
        <v>2000.0</v>
      </c>
    </row>
    <row r="58" ht="15.75" customHeight="1">
      <c r="A58" s="1"/>
      <c r="B58" s="1"/>
      <c r="C58" s="1"/>
      <c r="D58" s="1"/>
      <c r="E58" s="1"/>
      <c r="F58" s="1"/>
      <c r="G58" s="13"/>
    </row>
    <row r="59" ht="15.75" customHeight="1">
      <c r="A59" s="1"/>
      <c r="B59" s="43" t="s">
        <v>43</v>
      </c>
      <c r="C59" s="1"/>
      <c r="D59" s="1"/>
      <c r="E59" s="1"/>
      <c r="F59" s="1"/>
      <c r="G59" s="13">
        <f>SUM(G23:G58)</f>
        <v>990299</v>
      </c>
    </row>
    <row r="60" ht="15.75" customHeight="1">
      <c r="A60" s="1"/>
      <c r="B60" s="19" t="s">
        <v>45</v>
      </c>
      <c r="C60" s="20"/>
      <c r="D60" s="20"/>
      <c r="E60" s="20"/>
      <c r="F60" s="20"/>
      <c r="G60" s="64">
        <f>SUM(G20+G59)</f>
        <v>1645799</v>
      </c>
    </row>
    <row r="61" ht="15.75" customHeight="1">
      <c r="A61" s="1"/>
      <c r="B61" s="4" t="s">
        <v>46</v>
      </c>
      <c r="C61" s="1"/>
      <c r="D61" s="1"/>
      <c r="E61" s="1"/>
      <c r="F61" s="1"/>
      <c r="G61" s="2"/>
    </row>
    <row r="62" ht="15.75" customHeight="1">
      <c r="A62" s="35" t="s">
        <v>1520</v>
      </c>
      <c r="B62" s="36"/>
      <c r="C62" s="37"/>
      <c r="D62" s="37"/>
      <c r="E62" s="37"/>
      <c r="F62" s="37"/>
      <c r="G62" s="38">
        <f>(G11-G60)</f>
        <v>1706701</v>
      </c>
    </row>
    <row r="63" ht="15.75" customHeight="1">
      <c r="A63" s="22" t="s">
        <v>254</v>
      </c>
      <c r="B63" s="1" t="s">
        <v>255</v>
      </c>
      <c r="C63" s="1"/>
      <c r="D63" s="1"/>
      <c r="E63" s="1"/>
      <c r="F63" s="1"/>
      <c r="G63" s="2"/>
    </row>
    <row r="64" ht="15.75" customHeight="1">
      <c r="A64" s="22"/>
      <c r="B64" s="1"/>
      <c r="C64" s="1"/>
      <c r="D64" s="1"/>
      <c r="E64" s="1"/>
      <c r="F64" s="1"/>
      <c r="G64" s="2"/>
    </row>
    <row r="65" ht="15.75" customHeight="1">
      <c r="A65" s="1"/>
      <c r="B65" s="27" t="s">
        <v>51</v>
      </c>
      <c r="C65" s="27"/>
      <c r="D65" s="27"/>
      <c r="E65" s="27"/>
      <c r="F65" s="27"/>
      <c r="G65" s="2" t="str">
        <f>G64</f>
        <v/>
      </c>
    </row>
    <row r="66" ht="15.75" customHeight="1">
      <c r="A66" s="44"/>
      <c r="B66" s="45" t="s">
        <v>1521</v>
      </c>
      <c r="C66" s="46"/>
      <c r="D66" s="46"/>
      <c r="E66" s="46"/>
      <c r="F66" s="46"/>
      <c r="G66" s="65">
        <f>G2+G62-G65</f>
        <v>12216107</v>
      </c>
    </row>
    <row r="67" ht="15.75" customHeight="1">
      <c r="A67" s="44"/>
      <c r="B67" s="45"/>
      <c r="C67" s="46"/>
      <c r="D67" s="46"/>
      <c r="E67" s="46"/>
      <c r="F67" s="46"/>
      <c r="G67" s="65"/>
      <c r="J67" s="67" t="s">
        <v>480</v>
      </c>
    </row>
    <row r="68" ht="15.75" customHeight="1">
      <c r="A68" s="1"/>
      <c r="B68" s="32" t="s">
        <v>1522</v>
      </c>
    </row>
    <row r="69" ht="15.75" customHeight="1">
      <c r="A69" s="1"/>
      <c r="B69" s="1"/>
      <c r="C69" s="1" t="s">
        <v>1076</v>
      </c>
      <c r="D69" s="1"/>
      <c r="E69" s="1"/>
      <c r="F69" s="1"/>
      <c r="G69" s="2">
        <v>3300.0</v>
      </c>
    </row>
    <row r="70" ht="15.75" customHeight="1">
      <c r="A70" s="1"/>
      <c r="B70" s="1"/>
      <c r="C70" s="1" t="s">
        <v>1271</v>
      </c>
      <c r="D70" s="1"/>
      <c r="E70" s="1"/>
      <c r="F70" s="1"/>
      <c r="G70" s="2">
        <v>466800.0</v>
      </c>
    </row>
    <row r="71" ht="15.75" customHeight="1">
      <c r="A71" s="1"/>
      <c r="B71" s="1"/>
      <c r="C71" s="43" t="s">
        <v>115</v>
      </c>
      <c r="D71" s="1"/>
      <c r="E71" s="1"/>
      <c r="F71" s="1"/>
      <c r="G71" s="2">
        <v>470100.0</v>
      </c>
    </row>
    <row r="72" ht="15.75" customHeight="1">
      <c r="A72" s="1"/>
      <c r="B72" s="1"/>
      <c r="C72" s="43"/>
      <c r="D72" s="1"/>
      <c r="E72" s="1"/>
      <c r="F72" s="1"/>
      <c r="G72" s="2"/>
    </row>
    <row r="73" ht="15.75" customHeight="1">
      <c r="A73" s="1"/>
      <c r="B73" s="1" t="s">
        <v>1523</v>
      </c>
      <c r="C73" s="43"/>
      <c r="D73" s="1"/>
      <c r="E73" s="1"/>
      <c r="F73" s="1"/>
      <c r="G73" s="2"/>
    </row>
    <row r="74" ht="15.75" customHeight="1">
      <c r="A74" s="1"/>
      <c r="B74" s="1" t="s">
        <v>1524</v>
      </c>
      <c r="C74" s="43"/>
      <c r="D74" s="1"/>
      <c r="E74" s="1"/>
      <c r="F74" s="1"/>
      <c r="G74" s="1"/>
    </row>
    <row r="75" ht="15.75" customHeight="1">
      <c r="A75" s="1"/>
      <c r="B75" s="1"/>
      <c r="C75" s="43"/>
      <c r="D75" s="1"/>
      <c r="E75" s="1"/>
      <c r="F75" s="1"/>
      <c r="G75" s="1"/>
    </row>
    <row r="76" ht="15.75" customHeight="1">
      <c r="A76" s="1"/>
      <c r="B76" s="33" t="s">
        <v>1525</v>
      </c>
      <c r="C76" s="1"/>
      <c r="D76" s="1"/>
      <c r="E76" s="1"/>
      <c r="F76" s="1"/>
      <c r="G76" s="2"/>
    </row>
    <row r="77" ht="15.75" customHeight="1">
      <c r="A77" s="1"/>
      <c r="B77" s="33"/>
      <c r="C77" s="1"/>
      <c r="D77" s="1"/>
      <c r="E77" s="1"/>
      <c r="F77" s="1"/>
      <c r="G77" s="2"/>
    </row>
    <row r="78" ht="15.75" customHeight="1">
      <c r="A78" s="1"/>
      <c r="B78" s="55" t="s">
        <v>531</v>
      </c>
      <c r="C78" s="56"/>
      <c r="D78" s="56"/>
      <c r="E78" s="56"/>
      <c r="F78" s="1"/>
      <c r="G78" s="2"/>
    </row>
    <row r="79" ht="15.75" customHeight="1">
      <c r="A79" s="1"/>
      <c r="B79" s="55"/>
      <c r="C79" s="56"/>
      <c r="D79" s="56"/>
      <c r="E79" s="56"/>
      <c r="F79" s="1"/>
      <c r="G79" s="2"/>
    </row>
    <row r="80" ht="15.75" customHeight="1">
      <c r="A80" s="1"/>
      <c r="B80" s="55" t="s">
        <v>1526</v>
      </c>
      <c r="C80" s="56"/>
      <c r="D80" s="56"/>
      <c r="E80" s="56"/>
      <c r="F80" s="1"/>
      <c r="G80" s="2"/>
    </row>
    <row r="81" ht="15.75" customHeight="1">
      <c r="A81" s="1"/>
      <c r="B81" s="55"/>
      <c r="C81" s="56"/>
      <c r="D81" s="56"/>
      <c r="E81" s="56"/>
      <c r="F81" s="1"/>
      <c r="G81" s="2"/>
    </row>
    <row r="82" ht="15.75" customHeight="1">
      <c r="A82" s="1"/>
      <c r="B82" s="55" t="s">
        <v>681</v>
      </c>
      <c r="F82" s="1"/>
      <c r="G82" s="2"/>
    </row>
    <row r="83" ht="15.75" customHeight="1">
      <c r="A83" s="1"/>
      <c r="B83" s="55"/>
      <c r="C83" s="55"/>
      <c r="D83" s="55"/>
      <c r="E83" s="55"/>
      <c r="F83" s="1"/>
      <c r="G83" s="2"/>
    </row>
    <row r="84" ht="15.75" customHeight="1">
      <c r="A84" s="1"/>
      <c r="B84" s="55" t="s">
        <v>1527</v>
      </c>
      <c r="C84" s="56"/>
      <c r="D84" s="57"/>
      <c r="E84" s="56"/>
      <c r="F84" s="1"/>
      <c r="G84" s="2"/>
    </row>
    <row r="85" ht="15.75" customHeight="1">
      <c r="A85" s="1"/>
      <c r="B85" s="55"/>
      <c r="C85" s="56"/>
      <c r="D85" s="57"/>
      <c r="E85" s="56"/>
      <c r="F85" s="1"/>
      <c r="G85" s="2"/>
    </row>
    <row r="86" ht="15.75" customHeight="1">
      <c r="A86" s="1"/>
      <c r="B86" s="55" t="s">
        <v>535</v>
      </c>
      <c r="C86" s="56"/>
      <c r="D86" s="57"/>
      <c r="E86" s="56"/>
      <c r="F86" s="1"/>
      <c r="G86" s="2"/>
    </row>
    <row r="87" ht="15.75" customHeight="1">
      <c r="A87" s="1"/>
      <c r="B87" s="55"/>
      <c r="C87" s="56"/>
      <c r="D87" s="57"/>
      <c r="E87" s="56"/>
      <c r="F87" s="1"/>
      <c r="G87" s="2"/>
    </row>
    <row r="88" ht="15.75" customHeight="1">
      <c r="B88" s="55" t="s">
        <v>536</v>
      </c>
      <c r="C88" s="56"/>
      <c r="D88" s="57"/>
      <c r="E88" s="57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68:G68"/>
    <mergeCell ref="B82:E82"/>
  </mergeCells>
  <printOptions/>
  <pageMargins bottom="0.75" footer="0.0" header="0.0" left="0.7" right="0.7" top="0.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1">
      <c r="A1" s="1" t="s">
        <v>721</v>
      </c>
      <c r="B1" s="3" t="s">
        <v>1528</v>
      </c>
      <c r="C1" s="1"/>
      <c r="D1" s="1"/>
      <c r="E1" s="1"/>
      <c r="F1" s="1"/>
      <c r="G1" s="2"/>
    </row>
    <row r="2">
      <c r="A2" s="1"/>
      <c r="B2" s="63" t="s">
        <v>1529</v>
      </c>
      <c r="G2" s="65">
        <v>1.2216107E7</v>
      </c>
    </row>
    <row r="3">
      <c r="A3" s="1"/>
      <c r="G3" s="2"/>
    </row>
    <row r="4">
      <c r="A4" s="6" t="s">
        <v>1530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86000.0</v>
      </c>
      <c r="G5" s="7">
        <v>32000.0</v>
      </c>
    </row>
    <row r="6">
      <c r="A6" s="1"/>
      <c r="B6" s="4" t="s">
        <v>64</v>
      </c>
      <c r="C6" s="1"/>
      <c r="D6" s="1"/>
      <c r="E6" s="1"/>
      <c r="F6" s="2">
        <v>670500.0</v>
      </c>
      <c r="G6" s="7">
        <v>209000.0</v>
      </c>
    </row>
    <row r="7">
      <c r="A7" s="1"/>
      <c r="B7" s="4" t="s">
        <v>65</v>
      </c>
      <c r="C7" s="1"/>
      <c r="D7" s="1"/>
      <c r="E7" s="1"/>
      <c r="F7" s="2">
        <v>541300.0</v>
      </c>
      <c r="G7" s="7">
        <v>241000.0</v>
      </c>
    </row>
    <row r="8">
      <c r="A8" s="1"/>
      <c r="B8" s="4" t="s">
        <v>66</v>
      </c>
      <c r="C8" s="1"/>
      <c r="D8" s="1"/>
      <c r="E8" s="1"/>
      <c r="F8" s="2">
        <v>409800.0</v>
      </c>
      <c r="G8" s="8">
        <v>155000.0</v>
      </c>
    </row>
    <row r="9">
      <c r="A9" s="1"/>
      <c r="B9" s="4" t="s">
        <v>67</v>
      </c>
      <c r="C9" s="1"/>
      <c r="D9" s="49" t="s">
        <v>8</v>
      </c>
      <c r="E9" s="49"/>
      <c r="F9" s="62">
        <v>652000.0</v>
      </c>
      <c r="G9" s="7">
        <v>220000.0</v>
      </c>
    </row>
    <row r="10">
      <c r="A10" s="1"/>
      <c r="B10" s="4"/>
      <c r="C10" s="50" t="s">
        <v>405</v>
      </c>
      <c r="E10" s="4"/>
      <c r="F10" s="2">
        <f t="shared" ref="F10:G10" si="1">SUM(F5:F9)</f>
        <v>2359600</v>
      </c>
      <c r="G10" s="7">
        <f t="shared" si="1"/>
        <v>857000</v>
      </c>
    </row>
    <row r="11">
      <c r="A11" s="1"/>
      <c r="B11" s="51" t="s">
        <v>9</v>
      </c>
      <c r="C11" s="52"/>
      <c r="D11" s="52"/>
      <c r="E11" s="52"/>
      <c r="F11" s="53"/>
      <c r="G11" s="68">
        <f>SUM(F10:G10)</f>
        <v>3216600</v>
      </c>
    </row>
    <row r="12">
      <c r="A12" s="6" t="s">
        <v>1531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1532</v>
      </c>
      <c r="C14" s="1"/>
      <c r="D14" s="1"/>
      <c r="E14" s="1"/>
      <c r="F14" s="1"/>
      <c r="G14" s="2">
        <v>176000.0</v>
      </c>
    </row>
    <row r="15">
      <c r="A15" s="1"/>
      <c r="B15" s="4" t="s">
        <v>13</v>
      </c>
      <c r="C15" s="1"/>
      <c r="D15" s="1"/>
      <c r="E15" s="1"/>
      <c r="F15" s="1"/>
      <c r="G15" s="13">
        <v>100000.0</v>
      </c>
    </row>
    <row r="16">
      <c r="A16" s="1"/>
      <c r="B16" s="4" t="s">
        <v>14</v>
      </c>
      <c r="C16" s="1"/>
      <c r="D16" s="1"/>
      <c r="E16" s="1"/>
      <c r="F16" s="1"/>
      <c r="G16" s="13">
        <v>100000.0</v>
      </c>
    </row>
    <row r="17">
      <c r="A17" s="1"/>
      <c r="B17" s="4" t="s">
        <v>15</v>
      </c>
      <c r="C17" s="1"/>
      <c r="D17" s="1"/>
      <c r="E17" s="1"/>
      <c r="F17" s="1"/>
      <c r="G17" s="2">
        <v>80000.0</v>
      </c>
    </row>
    <row r="18">
      <c r="A18" s="1"/>
      <c r="B18" s="4" t="s">
        <v>16</v>
      </c>
      <c r="C18" s="1"/>
      <c r="D18" s="1"/>
      <c r="E18" s="1"/>
      <c r="F18" s="1"/>
      <c r="G18" s="2">
        <v>80000.0</v>
      </c>
    </row>
    <row r="19">
      <c r="A19" s="1"/>
      <c r="B19" s="4" t="s">
        <v>17</v>
      </c>
      <c r="C19" s="1"/>
      <c r="D19" s="1"/>
      <c r="E19" s="1"/>
      <c r="F19" s="1"/>
      <c r="G19" s="2">
        <v>100000.0</v>
      </c>
    </row>
    <row r="20">
      <c r="A20" s="1"/>
      <c r="B20" s="9" t="s">
        <v>18</v>
      </c>
      <c r="C20" s="10"/>
      <c r="D20" s="10"/>
      <c r="E20" s="10"/>
      <c r="F20" s="10"/>
      <c r="G20" s="69">
        <f>SUM(G14:G19)</f>
        <v>636000</v>
      </c>
    </row>
    <row r="21" ht="15.75" customHeight="1">
      <c r="A21" s="1"/>
      <c r="B21" s="12" t="s">
        <v>19</v>
      </c>
      <c r="C21" s="15"/>
      <c r="D21" s="1"/>
      <c r="E21" s="1"/>
      <c r="F21" s="1"/>
      <c r="G21" s="2"/>
    </row>
    <row r="22" ht="15.75" customHeight="1">
      <c r="A22" s="1"/>
      <c r="B22" s="4" t="s">
        <v>1533</v>
      </c>
      <c r="C22" s="15"/>
      <c r="D22" s="1"/>
      <c r="E22" s="1"/>
      <c r="F22" s="1"/>
      <c r="G22" s="2">
        <v>50000.0</v>
      </c>
    </row>
    <row r="23" ht="15.75" customHeight="1">
      <c r="A23" s="1"/>
      <c r="B23" s="4" t="s">
        <v>1534</v>
      </c>
      <c r="C23" s="15"/>
      <c r="D23" s="1"/>
      <c r="E23" s="1"/>
      <c r="F23" s="1"/>
      <c r="G23" s="2">
        <v>10000.0</v>
      </c>
    </row>
    <row r="24" ht="15.75" customHeight="1">
      <c r="A24" s="1"/>
      <c r="B24" s="4" t="s">
        <v>1535</v>
      </c>
      <c r="C24" s="15"/>
      <c r="D24" s="1"/>
      <c r="E24" s="1"/>
      <c r="F24" s="1"/>
      <c r="G24" s="2">
        <v>1000.0</v>
      </c>
    </row>
    <row r="25" ht="15.75" customHeight="1">
      <c r="A25" s="1"/>
      <c r="B25" s="4" t="s">
        <v>1536</v>
      </c>
      <c r="C25" s="15"/>
      <c r="D25" s="1"/>
      <c r="E25" s="1"/>
      <c r="F25" s="1"/>
      <c r="G25" s="2">
        <v>5000.0</v>
      </c>
    </row>
    <row r="26" ht="15.75" customHeight="1">
      <c r="A26" s="1"/>
      <c r="B26" s="4" t="s">
        <v>1537</v>
      </c>
      <c r="C26" s="15"/>
      <c r="D26" s="1"/>
      <c r="E26" s="1"/>
      <c r="F26" s="1"/>
      <c r="G26" s="2">
        <v>2000.0</v>
      </c>
    </row>
    <row r="27" ht="15.75" customHeight="1">
      <c r="A27" s="1"/>
      <c r="B27" s="4" t="s">
        <v>463</v>
      </c>
      <c r="C27" s="15"/>
      <c r="D27" s="1"/>
      <c r="E27" s="1"/>
      <c r="F27" s="1"/>
      <c r="G27" s="2">
        <v>10000.0</v>
      </c>
    </row>
    <row r="28" ht="15.75" customHeight="1">
      <c r="A28" s="1"/>
      <c r="B28" s="4" t="s">
        <v>1538</v>
      </c>
      <c r="C28" s="15"/>
      <c r="D28" s="1"/>
      <c r="E28" s="1"/>
      <c r="F28" s="1"/>
      <c r="G28" s="2">
        <v>2000.0</v>
      </c>
    </row>
    <row r="29" ht="15.75" customHeight="1">
      <c r="A29" s="1"/>
      <c r="B29" s="4" t="s">
        <v>1539</v>
      </c>
      <c r="C29" s="15"/>
      <c r="D29" s="1"/>
      <c r="E29" s="1"/>
      <c r="F29" s="1"/>
      <c r="G29" s="2">
        <v>139000.0</v>
      </c>
    </row>
    <row r="30" ht="15.75" customHeight="1">
      <c r="A30" s="1"/>
      <c r="B30" s="4" t="s">
        <v>1540</v>
      </c>
      <c r="C30" s="15"/>
      <c r="D30" s="1"/>
      <c r="E30" s="1"/>
      <c r="F30" s="1"/>
      <c r="G30" s="2">
        <v>15000.0</v>
      </c>
    </row>
    <row r="31" ht="15.75" customHeight="1">
      <c r="A31" s="1"/>
      <c r="B31" s="4" t="s">
        <v>1541</v>
      </c>
      <c r="C31" s="15"/>
      <c r="D31" s="1"/>
      <c r="E31" s="1"/>
      <c r="F31" s="1"/>
      <c r="G31" s="2">
        <v>80000.0</v>
      </c>
    </row>
    <row r="32" ht="15.75" customHeight="1">
      <c r="A32" s="1"/>
      <c r="B32" s="4" t="s">
        <v>1542</v>
      </c>
      <c r="C32" s="15"/>
      <c r="D32" s="1"/>
      <c r="E32" s="1"/>
      <c r="F32" s="1"/>
      <c r="G32" s="2">
        <v>5000.0</v>
      </c>
    </row>
    <row r="33" ht="15.75" customHeight="1">
      <c r="A33" s="1"/>
      <c r="B33" s="4" t="s">
        <v>1543</v>
      </c>
      <c r="C33" s="15"/>
      <c r="D33" s="1"/>
      <c r="E33" s="1"/>
      <c r="F33" s="1"/>
      <c r="G33" s="2">
        <v>35000.0</v>
      </c>
    </row>
    <row r="34" ht="15.75" customHeight="1">
      <c r="A34" s="1"/>
      <c r="B34" s="4" t="s">
        <v>1544</v>
      </c>
      <c r="C34" s="15"/>
      <c r="D34" s="1"/>
      <c r="E34" s="1"/>
      <c r="F34" s="1"/>
      <c r="G34" s="2">
        <v>117500.0</v>
      </c>
    </row>
    <row r="35" ht="15.75" customHeight="1">
      <c r="A35" s="1"/>
      <c r="B35" s="4" t="s">
        <v>1545</v>
      </c>
      <c r="C35" s="15"/>
      <c r="D35" s="1"/>
      <c r="E35" s="1"/>
      <c r="F35" s="1"/>
      <c r="G35" s="2">
        <v>75000.0</v>
      </c>
    </row>
    <row r="36" ht="15.75" customHeight="1">
      <c r="A36" s="1"/>
      <c r="B36" s="4" t="s">
        <v>1546</v>
      </c>
      <c r="C36" s="15"/>
      <c r="D36" s="1"/>
      <c r="E36" s="1"/>
      <c r="F36" s="1"/>
      <c r="G36" s="2">
        <v>212500.0</v>
      </c>
    </row>
    <row r="37" ht="15.75" customHeight="1">
      <c r="A37" s="1"/>
      <c r="B37" s="4" t="s">
        <v>1547</v>
      </c>
      <c r="C37" s="15"/>
      <c r="D37" s="1"/>
      <c r="E37" s="1"/>
      <c r="F37" s="1"/>
      <c r="G37" s="2">
        <v>5000.0</v>
      </c>
    </row>
    <row r="38" ht="15.75" customHeight="1">
      <c r="A38" s="1"/>
      <c r="B38" s="4" t="s">
        <v>1534</v>
      </c>
      <c r="C38" s="15"/>
      <c r="D38" s="1"/>
      <c r="E38" s="1"/>
      <c r="F38" s="1"/>
      <c r="G38" s="2">
        <v>15000.0</v>
      </c>
    </row>
    <row r="39" ht="15.75" customHeight="1">
      <c r="A39" s="1"/>
      <c r="B39" s="4" t="s">
        <v>1548</v>
      </c>
      <c r="C39" s="15"/>
      <c r="D39" s="1"/>
      <c r="E39" s="1"/>
      <c r="F39" s="1"/>
      <c r="G39" s="2">
        <v>2000.0</v>
      </c>
    </row>
    <row r="40" ht="15.75" customHeight="1">
      <c r="A40" s="1"/>
      <c r="B40" s="1" t="s">
        <v>1549</v>
      </c>
      <c r="C40" s="1"/>
      <c r="D40" s="1"/>
      <c r="E40" s="1"/>
      <c r="F40" s="1"/>
      <c r="G40" s="13">
        <v>54000.0</v>
      </c>
    </row>
    <row r="41" ht="15.75" customHeight="1">
      <c r="A41" s="1"/>
      <c r="B41" s="1" t="s">
        <v>1550</v>
      </c>
      <c r="C41" s="1"/>
      <c r="D41" s="1"/>
      <c r="E41" s="1"/>
      <c r="F41" s="1"/>
      <c r="G41" s="13">
        <v>65250.0</v>
      </c>
    </row>
    <row r="42" ht="15.75" customHeight="1">
      <c r="A42" s="1"/>
      <c r="B42" s="1" t="s">
        <v>1551</v>
      </c>
      <c r="C42" s="1"/>
      <c r="D42" s="1"/>
      <c r="E42" s="1"/>
      <c r="F42" s="1"/>
      <c r="G42" s="13">
        <v>4000.0</v>
      </c>
    </row>
    <row r="43" ht="15.75" customHeight="1">
      <c r="A43" s="1"/>
      <c r="B43" s="1" t="s">
        <v>245</v>
      </c>
      <c r="C43" s="1"/>
      <c r="D43" s="1"/>
      <c r="E43" s="1"/>
      <c r="F43" s="1"/>
      <c r="G43" s="13">
        <v>6000.0</v>
      </c>
    </row>
    <row r="44" ht="15.75" customHeight="1">
      <c r="A44" s="1"/>
      <c r="B44" s="1" t="s">
        <v>1552</v>
      </c>
      <c r="C44" s="1"/>
      <c r="D44" s="1"/>
      <c r="E44" s="1"/>
      <c r="F44" s="1"/>
      <c r="G44" s="13">
        <v>52500.0</v>
      </c>
    </row>
    <row r="45" ht="15.75" customHeight="1">
      <c r="A45" s="1"/>
      <c r="B45" s="1" t="s">
        <v>1553</v>
      </c>
      <c r="C45" s="1"/>
      <c r="D45" s="1"/>
      <c r="E45" s="1"/>
      <c r="F45" s="1"/>
      <c r="G45" s="13">
        <v>2000.0</v>
      </c>
    </row>
    <row r="46" ht="15.75" customHeight="1">
      <c r="A46" s="1"/>
      <c r="B46" s="1" t="s">
        <v>1554</v>
      </c>
      <c r="C46" s="1"/>
      <c r="D46" s="1"/>
      <c r="E46" s="1"/>
      <c r="F46" s="1"/>
      <c r="G46" s="13">
        <v>19800.0</v>
      </c>
    </row>
    <row r="47" ht="15.75" customHeight="1">
      <c r="A47" s="1"/>
      <c r="B47" s="1" t="s">
        <v>1555</v>
      </c>
      <c r="C47" s="1"/>
      <c r="D47" s="1"/>
      <c r="E47" s="1"/>
      <c r="F47" s="1"/>
      <c r="G47" s="13">
        <v>78710.0</v>
      </c>
    </row>
    <row r="48" ht="15.75" customHeight="1">
      <c r="A48" s="1"/>
      <c r="B48" s="1" t="s">
        <v>1556</v>
      </c>
      <c r="C48" s="1"/>
      <c r="D48" s="1"/>
      <c r="E48" s="1"/>
      <c r="F48" s="1"/>
      <c r="G48" s="13">
        <v>20000.0</v>
      </c>
      <c r="K48" s="67" t="s">
        <v>480</v>
      </c>
    </row>
    <row r="49" ht="15.75" customHeight="1">
      <c r="A49" s="1"/>
      <c r="B49" s="1" t="s">
        <v>1557</v>
      </c>
      <c r="C49" s="1"/>
      <c r="D49" s="1"/>
      <c r="E49" s="1"/>
      <c r="F49" s="1"/>
      <c r="G49" s="13">
        <v>11810.0</v>
      </c>
    </row>
    <row r="50" ht="15.75" customHeight="1">
      <c r="A50" s="1"/>
      <c r="B50" s="1" t="s">
        <v>1558</v>
      </c>
      <c r="C50" s="1"/>
      <c r="D50" s="1"/>
      <c r="E50" s="1"/>
      <c r="F50" s="1"/>
      <c r="G50" s="13">
        <v>100000.0</v>
      </c>
    </row>
    <row r="51" ht="15.75" customHeight="1">
      <c r="A51" s="1"/>
      <c r="B51" s="1" t="s">
        <v>1559</v>
      </c>
      <c r="C51" s="1"/>
      <c r="D51" s="1"/>
      <c r="E51" s="1"/>
      <c r="F51" s="1"/>
      <c r="G51" s="13">
        <v>2000.0</v>
      </c>
      <c r="J51" s="67" t="s">
        <v>480</v>
      </c>
    </row>
    <row r="52" ht="15.75" customHeight="1">
      <c r="A52" s="1"/>
      <c r="B52" s="1" t="s">
        <v>1560</v>
      </c>
      <c r="C52" s="1"/>
      <c r="D52" s="1"/>
      <c r="E52" s="1"/>
      <c r="F52" s="1"/>
      <c r="G52" s="13">
        <v>2000.0</v>
      </c>
    </row>
    <row r="53" ht="15.75" customHeight="1">
      <c r="A53" s="1"/>
      <c r="B53" s="1" t="s">
        <v>1561</v>
      </c>
      <c r="C53" s="1"/>
      <c r="D53" s="1"/>
      <c r="E53" s="1"/>
      <c r="F53" s="1"/>
      <c r="G53" s="13">
        <v>2000.0</v>
      </c>
    </row>
    <row r="54" ht="15.75" customHeight="1">
      <c r="A54" s="1"/>
      <c r="B54" s="1" t="s">
        <v>463</v>
      </c>
      <c r="C54" s="1"/>
      <c r="D54" s="1"/>
      <c r="E54" s="1"/>
      <c r="F54" s="1"/>
      <c r="G54" s="13">
        <v>10000.0</v>
      </c>
    </row>
    <row r="55" ht="15.75" customHeight="1">
      <c r="A55" s="1"/>
      <c r="B55" s="1" t="s">
        <v>1562</v>
      </c>
      <c r="C55" s="1"/>
      <c r="D55" s="1"/>
      <c r="E55" s="1"/>
      <c r="F55" s="1"/>
      <c r="G55" s="13">
        <v>75000.0</v>
      </c>
    </row>
    <row r="56" ht="15.75" customHeight="1">
      <c r="A56" s="1"/>
      <c r="B56" s="1" t="s">
        <v>1563</v>
      </c>
      <c r="C56" s="1"/>
      <c r="D56" s="1"/>
      <c r="E56" s="1"/>
      <c r="F56" s="1"/>
      <c r="G56" s="13">
        <v>350000.0</v>
      </c>
    </row>
    <row r="57" ht="15.75" customHeight="1">
      <c r="A57" s="1"/>
      <c r="B57" s="43" t="s">
        <v>43</v>
      </c>
      <c r="C57" s="1"/>
      <c r="D57" s="1"/>
      <c r="E57" s="1"/>
      <c r="F57" s="1"/>
      <c r="G57" s="18">
        <f>SUM(G22:G56)</f>
        <v>1636070</v>
      </c>
    </row>
    <row r="58" ht="15.75" customHeight="1">
      <c r="A58" s="1"/>
      <c r="B58" s="19" t="s">
        <v>45</v>
      </c>
      <c r="C58" s="20"/>
      <c r="D58" s="20"/>
      <c r="E58" s="20"/>
      <c r="F58" s="20"/>
      <c r="G58" s="70">
        <f>SUM(G20+G57)</f>
        <v>2272070</v>
      </c>
    </row>
    <row r="59" ht="15.75" customHeight="1">
      <c r="A59" s="1"/>
      <c r="B59" s="4" t="s">
        <v>46</v>
      </c>
      <c r="C59" s="1"/>
      <c r="D59" s="1"/>
      <c r="E59" s="1"/>
      <c r="F59" s="1"/>
      <c r="G59" s="2"/>
    </row>
    <row r="60" ht="15.75" customHeight="1">
      <c r="A60" s="35" t="s">
        <v>1564</v>
      </c>
      <c r="B60" s="36"/>
      <c r="C60" s="37"/>
      <c r="D60" s="37"/>
      <c r="E60" s="37"/>
      <c r="F60" s="37"/>
      <c r="G60" s="71">
        <f>(G11-G58)</f>
        <v>944530</v>
      </c>
    </row>
    <row r="61" ht="15.75" customHeight="1">
      <c r="A61" s="22" t="s">
        <v>254</v>
      </c>
      <c r="B61" s="43" t="s">
        <v>255</v>
      </c>
      <c r="C61" s="1"/>
      <c r="D61" s="1"/>
      <c r="E61" s="1"/>
      <c r="F61" s="1"/>
      <c r="G61" s="2"/>
    </row>
    <row r="62" ht="15.75" customHeight="1">
      <c r="A62" s="22"/>
      <c r="B62" s="1" t="s">
        <v>1565</v>
      </c>
      <c r="C62" s="1"/>
      <c r="D62" s="1"/>
      <c r="E62" s="1"/>
      <c r="F62" s="1"/>
      <c r="G62" s="2">
        <v>4343155.0</v>
      </c>
    </row>
    <row r="63" ht="15.75" customHeight="1">
      <c r="A63" s="22"/>
      <c r="B63" s="1" t="s">
        <v>1566</v>
      </c>
      <c r="C63" s="1"/>
      <c r="D63" s="1"/>
      <c r="E63" s="1"/>
      <c r="F63" s="1"/>
      <c r="G63" s="13">
        <v>25000.0</v>
      </c>
    </row>
    <row r="64" ht="15.75" customHeight="1">
      <c r="A64" s="22"/>
      <c r="B64" s="1" t="s">
        <v>1567</v>
      </c>
      <c r="C64" s="1"/>
      <c r="D64" s="1"/>
      <c r="E64" s="1"/>
      <c r="F64" s="1"/>
      <c r="G64" s="13">
        <v>30000.0</v>
      </c>
    </row>
    <row r="65" ht="15.75" customHeight="1">
      <c r="A65" s="22"/>
      <c r="B65" s="1" t="s">
        <v>1568</v>
      </c>
      <c r="C65" s="1"/>
      <c r="D65" s="1"/>
      <c r="E65" s="1"/>
      <c r="F65" s="1"/>
      <c r="G65" s="13">
        <v>10000.0</v>
      </c>
    </row>
    <row r="66" ht="15.75" customHeight="1">
      <c r="A66" s="1"/>
      <c r="B66" s="1" t="s">
        <v>1569</v>
      </c>
      <c r="C66" s="1"/>
      <c r="D66" s="1"/>
      <c r="E66" s="1"/>
      <c r="F66" s="1"/>
      <c r="G66" s="13">
        <v>3000.0</v>
      </c>
    </row>
    <row r="67" ht="17.25" customHeight="1">
      <c r="A67" s="44"/>
      <c r="B67" s="1" t="s">
        <v>1570</v>
      </c>
      <c r="C67" s="1"/>
      <c r="D67" s="1"/>
      <c r="E67" s="1"/>
      <c r="F67" s="1"/>
      <c r="G67" s="13">
        <v>50000.0</v>
      </c>
    </row>
    <row r="68" ht="15.0" customHeight="1">
      <c r="A68" s="44"/>
      <c r="B68" s="1" t="s">
        <v>1571</v>
      </c>
      <c r="C68" s="1"/>
      <c r="D68" s="1"/>
      <c r="E68" s="1"/>
      <c r="F68" s="1"/>
      <c r="G68" s="13">
        <v>10000.0</v>
      </c>
    </row>
    <row r="69" ht="14.25" customHeight="1">
      <c r="A69" s="44"/>
      <c r="B69" s="1" t="s">
        <v>1572</v>
      </c>
      <c r="C69" s="1"/>
      <c r="D69" s="1"/>
      <c r="E69" s="1"/>
      <c r="F69" s="1"/>
      <c r="G69" s="13">
        <v>50000.0</v>
      </c>
      <c r="K69" s="67" t="s">
        <v>480</v>
      </c>
    </row>
    <row r="70" ht="15.75" customHeight="1">
      <c r="A70" s="44"/>
      <c r="B70" s="1" t="s">
        <v>1573</v>
      </c>
      <c r="C70" s="1"/>
      <c r="D70" s="1"/>
      <c r="E70" s="1"/>
      <c r="F70" s="1"/>
      <c r="G70" s="13">
        <v>4000.0</v>
      </c>
    </row>
    <row r="71" ht="16.5" customHeight="1">
      <c r="A71" s="44"/>
      <c r="B71" s="1" t="s">
        <v>1574</v>
      </c>
      <c r="C71" s="1"/>
      <c r="D71" s="1"/>
      <c r="E71" s="1"/>
      <c r="F71" s="1"/>
      <c r="G71" s="13">
        <v>5000.0</v>
      </c>
      <c r="I71" s="60"/>
    </row>
    <row r="72" ht="14.25" customHeight="1">
      <c r="A72" s="44"/>
      <c r="B72" s="1" t="s">
        <v>1575</v>
      </c>
      <c r="C72" s="1"/>
      <c r="D72" s="1"/>
      <c r="E72" s="1"/>
      <c r="F72" s="1"/>
      <c r="G72" s="13">
        <v>9500.0</v>
      </c>
      <c r="I72" s="60"/>
    </row>
    <row r="73" ht="17.25" customHeight="1">
      <c r="A73" s="44"/>
      <c r="B73" s="1" t="s">
        <v>1576</v>
      </c>
      <c r="C73" s="1"/>
      <c r="D73" s="1"/>
      <c r="E73" s="1"/>
      <c r="F73" s="1"/>
      <c r="G73" s="13">
        <v>12000.0</v>
      </c>
    </row>
    <row r="74" ht="18.0" customHeight="1">
      <c r="A74" s="44"/>
      <c r="B74" s="1" t="s">
        <v>1577</v>
      </c>
      <c r="C74" s="1"/>
      <c r="D74" s="1"/>
      <c r="E74" s="1"/>
      <c r="F74" s="1"/>
      <c r="G74" s="13">
        <v>115000.0</v>
      </c>
    </row>
    <row r="75" ht="13.5" customHeight="1">
      <c r="A75" s="44"/>
      <c r="B75" s="1" t="s">
        <v>1578</v>
      </c>
      <c r="C75" s="1"/>
      <c r="D75" s="1"/>
      <c r="E75" s="1"/>
      <c r="F75" s="1"/>
      <c r="G75" s="13">
        <v>130000.0</v>
      </c>
    </row>
    <row r="76" ht="13.5" customHeight="1">
      <c r="A76" s="44"/>
      <c r="B76" s="1" t="s">
        <v>1579</v>
      </c>
      <c r="C76" s="1"/>
      <c r="D76" s="1"/>
      <c r="E76" s="1"/>
      <c r="F76" s="1"/>
      <c r="G76" s="13">
        <v>102550.0</v>
      </c>
    </row>
    <row r="77" ht="13.5" customHeight="1">
      <c r="A77" s="44"/>
      <c r="B77" s="1" t="s">
        <v>1580</v>
      </c>
      <c r="C77" s="1"/>
      <c r="D77" s="1"/>
      <c r="E77" s="1"/>
      <c r="F77" s="1"/>
      <c r="G77" s="13">
        <v>16000.0</v>
      </c>
    </row>
    <row r="78" ht="15.75" customHeight="1">
      <c r="A78" s="44"/>
      <c r="B78" s="72" t="s">
        <v>51</v>
      </c>
      <c r="C78" s="27"/>
      <c r="D78" s="27"/>
      <c r="E78" s="27"/>
      <c r="F78" s="27"/>
      <c r="G78" s="73">
        <f>SUM(G62:G77)</f>
        <v>4915205</v>
      </c>
    </row>
    <row r="79" ht="15.75" customHeight="1">
      <c r="A79" s="44"/>
      <c r="B79" s="44"/>
      <c r="C79" s="45" t="s">
        <v>1581</v>
      </c>
      <c r="D79" s="46"/>
      <c r="E79" s="46"/>
      <c r="F79" s="46"/>
      <c r="G79" s="47">
        <f>G2+G60-G78</f>
        <v>8245432</v>
      </c>
      <c r="H79" s="74"/>
    </row>
    <row r="80" ht="15.75" customHeight="1">
      <c r="A80" s="1"/>
      <c r="B80" s="32" t="s">
        <v>1582</v>
      </c>
      <c r="H80" s="67" t="s">
        <v>480</v>
      </c>
    </row>
    <row r="81" ht="15.75" customHeight="1">
      <c r="A81" s="1"/>
      <c r="B81" s="1"/>
      <c r="C81" s="1" t="s">
        <v>1270</v>
      </c>
      <c r="D81" s="1"/>
      <c r="E81" s="1"/>
      <c r="F81" s="1"/>
      <c r="G81" s="2">
        <v>0.0</v>
      </c>
    </row>
    <row r="82" ht="15.75" customHeight="1">
      <c r="A82" s="1"/>
      <c r="B82" s="1"/>
      <c r="C82" s="1" t="s">
        <v>1583</v>
      </c>
      <c r="D82" s="1"/>
      <c r="E82" s="1"/>
      <c r="F82" s="1"/>
      <c r="G82" s="2">
        <v>432100.0</v>
      </c>
    </row>
    <row r="83" ht="15.75" customHeight="1">
      <c r="A83" s="1"/>
      <c r="B83" s="1"/>
      <c r="C83" s="43" t="s">
        <v>115</v>
      </c>
      <c r="D83" s="1"/>
      <c r="E83" s="1"/>
      <c r="F83" s="1"/>
      <c r="G83" s="2">
        <v>432100.0</v>
      </c>
      <c r="J83" s="67" t="s">
        <v>480</v>
      </c>
    </row>
    <row r="84" ht="15.75" customHeight="1">
      <c r="A84" s="1"/>
      <c r="B84" s="1"/>
      <c r="C84" s="43"/>
      <c r="D84" s="1"/>
      <c r="E84" s="1"/>
      <c r="F84" s="1"/>
      <c r="G84" s="2"/>
    </row>
    <row r="85" ht="15.75" customHeight="1">
      <c r="A85" s="1"/>
      <c r="B85" s="43" t="s">
        <v>1523</v>
      </c>
      <c r="C85" s="43"/>
      <c r="D85" s="1"/>
      <c r="E85" s="1"/>
      <c r="F85" s="1"/>
      <c r="G85" s="2"/>
    </row>
    <row r="86" ht="15.75" customHeight="1">
      <c r="A86" s="1"/>
      <c r="B86" s="43" t="s">
        <v>1584</v>
      </c>
      <c r="C86" s="43"/>
      <c r="D86" s="1"/>
      <c r="E86" s="1"/>
      <c r="F86" s="1"/>
      <c r="G86" s="1"/>
    </row>
    <row r="87" ht="15.75" customHeight="1">
      <c r="A87" s="1"/>
      <c r="B87" s="43" t="s">
        <v>1585</v>
      </c>
      <c r="C87" s="43"/>
      <c r="D87" s="1"/>
      <c r="E87" s="1"/>
      <c r="F87" s="1"/>
      <c r="G87" s="1"/>
    </row>
    <row r="88" ht="15.75" customHeight="1">
      <c r="A88" s="1"/>
      <c r="B88" s="1"/>
      <c r="C88" s="43"/>
      <c r="D88" s="1"/>
      <c r="E88" s="1"/>
      <c r="F88" s="1"/>
      <c r="G88" s="1"/>
    </row>
    <row r="89" ht="15.75" customHeight="1">
      <c r="A89" s="1"/>
      <c r="B89" s="33" t="s">
        <v>1586</v>
      </c>
      <c r="C89" s="1"/>
      <c r="D89" s="1"/>
      <c r="E89" s="1"/>
      <c r="F89" s="1"/>
      <c r="G89" s="2"/>
    </row>
    <row r="90" ht="15.75" customHeight="1">
      <c r="A90" s="1"/>
      <c r="B90" s="33"/>
      <c r="C90" s="1"/>
      <c r="D90" s="1"/>
      <c r="E90" s="1"/>
      <c r="F90" s="1"/>
      <c r="G90" s="2"/>
    </row>
    <row r="91" ht="15.75" customHeight="1">
      <c r="A91" s="1"/>
      <c r="B91" s="55" t="s">
        <v>531</v>
      </c>
      <c r="C91" s="56"/>
      <c r="D91" s="56"/>
      <c r="E91" s="56"/>
      <c r="F91" s="1"/>
      <c r="G91" s="2"/>
    </row>
    <row r="92" ht="15.75" customHeight="1">
      <c r="A92" s="1"/>
      <c r="B92" s="55"/>
      <c r="C92" s="56"/>
      <c r="D92" s="56"/>
      <c r="E92" s="56"/>
      <c r="F92" s="1"/>
      <c r="G92" s="2"/>
    </row>
    <row r="93" ht="15.75" customHeight="1">
      <c r="A93" s="1"/>
      <c r="B93" s="55" t="s">
        <v>1587</v>
      </c>
      <c r="C93" s="56"/>
      <c r="D93" s="56"/>
      <c r="E93" s="56"/>
      <c r="F93" s="1"/>
      <c r="G93" s="2"/>
    </row>
    <row r="94" ht="15.75" customHeight="1">
      <c r="A94" s="1"/>
      <c r="B94" s="55"/>
      <c r="C94" s="56"/>
      <c r="D94" s="56"/>
      <c r="E94" s="56"/>
      <c r="F94" s="1"/>
      <c r="G94" s="2"/>
    </row>
    <row r="95" ht="15.75" customHeight="1">
      <c r="A95" s="1"/>
      <c r="B95" s="55" t="s">
        <v>681</v>
      </c>
      <c r="F95" s="1"/>
      <c r="G95" s="2"/>
    </row>
    <row r="96" ht="15.75" customHeight="1">
      <c r="A96" s="1"/>
      <c r="B96" s="55"/>
      <c r="C96" s="55"/>
      <c r="D96" s="55"/>
      <c r="E96" s="55"/>
      <c r="F96" s="1"/>
      <c r="G96" s="2"/>
    </row>
    <row r="97" ht="15.75" customHeight="1">
      <c r="A97" s="1"/>
      <c r="B97" s="55" t="s">
        <v>1588</v>
      </c>
      <c r="C97" s="56"/>
      <c r="D97" s="57"/>
      <c r="E97" s="56"/>
      <c r="F97" s="1"/>
      <c r="G97" s="2"/>
    </row>
    <row r="98" ht="15.75" customHeight="1">
      <c r="A98" s="1"/>
      <c r="B98" s="55"/>
      <c r="C98" s="56"/>
      <c r="D98" s="57"/>
      <c r="E98" s="56"/>
      <c r="F98" s="1"/>
      <c r="G98" s="2"/>
    </row>
    <row r="99" ht="15.75" customHeight="1">
      <c r="A99" s="1"/>
      <c r="B99" s="55" t="s">
        <v>535</v>
      </c>
      <c r="C99" s="56"/>
      <c r="D99" s="57"/>
      <c r="E99" s="56"/>
      <c r="F99" s="1"/>
      <c r="G99" s="2"/>
    </row>
    <row r="100" ht="15.75" customHeight="1">
      <c r="A100" s="1"/>
      <c r="B100" s="55"/>
      <c r="C100" s="56"/>
      <c r="D100" s="57"/>
      <c r="E100" s="56"/>
      <c r="F100" s="1"/>
      <c r="G100" s="2"/>
    </row>
    <row r="101" ht="15.75" customHeight="1">
      <c r="B101" s="55" t="s">
        <v>536</v>
      </c>
      <c r="C101" s="56"/>
      <c r="D101" s="57"/>
      <c r="E101" s="57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80:G80"/>
    <mergeCell ref="B95:E95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1">
      <c r="A1" s="1" t="s">
        <v>721</v>
      </c>
      <c r="B1" s="3" t="s">
        <v>1589</v>
      </c>
      <c r="C1" s="1"/>
      <c r="D1" s="1"/>
      <c r="E1" s="1"/>
      <c r="F1" s="1"/>
      <c r="G1" s="2"/>
    </row>
    <row r="2">
      <c r="A2" s="1"/>
      <c r="B2" s="63" t="s">
        <v>1590</v>
      </c>
      <c r="G2" s="47">
        <v>8245432.0</v>
      </c>
    </row>
    <row r="3">
      <c r="A3" s="1"/>
      <c r="G3" s="2"/>
    </row>
    <row r="4">
      <c r="A4" s="6" t="s">
        <v>1591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459700.0</v>
      </c>
      <c r="G5" s="7">
        <v>152000.0</v>
      </c>
    </row>
    <row r="6">
      <c r="A6" s="1"/>
      <c r="B6" s="4" t="s">
        <v>64</v>
      </c>
      <c r="C6" s="1"/>
      <c r="D6" s="1"/>
      <c r="E6" s="1"/>
      <c r="F6" s="2">
        <v>670900.0</v>
      </c>
      <c r="G6" s="7">
        <v>256000.0</v>
      </c>
    </row>
    <row r="7">
      <c r="A7" s="1"/>
      <c r="B7" s="4" t="s">
        <v>65</v>
      </c>
      <c r="C7" s="1"/>
      <c r="D7" s="1"/>
      <c r="E7" s="1"/>
      <c r="F7" s="2">
        <v>735000.0</v>
      </c>
      <c r="G7" s="7">
        <v>221000.0</v>
      </c>
    </row>
    <row r="8">
      <c r="A8" s="1"/>
      <c r="B8" s="4" t="s">
        <v>66</v>
      </c>
      <c r="C8" s="1"/>
      <c r="D8" s="1"/>
      <c r="E8" s="1"/>
      <c r="F8" s="2">
        <v>519500.0</v>
      </c>
      <c r="G8" s="8">
        <v>228000.0</v>
      </c>
    </row>
    <row r="9">
      <c r="A9" s="1"/>
      <c r="B9" s="4" t="s">
        <v>67</v>
      </c>
      <c r="C9" s="1"/>
      <c r="D9" s="49" t="s">
        <v>8</v>
      </c>
      <c r="E9" s="49"/>
      <c r="F9" s="62">
        <v>286800.0</v>
      </c>
      <c r="G9" s="7">
        <v>81000.0</v>
      </c>
    </row>
    <row r="10">
      <c r="A10" s="1"/>
      <c r="B10" s="4"/>
      <c r="C10" s="50" t="s">
        <v>405</v>
      </c>
      <c r="E10" s="4"/>
      <c r="F10" s="2">
        <f>SUM(F5:F9)</f>
        <v>2671900</v>
      </c>
      <c r="G10" s="7">
        <v>938000.0</v>
      </c>
    </row>
    <row r="11">
      <c r="A11" s="1"/>
      <c r="B11" s="51" t="s">
        <v>9</v>
      </c>
      <c r="C11" s="52"/>
      <c r="D11" s="52"/>
      <c r="E11" s="52"/>
      <c r="F11" s="53"/>
      <c r="G11" s="68">
        <f>SUM(F10:G10)</f>
        <v>3609900</v>
      </c>
    </row>
    <row r="12">
      <c r="A12" s="6" t="s">
        <v>1592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1593</v>
      </c>
      <c r="C14" s="1"/>
      <c r="D14" s="1"/>
      <c r="E14" s="1"/>
      <c r="F14" s="1"/>
      <c r="G14" s="2">
        <v>287700.0</v>
      </c>
    </row>
    <row r="15">
      <c r="A15" s="1"/>
      <c r="B15" s="4" t="s">
        <v>1594</v>
      </c>
      <c r="C15" s="1"/>
      <c r="D15" s="1"/>
      <c r="E15" s="1"/>
      <c r="F15" s="1"/>
      <c r="G15" s="2">
        <v>100000.0</v>
      </c>
    </row>
    <row r="16">
      <c r="A16" s="1"/>
      <c r="B16" s="4" t="s">
        <v>13</v>
      </c>
      <c r="C16" s="1"/>
      <c r="D16" s="1"/>
      <c r="E16" s="1"/>
      <c r="F16" s="1"/>
      <c r="G16" s="13">
        <v>100000.0</v>
      </c>
    </row>
    <row r="17">
      <c r="A17" s="1"/>
      <c r="B17" s="4" t="s">
        <v>14</v>
      </c>
      <c r="C17" s="1"/>
      <c r="D17" s="1"/>
      <c r="E17" s="1"/>
      <c r="F17" s="1"/>
      <c r="G17" s="13">
        <v>100000.0</v>
      </c>
    </row>
    <row r="18">
      <c r="A18" s="1"/>
      <c r="B18" s="4" t="s">
        <v>15</v>
      </c>
      <c r="C18" s="1"/>
      <c r="D18" s="1"/>
      <c r="E18" s="1"/>
      <c r="F18" s="1"/>
      <c r="G18" s="2">
        <v>80000.0</v>
      </c>
    </row>
    <row r="19">
      <c r="A19" s="1"/>
      <c r="B19" s="4" t="s">
        <v>16</v>
      </c>
      <c r="C19" s="1"/>
      <c r="D19" s="1"/>
      <c r="E19" s="1"/>
      <c r="F19" s="1"/>
      <c r="G19" s="2">
        <v>80000.0</v>
      </c>
    </row>
    <row r="20">
      <c r="A20" s="1"/>
      <c r="B20" s="4" t="s">
        <v>17</v>
      </c>
      <c r="C20" s="1"/>
      <c r="D20" s="1"/>
      <c r="E20" s="1"/>
      <c r="F20" s="1"/>
      <c r="G20" s="2">
        <v>100000.0</v>
      </c>
    </row>
    <row r="21" ht="15.75" customHeight="1">
      <c r="A21" s="1"/>
      <c r="B21" s="9" t="s">
        <v>18</v>
      </c>
      <c r="C21" s="10"/>
      <c r="D21" s="10"/>
      <c r="E21" s="10"/>
      <c r="F21" s="10"/>
      <c r="G21" s="69">
        <f>SUM(G14:G20)</f>
        <v>847700</v>
      </c>
    </row>
    <row r="22" ht="15.75" customHeight="1">
      <c r="A22" s="1"/>
      <c r="B22" s="12" t="s">
        <v>19</v>
      </c>
      <c r="C22" s="15"/>
      <c r="D22" s="1"/>
      <c r="E22" s="1"/>
      <c r="F22" s="1"/>
      <c r="G22" s="2"/>
    </row>
    <row r="23" ht="15.75" customHeight="1">
      <c r="A23" s="1"/>
      <c r="B23" s="4" t="s">
        <v>1595</v>
      </c>
      <c r="C23" s="15"/>
      <c r="D23" s="1"/>
      <c r="E23" s="1"/>
      <c r="F23" s="1"/>
      <c r="G23" s="2">
        <v>2000.0</v>
      </c>
    </row>
    <row r="24" ht="15.75" customHeight="1">
      <c r="A24" s="1"/>
      <c r="B24" s="4" t="s">
        <v>1596</v>
      </c>
      <c r="C24" s="15"/>
      <c r="D24" s="1"/>
      <c r="E24" s="1"/>
      <c r="F24" s="1"/>
      <c r="G24" s="2">
        <v>1200.0</v>
      </c>
    </row>
    <row r="25" ht="15.75" customHeight="1">
      <c r="A25" s="1"/>
      <c r="B25" s="4" t="s">
        <v>1597</v>
      </c>
      <c r="C25" s="15"/>
      <c r="D25" s="1"/>
      <c r="E25" s="1"/>
      <c r="F25" s="1"/>
      <c r="G25" s="2">
        <v>141000.0</v>
      </c>
    </row>
    <row r="26" ht="15.75" customHeight="1">
      <c r="A26" s="1"/>
      <c r="B26" s="4" t="s">
        <v>1598</v>
      </c>
      <c r="C26" s="15"/>
      <c r="D26" s="1"/>
      <c r="E26" s="1"/>
      <c r="F26" s="1"/>
      <c r="G26" s="2">
        <v>8000.0</v>
      </c>
    </row>
    <row r="27" ht="15.75" customHeight="1">
      <c r="A27" s="1"/>
      <c r="B27" s="4" t="s">
        <v>1599</v>
      </c>
      <c r="C27" s="15"/>
      <c r="D27" s="1"/>
      <c r="E27" s="1"/>
      <c r="F27" s="1"/>
      <c r="G27" s="2">
        <v>162100.0</v>
      </c>
    </row>
    <row r="28" ht="15.75" customHeight="1">
      <c r="A28" s="1"/>
      <c r="B28" s="4" t="s">
        <v>1600</v>
      </c>
      <c r="C28" s="15"/>
      <c r="D28" s="1"/>
      <c r="E28" s="1"/>
      <c r="F28" s="1"/>
      <c r="G28" s="2">
        <v>65250.0</v>
      </c>
    </row>
    <row r="29" ht="15.75" customHeight="1">
      <c r="A29" s="1"/>
      <c r="B29" s="4" t="s">
        <v>732</v>
      </c>
      <c r="C29" s="15"/>
      <c r="D29" s="1"/>
      <c r="E29" s="1"/>
      <c r="F29" s="1"/>
      <c r="G29" s="2">
        <v>100000.0</v>
      </c>
    </row>
    <row r="30" ht="15.75" customHeight="1">
      <c r="A30" s="1"/>
      <c r="B30" s="4" t="s">
        <v>1601</v>
      </c>
      <c r="C30" s="15"/>
      <c r="D30" s="1"/>
      <c r="E30" s="1"/>
      <c r="F30" s="1"/>
      <c r="G30" s="2">
        <v>206625.0</v>
      </c>
    </row>
    <row r="31" ht="15.75" customHeight="1">
      <c r="A31" s="1"/>
      <c r="B31" s="4" t="s">
        <v>1602</v>
      </c>
      <c r="C31" s="15"/>
      <c r="D31" s="1"/>
      <c r="E31" s="1"/>
      <c r="F31" s="1"/>
      <c r="G31" s="2">
        <v>4500.0</v>
      </c>
    </row>
    <row r="32" ht="15.75" customHeight="1">
      <c r="A32" s="1"/>
      <c r="B32" s="4" t="s">
        <v>1603</v>
      </c>
      <c r="C32" s="15"/>
      <c r="D32" s="1"/>
      <c r="E32" s="1"/>
      <c r="F32" s="1"/>
      <c r="G32" s="2">
        <v>2500.0</v>
      </c>
    </row>
    <row r="33" ht="15.75" customHeight="1">
      <c r="A33" s="1"/>
      <c r="B33" s="4" t="s">
        <v>1604</v>
      </c>
      <c r="C33" s="15"/>
      <c r="D33" s="1"/>
      <c r="E33" s="1"/>
      <c r="F33" s="1"/>
      <c r="G33" s="2">
        <v>600.0</v>
      </c>
    </row>
    <row r="34" ht="15.75" customHeight="1">
      <c r="A34" s="1"/>
      <c r="B34" s="4" t="s">
        <v>1605</v>
      </c>
      <c r="C34" s="15"/>
      <c r="D34" s="1"/>
      <c r="E34" s="1"/>
      <c r="F34" s="1"/>
      <c r="G34" s="2">
        <v>2833.0</v>
      </c>
    </row>
    <row r="35" ht="15.75" customHeight="1">
      <c r="A35" s="1"/>
      <c r="B35" s="4" t="s">
        <v>245</v>
      </c>
      <c r="C35" s="15"/>
      <c r="D35" s="1"/>
      <c r="E35" s="1"/>
      <c r="F35" s="1"/>
      <c r="G35" s="2">
        <v>6000.0</v>
      </c>
    </row>
    <row r="36" ht="15.75" customHeight="1">
      <c r="A36" s="1"/>
      <c r="B36" s="4" t="s">
        <v>1606</v>
      </c>
      <c r="C36" s="15"/>
      <c r="D36" s="1"/>
      <c r="E36" s="1"/>
      <c r="F36" s="1"/>
      <c r="G36" s="2">
        <v>2000.0</v>
      </c>
    </row>
    <row r="37" ht="15.75" customHeight="1">
      <c r="A37" s="1"/>
      <c r="B37" s="4" t="s">
        <v>203</v>
      </c>
      <c r="C37" s="15"/>
      <c r="D37" s="1"/>
      <c r="E37" s="1"/>
      <c r="F37" s="1"/>
      <c r="G37" s="2">
        <v>5000.0</v>
      </c>
    </row>
    <row r="38" ht="15.75" customHeight="1">
      <c r="A38" s="1"/>
      <c r="B38" s="4" t="s">
        <v>1607</v>
      </c>
      <c r="C38" s="15"/>
      <c r="D38" s="1"/>
      <c r="E38" s="1"/>
      <c r="F38" s="1"/>
      <c r="G38" s="2">
        <v>17209.0</v>
      </c>
    </row>
    <row r="39" ht="15.75" customHeight="1">
      <c r="A39" s="1"/>
      <c r="B39" s="4" t="s">
        <v>1608</v>
      </c>
      <c r="C39" s="15"/>
      <c r="D39" s="1"/>
      <c r="E39" s="1"/>
      <c r="F39" s="1"/>
      <c r="G39" s="2">
        <v>350000.0</v>
      </c>
    </row>
    <row r="40" ht="15.75" customHeight="1">
      <c r="A40" s="1"/>
      <c r="B40" s="4" t="s">
        <v>1609</v>
      </c>
      <c r="C40" s="15"/>
      <c r="D40" s="1"/>
      <c r="E40" s="1"/>
      <c r="F40" s="1"/>
      <c r="G40" s="2">
        <v>30000.0</v>
      </c>
    </row>
    <row r="41" ht="15.75" customHeight="1">
      <c r="A41" s="1"/>
      <c r="B41" s="4" t="s">
        <v>1610</v>
      </c>
      <c r="C41" s="15"/>
      <c r="D41" s="1"/>
      <c r="E41" s="1"/>
      <c r="F41" s="1"/>
      <c r="G41" s="2">
        <v>5000.0</v>
      </c>
    </row>
    <row r="42" ht="15.75" customHeight="1">
      <c r="A42" s="1"/>
      <c r="B42" s="1" t="s">
        <v>1611</v>
      </c>
      <c r="C42" s="1"/>
      <c r="D42" s="1"/>
      <c r="E42" s="1"/>
      <c r="F42" s="1"/>
      <c r="G42" s="13">
        <v>3000.0</v>
      </c>
    </row>
    <row r="43" ht="15.75" customHeight="1">
      <c r="A43" s="1"/>
      <c r="B43" s="1" t="s">
        <v>1612</v>
      </c>
      <c r="C43" s="1"/>
      <c r="D43" s="1"/>
      <c r="E43" s="1"/>
      <c r="F43" s="1"/>
      <c r="G43" s="13">
        <v>10000.0</v>
      </c>
    </row>
    <row r="44" ht="15.75" customHeight="1">
      <c r="A44" s="1"/>
      <c r="B44" s="1" t="s">
        <v>1613</v>
      </c>
      <c r="C44" s="1"/>
      <c r="D44" s="1"/>
      <c r="E44" s="1"/>
      <c r="F44" s="1"/>
      <c r="G44" s="13">
        <v>13120.0</v>
      </c>
    </row>
    <row r="45" ht="15.75" customHeight="1">
      <c r="A45" s="1"/>
      <c r="B45" s="1" t="s">
        <v>1614</v>
      </c>
      <c r="C45" s="1"/>
      <c r="D45" s="1"/>
      <c r="E45" s="1"/>
      <c r="F45" s="1"/>
      <c r="G45" s="13">
        <v>163205.0</v>
      </c>
    </row>
    <row r="46" ht="15.75" customHeight="1">
      <c r="A46" s="1"/>
      <c r="B46" s="1" t="s">
        <v>1615</v>
      </c>
      <c r="C46" s="1"/>
      <c r="D46" s="1"/>
      <c r="E46" s="1"/>
      <c r="F46" s="1"/>
      <c r="G46" s="13">
        <v>800.0</v>
      </c>
    </row>
    <row r="47" ht="15.75" customHeight="1">
      <c r="A47" s="1"/>
      <c r="B47" s="1" t="s">
        <v>245</v>
      </c>
      <c r="C47" s="1"/>
      <c r="D47" s="1"/>
      <c r="E47" s="1"/>
      <c r="F47" s="1"/>
      <c r="G47" s="13">
        <v>6000.0</v>
      </c>
    </row>
    <row r="48" ht="15.75" customHeight="1">
      <c r="A48" s="1"/>
      <c r="B48" s="1" t="s">
        <v>1616</v>
      </c>
      <c r="C48" s="1"/>
      <c r="D48" s="1"/>
      <c r="E48" s="1"/>
      <c r="F48" s="1"/>
      <c r="G48" s="13">
        <v>281000.0</v>
      </c>
    </row>
    <row r="49" ht="15.75" customHeight="1">
      <c r="A49" s="1"/>
      <c r="B49" s="1" t="s">
        <v>1617</v>
      </c>
      <c r="C49" s="1"/>
      <c r="D49" s="1"/>
      <c r="E49" s="1"/>
      <c r="F49" s="1"/>
      <c r="G49" s="13">
        <v>3000.0</v>
      </c>
    </row>
    <row r="50" ht="15.75" customHeight="1">
      <c r="A50" s="1"/>
      <c r="B50" s="1" t="s">
        <v>1618</v>
      </c>
      <c r="C50" s="1"/>
      <c r="D50" s="1"/>
      <c r="E50" s="1"/>
      <c r="F50" s="1"/>
      <c r="G50" s="13">
        <v>19200.0</v>
      </c>
    </row>
    <row r="51" ht="15.75" customHeight="1">
      <c r="A51" s="1"/>
      <c r="B51" s="1" t="s">
        <v>1619</v>
      </c>
      <c r="C51" s="1"/>
      <c r="D51" s="1"/>
      <c r="E51" s="1"/>
      <c r="F51" s="1"/>
      <c r="G51" s="13">
        <v>4500.0</v>
      </c>
    </row>
    <row r="52" ht="15.75" customHeight="1">
      <c r="A52" s="1"/>
      <c r="B52" s="1" t="s">
        <v>1620</v>
      </c>
      <c r="C52" s="1"/>
      <c r="D52" s="1"/>
      <c r="E52" s="1"/>
      <c r="F52" s="1"/>
      <c r="G52" s="13">
        <v>50.0</v>
      </c>
    </row>
    <row r="53" ht="15.75" customHeight="1">
      <c r="A53" s="1"/>
      <c r="B53" s="1" t="s">
        <v>1621</v>
      </c>
      <c r="C53" s="1"/>
      <c r="D53" s="1"/>
      <c r="E53" s="1"/>
      <c r="F53" s="1"/>
      <c r="G53" s="13">
        <v>2000.0</v>
      </c>
    </row>
    <row r="54" ht="15.75" customHeight="1">
      <c r="A54" s="1"/>
      <c r="B54" s="1" t="s">
        <v>1622</v>
      </c>
      <c r="C54" s="1"/>
      <c r="D54" s="1"/>
      <c r="E54" s="1"/>
      <c r="F54" s="1"/>
      <c r="G54" s="13">
        <v>125000.0</v>
      </c>
    </row>
    <row r="55" ht="15.75" customHeight="1">
      <c r="A55" s="1"/>
      <c r="B55" s="1" t="s">
        <v>1623</v>
      </c>
      <c r="C55" s="1"/>
      <c r="D55" s="1"/>
      <c r="E55" s="1"/>
      <c r="F55" s="1"/>
      <c r="G55" s="13">
        <v>50000.0</v>
      </c>
    </row>
    <row r="56" ht="15.75" customHeight="1">
      <c r="A56" s="1"/>
      <c r="B56" s="1" t="s">
        <v>1624</v>
      </c>
      <c r="C56" s="1"/>
      <c r="D56" s="1"/>
      <c r="E56" s="1"/>
      <c r="F56" s="1"/>
      <c r="G56" s="13">
        <v>500000.0</v>
      </c>
    </row>
    <row r="57" ht="15.75" customHeight="1">
      <c r="A57" s="1"/>
      <c r="B57" s="43" t="s">
        <v>43</v>
      </c>
      <c r="C57" s="1"/>
      <c r="D57" s="1"/>
      <c r="E57" s="1"/>
      <c r="F57" s="1"/>
      <c r="G57" s="18">
        <f>SUM(G23:G56)</f>
        <v>2292692</v>
      </c>
    </row>
    <row r="58" ht="15.75" customHeight="1">
      <c r="A58" s="1"/>
      <c r="B58" s="19" t="s">
        <v>45</v>
      </c>
      <c r="C58" s="20"/>
      <c r="D58" s="20"/>
      <c r="E58" s="20"/>
      <c r="F58" s="20"/>
      <c r="G58" s="70">
        <f>SUM(G21+G57)</f>
        <v>3140392</v>
      </c>
    </row>
    <row r="59" ht="15.75" customHeight="1">
      <c r="A59" s="1"/>
      <c r="B59" s="4" t="s">
        <v>46</v>
      </c>
      <c r="C59" s="1"/>
      <c r="D59" s="1"/>
      <c r="E59" s="1"/>
      <c r="F59" s="1"/>
      <c r="G59" s="2"/>
    </row>
    <row r="60" ht="15.75" customHeight="1">
      <c r="A60" s="35" t="s">
        <v>1625</v>
      </c>
      <c r="B60" s="36"/>
      <c r="C60" s="37"/>
      <c r="D60" s="37"/>
      <c r="E60" s="37"/>
      <c r="F60" s="37"/>
      <c r="G60" s="71">
        <f>(G11-G58)</f>
        <v>469508</v>
      </c>
    </row>
    <row r="61" ht="15.75" customHeight="1">
      <c r="A61" s="22" t="s">
        <v>254</v>
      </c>
      <c r="B61" s="43" t="s">
        <v>255</v>
      </c>
      <c r="C61" s="1"/>
      <c r="D61" s="1"/>
      <c r="E61" s="1"/>
      <c r="F61" s="1"/>
      <c r="G61" s="2"/>
    </row>
    <row r="62" ht="15.75" customHeight="1">
      <c r="A62" s="44"/>
      <c r="B62" s="1"/>
      <c r="C62" s="1"/>
      <c r="D62" s="1"/>
      <c r="E62" s="1"/>
      <c r="F62" s="1"/>
      <c r="G62" s="13"/>
    </row>
    <row r="63" ht="15.75" customHeight="1">
      <c r="A63" s="44"/>
      <c r="B63" s="72" t="s">
        <v>51</v>
      </c>
      <c r="C63" s="27"/>
      <c r="D63" s="27"/>
      <c r="E63" s="27"/>
      <c r="F63" s="27"/>
      <c r="G63" s="73">
        <f>SUM(G62)</f>
        <v>0</v>
      </c>
    </row>
    <row r="64" ht="15.75" customHeight="1">
      <c r="A64" s="44"/>
      <c r="B64" s="44"/>
      <c r="C64" s="45" t="s">
        <v>1626</v>
      </c>
      <c r="D64" s="46"/>
      <c r="E64" s="46"/>
      <c r="F64" s="46"/>
      <c r="G64" s="47">
        <f>G2+G60-G63</f>
        <v>8714940</v>
      </c>
    </row>
    <row r="65" ht="15.75" customHeight="1">
      <c r="A65" s="1"/>
      <c r="B65" s="32" t="s">
        <v>1627</v>
      </c>
    </row>
    <row r="66" ht="15.75" customHeight="1">
      <c r="A66" s="1"/>
      <c r="B66" s="1"/>
      <c r="C66" s="1" t="s">
        <v>1115</v>
      </c>
      <c r="D66" s="1"/>
      <c r="E66" s="1"/>
      <c r="F66" s="1"/>
      <c r="G66" s="2">
        <v>13200.0</v>
      </c>
    </row>
    <row r="67" ht="15.75" customHeight="1">
      <c r="A67" s="1"/>
      <c r="B67" s="1"/>
      <c r="C67" s="1" t="s">
        <v>1583</v>
      </c>
      <c r="D67" s="1"/>
      <c r="E67" s="1"/>
      <c r="F67" s="1"/>
      <c r="G67" s="2">
        <v>440700.0</v>
      </c>
    </row>
    <row r="68" ht="15.75" customHeight="1">
      <c r="A68" s="1"/>
      <c r="B68" s="1"/>
      <c r="C68" s="43" t="s">
        <v>115</v>
      </c>
      <c r="D68" s="1"/>
      <c r="E68" s="1"/>
      <c r="F68" s="1"/>
      <c r="G68" s="2">
        <v>453900.0</v>
      </c>
    </row>
    <row r="69" ht="15.75" customHeight="1">
      <c r="A69" s="1"/>
      <c r="B69" s="1"/>
      <c r="C69" s="43"/>
      <c r="D69" s="1"/>
      <c r="E69" s="1"/>
      <c r="F69" s="1"/>
      <c r="G69" s="2"/>
    </row>
    <row r="70" ht="15.75" customHeight="1">
      <c r="A70" s="1"/>
      <c r="B70" s="43" t="s">
        <v>1523</v>
      </c>
      <c r="C70" s="43"/>
      <c r="D70" s="1"/>
      <c r="E70" s="1"/>
      <c r="F70" s="1"/>
      <c r="G70" s="2"/>
    </row>
    <row r="71" ht="15.75" customHeight="1">
      <c r="A71" s="1"/>
      <c r="B71" s="43" t="s">
        <v>1628</v>
      </c>
      <c r="C71" s="43"/>
      <c r="D71" s="1"/>
      <c r="E71" s="1"/>
      <c r="F71" s="1"/>
      <c r="G71" s="1"/>
    </row>
    <row r="72" ht="15.75" customHeight="1">
      <c r="A72" s="1"/>
      <c r="B72" s="43" t="s">
        <v>1585</v>
      </c>
      <c r="C72" s="43"/>
      <c r="D72" s="1"/>
      <c r="E72" s="1"/>
      <c r="F72" s="1"/>
      <c r="G72" s="1"/>
    </row>
    <row r="73" ht="15.75" customHeight="1">
      <c r="A73" s="1"/>
      <c r="B73" s="1"/>
      <c r="C73" s="43"/>
      <c r="D73" s="1"/>
      <c r="E73" s="1"/>
      <c r="F73" s="1"/>
      <c r="G73" s="1"/>
    </row>
    <row r="74" ht="15.75" customHeight="1">
      <c r="A74" s="1"/>
      <c r="B74" s="33" t="s">
        <v>1629</v>
      </c>
      <c r="C74" s="1"/>
      <c r="D74" s="1"/>
      <c r="E74" s="1"/>
      <c r="F74" s="1"/>
      <c r="G74" s="2"/>
    </row>
    <row r="75" ht="15.75" customHeight="1">
      <c r="A75" s="1"/>
      <c r="B75" s="33"/>
      <c r="C75" s="1"/>
      <c r="D75" s="1"/>
      <c r="E75" s="1"/>
      <c r="F75" s="1"/>
      <c r="G75" s="2"/>
    </row>
    <row r="76" ht="15.75" customHeight="1">
      <c r="A76" s="1"/>
      <c r="B76" s="55" t="s">
        <v>531</v>
      </c>
      <c r="C76" s="56"/>
      <c r="D76" s="56"/>
      <c r="E76" s="56"/>
      <c r="F76" s="1"/>
      <c r="G76" s="2"/>
    </row>
    <row r="77" ht="15.75" customHeight="1">
      <c r="A77" s="1"/>
      <c r="B77" s="55"/>
      <c r="C77" s="56"/>
      <c r="D77" s="56"/>
      <c r="E77" s="56"/>
      <c r="F77" s="1"/>
      <c r="G77" s="2"/>
    </row>
    <row r="78" ht="15.75" customHeight="1">
      <c r="A78" s="1"/>
      <c r="B78" s="55" t="s">
        <v>1630</v>
      </c>
      <c r="C78" s="56"/>
      <c r="D78" s="56"/>
      <c r="E78" s="56"/>
      <c r="F78" s="1"/>
      <c r="G78" s="2"/>
    </row>
    <row r="79" ht="15.75" customHeight="1">
      <c r="A79" s="1"/>
      <c r="B79" s="55"/>
      <c r="C79" s="56"/>
      <c r="D79" s="56"/>
      <c r="E79" s="56"/>
      <c r="F79" s="1"/>
      <c r="G79" s="2"/>
    </row>
    <row r="80" ht="15.75" customHeight="1">
      <c r="A80" s="1"/>
      <c r="B80" s="55" t="s">
        <v>533</v>
      </c>
      <c r="F80" s="1"/>
      <c r="G80" s="2"/>
    </row>
    <row r="81" ht="15.75" customHeight="1">
      <c r="A81" s="1"/>
      <c r="B81" s="55"/>
      <c r="C81" s="55"/>
      <c r="D81" s="55"/>
      <c r="E81" s="55"/>
      <c r="F81" s="1"/>
      <c r="G81" s="2"/>
    </row>
    <row r="82" ht="15.75" customHeight="1">
      <c r="A82" s="1"/>
      <c r="B82" s="55" t="s">
        <v>1631</v>
      </c>
      <c r="C82" s="56"/>
      <c r="D82" s="57"/>
      <c r="E82" s="56"/>
      <c r="F82" s="1"/>
      <c r="G82" s="2"/>
    </row>
    <row r="83" ht="15.75" customHeight="1">
      <c r="A83" s="1"/>
      <c r="B83" s="55"/>
      <c r="C83" s="56"/>
      <c r="D83" s="57"/>
      <c r="E83" s="56"/>
      <c r="F83" s="1"/>
      <c r="G83" s="2"/>
    </row>
    <row r="84" ht="15.75" customHeight="1">
      <c r="A84" s="1"/>
      <c r="B84" s="55" t="s">
        <v>535</v>
      </c>
      <c r="C84" s="56"/>
      <c r="D84" s="57"/>
      <c r="E84" s="56"/>
      <c r="F84" s="1"/>
      <c r="G84" s="2"/>
    </row>
    <row r="85" ht="15.75" customHeight="1">
      <c r="A85" s="1"/>
      <c r="B85" s="55"/>
      <c r="C85" s="56"/>
      <c r="D85" s="57"/>
      <c r="E85" s="56"/>
      <c r="F85" s="1"/>
      <c r="G85" s="2"/>
    </row>
    <row r="86" ht="15.75" customHeight="1">
      <c r="B86" s="55" t="s">
        <v>536</v>
      </c>
      <c r="C86" s="56"/>
      <c r="D86" s="57"/>
      <c r="E86" s="5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65:G65"/>
    <mergeCell ref="B80:E80"/>
  </mergeCells>
  <printOptions/>
  <pageMargins bottom="0.75" footer="0.0" header="0.0" left="0.7" right="0.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1">
      <c r="A1" s="1" t="s">
        <v>721</v>
      </c>
      <c r="B1" s="3" t="s">
        <v>1632</v>
      </c>
      <c r="C1" s="1"/>
      <c r="D1" s="1"/>
      <c r="E1" s="1"/>
      <c r="F1" s="1"/>
      <c r="G1" s="2"/>
    </row>
    <row r="2">
      <c r="A2" s="1"/>
      <c r="B2" s="63" t="s">
        <v>1633</v>
      </c>
      <c r="G2" s="47">
        <v>8714940.0</v>
      </c>
    </row>
    <row r="3">
      <c r="A3" s="1"/>
      <c r="G3" s="2"/>
    </row>
    <row r="4">
      <c r="A4" s="6" t="s">
        <v>1634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197100.0</v>
      </c>
      <c r="G5" s="7">
        <v>26000.0</v>
      </c>
    </row>
    <row r="6">
      <c r="A6" s="1"/>
      <c r="B6" s="4" t="s">
        <v>64</v>
      </c>
      <c r="C6" s="1"/>
      <c r="D6" s="1"/>
      <c r="E6" s="1"/>
      <c r="F6" s="2">
        <v>466100.0</v>
      </c>
      <c r="G6" s="7">
        <v>184000.0</v>
      </c>
    </row>
    <row r="7">
      <c r="A7" s="1"/>
      <c r="B7" s="4" t="s">
        <v>65</v>
      </c>
      <c r="C7" s="1"/>
      <c r="D7" s="1"/>
      <c r="E7" s="1"/>
      <c r="F7" s="2">
        <v>608400.0</v>
      </c>
      <c r="G7" s="7">
        <v>166000.0</v>
      </c>
    </row>
    <row r="8">
      <c r="A8" s="1"/>
      <c r="B8" s="4" t="s">
        <v>66</v>
      </c>
      <c r="C8" s="1"/>
      <c r="D8" s="1"/>
      <c r="E8" s="1"/>
      <c r="F8" s="2">
        <v>551300.0</v>
      </c>
      <c r="G8" s="8">
        <v>168000.0</v>
      </c>
    </row>
    <row r="9">
      <c r="A9" s="1"/>
      <c r="B9" s="4" t="s">
        <v>67</v>
      </c>
      <c r="C9" s="1"/>
      <c r="D9" s="49" t="s">
        <v>8</v>
      </c>
      <c r="E9" s="49"/>
      <c r="F9" s="62">
        <v>796300.0</v>
      </c>
      <c r="G9" s="7">
        <v>170000.0</v>
      </c>
    </row>
    <row r="10">
      <c r="A10" s="1"/>
      <c r="B10" s="4"/>
      <c r="C10" s="50" t="s">
        <v>405</v>
      </c>
      <c r="E10" s="4"/>
      <c r="F10" s="2">
        <f>SUM(F5:F9)</f>
        <v>2619200</v>
      </c>
      <c r="G10" s="7">
        <v>714000.0</v>
      </c>
    </row>
    <row r="11">
      <c r="A11" s="1"/>
      <c r="B11" s="51" t="s">
        <v>9</v>
      </c>
      <c r="C11" s="52"/>
      <c r="D11" s="52"/>
      <c r="E11" s="52"/>
      <c r="F11" s="53"/>
      <c r="G11" s="68">
        <f>SUM(F10:G10)</f>
        <v>3333200</v>
      </c>
    </row>
    <row r="12">
      <c r="A12" s="6" t="s">
        <v>1635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1636</v>
      </c>
      <c r="C14" s="1"/>
      <c r="D14" s="1"/>
      <c r="E14" s="1"/>
      <c r="F14" s="1"/>
      <c r="G14" s="2">
        <v>284400.0</v>
      </c>
    </row>
    <row r="15">
      <c r="A15" s="1"/>
      <c r="B15" s="4" t="s">
        <v>1594</v>
      </c>
      <c r="C15" s="1"/>
      <c r="D15" s="1"/>
      <c r="E15" s="1"/>
      <c r="F15" s="1"/>
      <c r="G15" s="2">
        <v>100000.0</v>
      </c>
    </row>
    <row r="16">
      <c r="A16" s="1"/>
      <c r="B16" s="4" t="s">
        <v>13</v>
      </c>
      <c r="C16" s="1"/>
      <c r="D16" s="1"/>
      <c r="E16" s="1"/>
      <c r="F16" s="1"/>
      <c r="G16" s="13">
        <v>100000.0</v>
      </c>
    </row>
    <row r="17">
      <c r="A17" s="1"/>
      <c r="B17" s="4" t="s">
        <v>14</v>
      </c>
      <c r="C17" s="1"/>
      <c r="D17" s="1"/>
      <c r="E17" s="1"/>
      <c r="F17" s="1"/>
      <c r="G17" s="13">
        <v>100000.0</v>
      </c>
    </row>
    <row r="18">
      <c r="A18" s="1"/>
      <c r="B18" s="4" t="s">
        <v>15</v>
      </c>
      <c r="C18" s="1"/>
      <c r="D18" s="1"/>
      <c r="E18" s="1"/>
      <c r="F18" s="1"/>
      <c r="G18" s="2">
        <v>80000.0</v>
      </c>
    </row>
    <row r="19">
      <c r="A19" s="1"/>
      <c r="B19" s="4" t="s">
        <v>16</v>
      </c>
      <c r="C19" s="1"/>
      <c r="D19" s="1"/>
      <c r="E19" s="1"/>
      <c r="F19" s="1"/>
      <c r="G19" s="2">
        <v>80000.0</v>
      </c>
    </row>
    <row r="20">
      <c r="A20" s="1"/>
      <c r="B20" s="4" t="s">
        <v>17</v>
      </c>
      <c r="C20" s="1"/>
      <c r="D20" s="1"/>
      <c r="E20" s="1"/>
      <c r="F20" s="1"/>
      <c r="G20" s="2">
        <v>100000.0</v>
      </c>
    </row>
    <row r="21" ht="15.75" customHeight="1">
      <c r="A21" s="1"/>
      <c r="B21" s="9" t="s">
        <v>18</v>
      </c>
      <c r="C21" s="10"/>
      <c r="D21" s="10"/>
      <c r="E21" s="10"/>
      <c r="F21" s="10"/>
      <c r="G21" s="69">
        <f>SUM(G14:G20)</f>
        <v>844400</v>
      </c>
    </row>
    <row r="22" ht="15.75" customHeight="1">
      <c r="A22" s="1"/>
      <c r="B22" s="12" t="s">
        <v>19</v>
      </c>
      <c r="C22" s="15"/>
      <c r="D22" s="1"/>
      <c r="E22" s="1"/>
      <c r="F22" s="1"/>
      <c r="G22" s="2"/>
    </row>
    <row r="23" ht="15.75" customHeight="1">
      <c r="A23" s="1"/>
      <c r="B23" s="4" t="s">
        <v>1637</v>
      </c>
      <c r="C23" s="15"/>
      <c r="D23" s="1"/>
      <c r="E23" s="1"/>
      <c r="F23" s="1"/>
      <c r="G23" s="2">
        <v>36000.0</v>
      </c>
    </row>
    <row r="24" ht="15.75" customHeight="1">
      <c r="A24" s="1"/>
      <c r="B24" s="4" t="s">
        <v>1638</v>
      </c>
      <c r="C24" s="15"/>
      <c r="D24" s="1"/>
      <c r="E24" s="1"/>
      <c r="F24" s="1"/>
      <c r="G24" s="2">
        <v>77000.0</v>
      </c>
    </row>
    <row r="25" ht="15.75" customHeight="1">
      <c r="A25" s="1"/>
      <c r="B25" s="4" t="s">
        <v>1639</v>
      </c>
      <c r="C25" s="15"/>
      <c r="D25" s="1"/>
      <c r="E25" s="1"/>
      <c r="F25" s="1"/>
      <c r="G25" s="2">
        <v>51150.0</v>
      </c>
    </row>
    <row r="26" ht="15.75" customHeight="1">
      <c r="A26" s="1"/>
      <c r="B26" s="4" t="s">
        <v>1640</v>
      </c>
      <c r="C26" s="15"/>
      <c r="D26" s="1"/>
      <c r="E26" s="1"/>
      <c r="F26" s="1"/>
      <c r="G26" s="2">
        <v>18805.0</v>
      </c>
    </row>
    <row r="27" ht="15.75" customHeight="1">
      <c r="A27" s="1"/>
      <c r="B27" s="4" t="s">
        <v>1641</v>
      </c>
      <c r="C27" s="15"/>
      <c r="D27" s="1"/>
      <c r="E27" s="1"/>
      <c r="F27" s="1"/>
      <c r="G27" s="2">
        <v>75000.0</v>
      </c>
    </row>
    <row r="28" ht="15.75" customHeight="1">
      <c r="A28" s="1"/>
      <c r="B28" s="4" t="s">
        <v>245</v>
      </c>
      <c r="C28" s="15"/>
      <c r="D28" s="1"/>
      <c r="E28" s="1"/>
      <c r="F28" s="1"/>
      <c r="G28" s="2">
        <v>6000.0</v>
      </c>
    </row>
    <row r="29" ht="15.75" customHeight="1">
      <c r="A29" s="1"/>
      <c r="B29" s="4" t="s">
        <v>1642</v>
      </c>
      <c r="C29" s="15"/>
      <c r="D29" s="1"/>
      <c r="E29" s="1"/>
      <c r="F29" s="1"/>
      <c r="G29" s="2">
        <v>65250.0</v>
      </c>
    </row>
    <row r="30" ht="15.75" customHeight="1">
      <c r="A30" s="1"/>
      <c r="B30" s="4" t="s">
        <v>1643</v>
      </c>
      <c r="C30" s="15"/>
      <c r="D30" s="1"/>
      <c r="E30" s="1"/>
      <c r="F30" s="1"/>
      <c r="G30" s="2">
        <v>6053.0</v>
      </c>
    </row>
    <row r="31" ht="15.75" customHeight="1">
      <c r="A31" s="1"/>
      <c r="B31" s="4" t="s">
        <v>1644</v>
      </c>
      <c r="C31" s="15"/>
      <c r="D31" s="1"/>
      <c r="E31" s="1"/>
      <c r="F31" s="1"/>
      <c r="G31" s="2">
        <v>5000.0</v>
      </c>
    </row>
    <row r="32" ht="15.75" customHeight="1">
      <c r="A32" s="1"/>
      <c r="B32" s="4" t="s">
        <v>1645</v>
      </c>
      <c r="C32" s="15"/>
      <c r="D32" s="1"/>
      <c r="E32" s="1"/>
      <c r="F32" s="1"/>
      <c r="G32" s="2">
        <v>26000.0</v>
      </c>
    </row>
    <row r="33" ht="15.75" customHeight="1">
      <c r="A33" s="1"/>
      <c r="B33" s="4" t="s">
        <v>282</v>
      </c>
      <c r="C33" s="15"/>
      <c r="D33" s="1"/>
      <c r="E33" s="1"/>
      <c r="F33" s="1"/>
      <c r="G33" s="2">
        <v>100000.0</v>
      </c>
    </row>
    <row r="34" ht="15.75" customHeight="1">
      <c r="A34" s="1"/>
      <c r="B34" s="4" t="s">
        <v>1646</v>
      </c>
      <c r="C34" s="15"/>
      <c r="D34" s="1"/>
      <c r="E34" s="1"/>
      <c r="F34" s="1"/>
      <c r="G34" s="2">
        <v>2000.0</v>
      </c>
    </row>
    <row r="35" ht="15.75" customHeight="1">
      <c r="A35" s="1"/>
      <c r="B35" s="4" t="s">
        <v>830</v>
      </c>
      <c r="C35" s="15"/>
      <c r="D35" s="1"/>
      <c r="E35" s="1"/>
      <c r="F35" s="1"/>
      <c r="G35" s="2">
        <v>1500.0</v>
      </c>
    </row>
    <row r="36" ht="15.75" customHeight="1">
      <c r="A36" s="1"/>
      <c r="B36" s="4" t="s">
        <v>1647</v>
      </c>
      <c r="C36" s="15"/>
      <c r="D36" s="1"/>
      <c r="E36" s="1"/>
      <c r="F36" s="1"/>
      <c r="G36" s="2">
        <v>6450.0</v>
      </c>
    </row>
    <row r="37" ht="15.75" customHeight="1">
      <c r="A37" s="1"/>
      <c r="B37" s="4" t="s">
        <v>1648</v>
      </c>
      <c r="C37" s="15"/>
      <c r="D37" s="1"/>
      <c r="E37" s="1"/>
      <c r="F37" s="1"/>
      <c r="G37" s="2">
        <v>163205.0</v>
      </c>
    </row>
    <row r="38" ht="15.75" customHeight="1">
      <c r="A38" s="1"/>
      <c r="B38" s="4" t="s">
        <v>1649</v>
      </c>
      <c r="C38" s="15"/>
      <c r="D38" s="1"/>
      <c r="E38" s="1"/>
      <c r="F38" s="1"/>
      <c r="G38" s="2">
        <v>5000.0</v>
      </c>
    </row>
    <row r="39" ht="15.75" customHeight="1">
      <c r="A39" s="1"/>
      <c r="B39" s="4" t="s">
        <v>1650</v>
      </c>
      <c r="C39" s="15"/>
      <c r="D39" s="1"/>
      <c r="E39" s="1"/>
      <c r="F39" s="1"/>
      <c r="G39" s="2">
        <v>654700.0</v>
      </c>
    </row>
    <row r="40" ht="15.75" customHeight="1">
      <c r="A40" s="1"/>
      <c r="B40" s="4" t="s">
        <v>1651</v>
      </c>
      <c r="C40" s="15"/>
      <c r="D40" s="1"/>
      <c r="E40" s="1"/>
      <c r="F40" s="1"/>
      <c r="G40" s="2">
        <v>80000.0</v>
      </c>
    </row>
    <row r="41" ht="15.75" customHeight="1">
      <c r="A41" s="1"/>
      <c r="B41" s="4" t="s">
        <v>1652</v>
      </c>
      <c r="C41" s="15"/>
      <c r="D41" s="1"/>
      <c r="E41" s="1"/>
      <c r="F41" s="1"/>
      <c r="G41" s="2">
        <v>3000.0</v>
      </c>
    </row>
    <row r="42" ht="15.75" customHeight="1">
      <c r="A42" s="1"/>
      <c r="B42" s="1" t="s">
        <v>652</v>
      </c>
      <c r="C42" s="1"/>
      <c r="D42" s="1"/>
      <c r="E42" s="1"/>
      <c r="F42" s="1"/>
      <c r="G42" s="13">
        <v>8000.0</v>
      </c>
    </row>
    <row r="43" ht="15.75" customHeight="1">
      <c r="A43" s="1"/>
      <c r="B43" s="1" t="s">
        <v>1653</v>
      </c>
      <c r="C43" s="1"/>
      <c r="D43" s="1"/>
      <c r="E43" s="1"/>
      <c r="F43" s="1"/>
      <c r="G43" s="13">
        <v>82600.0</v>
      </c>
    </row>
    <row r="44" ht="15.75" customHeight="1">
      <c r="A44" s="1"/>
      <c r="B44" s="1" t="s">
        <v>1654</v>
      </c>
      <c r="C44" s="1"/>
      <c r="D44" s="1"/>
      <c r="E44" s="1"/>
      <c r="F44" s="1"/>
      <c r="G44" s="13">
        <v>2000.0</v>
      </c>
    </row>
    <row r="45" ht="15.75" customHeight="1">
      <c r="A45" s="1"/>
      <c r="B45" s="1" t="s">
        <v>580</v>
      </c>
      <c r="C45" s="1"/>
      <c r="D45" s="1"/>
      <c r="E45" s="1"/>
      <c r="F45" s="1"/>
      <c r="G45" s="13">
        <v>10000.0</v>
      </c>
    </row>
    <row r="46" ht="15.75" customHeight="1">
      <c r="A46" s="1"/>
      <c r="B46" s="1" t="s">
        <v>1655</v>
      </c>
      <c r="C46" s="1"/>
      <c r="D46" s="1"/>
      <c r="E46" s="1"/>
      <c r="F46" s="1"/>
      <c r="G46" s="13">
        <v>69000.0</v>
      </c>
    </row>
    <row r="47" ht="15.75" customHeight="1">
      <c r="A47" s="1"/>
      <c r="B47" s="1" t="s">
        <v>1656</v>
      </c>
      <c r="C47" s="1"/>
      <c r="D47" s="1"/>
      <c r="E47" s="1"/>
      <c r="F47" s="1"/>
      <c r="G47" s="13">
        <v>24000.0</v>
      </c>
    </row>
    <row r="48" ht="15.75" customHeight="1">
      <c r="A48" s="1"/>
      <c r="B48" s="1" t="s">
        <v>1657</v>
      </c>
      <c r="C48" s="1"/>
      <c r="D48" s="1"/>
      <c r="E48" s="1"/>
      <c r="F48" s="1"/>
      <c r="G48" s="13">
        <v>3000.0</v>
      </c>
    </row>
    <row r="49" ht="15.75" customHeight="1">
      <c r="A49" s="1"/>
      <c r="B49" s="1" t="s">
        <v>1658</v>
      </c>
      <c r="C49" s="1"/>
      <c r="D49" s="1"/>
      <c r="E49" s="1"/>
      <c r="F49" s="1"/>
      <c r="G49" s="13">
        <v>6400.0</v>
      </c>
    </row>
    <row r="50" ht="15.75" customHeight="1">
      <c r="A50" s="1"/>
      <c r="B50" s="1" t="s">
        <v>1659</v>
      </c>
      <c r="C50" s="1"/>
      <c r="D50" s="1"/>
      <c r="E50" s="1"/>
      <c r="F50" s="1"/>
      <c r="G50" s="13">
        <v>2500.0</v>
      </c>
    </row>
    <row r="51" ht="15.75" customHeight="1">
      <c r="A51" s="1"/>
      <c r="B51" s="1" t="s">
        <v>652</v>
      </c>
      <c r="C51" s="1"/>
      <c r="D51" s="1"/>
      <c r="E51" s="1"/>
      <c r="F51" s="1"/>
      <c r="G51" s="13">
        <v>8000.0</v>
      </c>
    </row>
    <row r="52" ht="15.75" customHeight="1">
      <c r="A52" s="1"/>
      <c r="B52" s="1" t="s">
        <v>1660</v>
      </c>
      <c r="C52" s="1"/>
      <c r="D52" s="1"/>
      <c r="E52" s="1"/>
      <c r="F52" s="1"/>
      <c r="G52" s="13">
        <v>4500.0</v>
      </c>
    </row>
    <row r="53" ht="15.75" customHeight="1">
      <c r="A53" s="1"/>
      <c r="B53" s="1" t="s">
        <v>1661</v>
      </c>
      <c r="C53" s="1"/>
      <c r="D53" s="1"/>
      <c r="E53" s="1"/>
      <c r="F53" s="1"/>
      <c r="G53" s="13">
        <v>50000.0</v>
      </c>
    </row>
    <row r="54" ht="15.75" customHeight="1">
      <c r="A54" s="1"/>
      <c r="B54" s="43" t="s">
        <v>43</v>
      </c>
      <c r="C54" s="1"/>
      <c r="D54" s="1"/>
      <c r="E54" s="1"/>
      <c r="F54" s="1"/>
      <c r="G54" s="18">
        <f>SUM(G23:G53)</f>
        <v>1652113</v>
      </c>
    </row>
    <row r="55" ht="15.75" customHeight="1">
      <c r="A55" s="1"/>
      <c r="B55" s="19" t="s">
        <v>45</v>
      </c>
      <c r="C55" s="20"/>
      <c r="D55" s="20"/>
      <c r="E55" s="20"/>
      <c r="F55" s="20"/>
      <c r="G55" s="70">
        <f>SUM(G21+G54)</f>
        <v>2496513</v>
      </c>
    </row>
    <row r="56" ht="15.75" customHeight="1">
      <c r="A56" s="1"/>
      <c r="B56" s="4" t="s">
        <v>46</v>
      </c>
      <c r="C56" s="1"/>
      <c r="D56" s="1"/>
      <c r="E56" s="1"/>
      <c r="F56" s="1"/>
      <c r="G56" s="2"/>
    </row>
    <row r="57" ht="15.75" customHeight="1">
      <c r="A57" s="35" t="s">
        <v>1662</v>
      </c>
      <c r="B57" s="36"/>
      <c r="C57" s="37"/>
      <c r="D57" s="37"/>
      <c r="E57" s="37"/>
      <c r="F57" s="37"/>
      <c r="G57" s="71">
        <f>(G11-G55)</f>
        <v>836687</v>
      </c>
    </row>
    <row r="58" ht="15.75" customHeight="1">
      <c r="A58" s="22" t="s">
        <v>254</v>
      </c>
      <c r="B58" s="43" t="s">
        <v>255</v>
      </c>
      <c r="C58" s="1"/>
      <c r="D58" s="1"/>
      <c r="E58" s="1"/>
      <c r="F58" s="1"/>
      <c r="G58" s="2"/>
    </row>
    <row r="59" ht="15.75" customHeight="1">
      <c r="A59" s="44"/>
      <c r="B59" s="1"/>
      <c r="C59" s="1"/>
      <c r="D59" s="1"/>
      <c r="E59" s="1"/>
      <c r="F59" s="1"/>
      <c r="G59" s="13"/>
    </row>
    <row r="60" ht="15.75" customHeight="1">
      <c r="A60" s="44"/>
      <c r="B60" s="72" t="s">
        <v>51</v>
      </c>
      <c r="C60" s="27"/>
      <c r="D60" s="27"/>
      <c r="E60" s="27"/>
      <c r="F60" s="27"/>
      <c r="G60" s="73">
        <f>SUM(G59)</f>
        <v>0</v>
      </c>
    </row>
    <row r="61" ht="15.75" customHeight="1">
      <c r="A61" s="44"/>
      <c r="B61" s="44"/>
      <c r="C61" s="45" t="s">
        <v>1663</v>
      </c>
      <c r="D61" s="46"/>
      <c r="E61" s="46"/>
      <c r="F61" s="46"/>
      <c r="G61" s="47">
        <f>G2+G57-G60</f>
        <v>9551627</v>
      </c>
    </row>
    <row r="62" ht="15.75" customHeight="1">
      <c r="A62" s="1"/>
      <c r="B62" s="32" t="s">
        <v>1664</v>
      </c>
    </row>
    <row r="63" ht="15.75" customHeight="1">
      <c r="A63" s="1"/>
      <c r="B63" s="1"/>
      <c r="C63" s="1" t="s">
        <v>1076</v>
      </c>
      <c r="D63" s="1"/>
      <c r="E63" s="1"/>
      <c r="F63" s="1"/>
      <c r="G63" s="2">
        <v>8000.0</v>
      </c>
    </row>
    <row r="64" ht="15.75" customHeight="1">
      <c r="A64" s="1"/>
      <c r="B64" s="1"/>
      <c r="C64" s="1" t="s">
        <v>1665</v>
      </c>
      <c r="D64" s="1"/>
      <c r="E64" s="1"/>
      <c r="F64" s="1"/>
      <c r="G64" s="2">
        <v>233100.0</v>
      </c>
    </row>
    <row r="65" ht="15.75" customHeight="1">
      <c r="A65" s="1"/>
      <c r="B65" s="1"/>
      <c r="C65" s="43" t="s">
        <v>115</v>
      </c>
      <c r="D65" s="1"/>
      <c r="E65" s="1"/>
      <c r="F65" s="1"/>
      <c r="G65" s="2">
        <v>241100.0</v>
      </c>
    </row>
    <row r="66" ht="15.75" customHeight="1">
      <c r="A66" s="1"/>
      <c r="B66" s="1"/>
      <c r="C66" s="43"/>
      <c r="D66" s="1"/>
      <c r="E66" s="1"/>
      <c r="F66" s="1"/>
      <c r="G66" s="2"/>
    </row>
    <row r="67" ht="15.75" customHeight="1">
      <c r="A67" s="1"/>
      <c r="B67" s="43" t="s">
        <v>1523</v>
      </c>
      <c r="C67" s="43"/>
      <c r="D67" s="1"/>
      <c r="E67" s="1"/>
      <c r="F67" s="1"/>
      <c r="G67" s="2"/>
    </row>
    <row r="68" ht="15.75" customHeight="1">
      <c r="A68" s="1"/>
      <c r="B68" s="43" t="s">
        <v>1666</v>
      </c>
      <c r="C68" s="43"/>
      <c r="D68" s="1"/>
      <c r="E68" s="1"/>
      <c r="F68" s="1"/>
      <c r="G68" s="1"/>
    </row>
    <row r="69" ht="15.75" customHeight="1">
      <c r="A69" s="1"/>
      <c r="B69" s="1"/>
      <c r="C69" s="43"/>
      <c r="D69" s="1"/>
      <c r="E69" s="1"/>
      <c r="F69" s="1"/>
      <c r="G69" s="1"/>
    </row>
    <row r="70" ht="15.75" customHeight="1">
      <c r="A70" s="1"/>
      <c r="B70" s="33" t="s">
        <v>1667</v>
      </c>
      <c r="C70" s="1"/>
      <c r="D70" s="1"/>
      <c r="E70" s="1"/>
      <c r="F70" s="1"/>
      <c r="G70" s="2"/>
      <c r="J70" s="67" t="s">
        <v>480</v>
      </c>
    </row>
    <row r="71" ht="15.75" customHeight="1">
      <c r="A71" s="1"/>
      <c r="B71" s="33"/>
      <c r="C71" s="1"/>
      <c r="D71" s="1"/>
      <c r="E71" s="1"/>
      <c r="F71" s="1"/>
      <c r="G71" s="2"/>
    </row>
    <row r="72" ht="15.75" customHeight="1">
      <c r="A72" s="1"/>
      <c r="B72" s="55" t="s">
        <v>531</v>
      </c>
      <c r="C72" s="56"/>
      <c r="D72" s="56"/>
      <c r="E72" s="56"/>
      <c r="F72" s="1"/>
      <c r="G72" s="2"/>
    </row>
    <row r="73" ht="15.75" customHeight="1">
      <c r="A73" s="1"/>
      <c r="B73" s="55"/>
      <c r="C73" s="56"/>
      <c r="D73" s="56"/>
      <c r="E73" s="56"/>
      <c r="F73" s="1"/>
      <c r="G73" s="2"/>
    </row>
    <row r="74" ht="15.75" customHeight="1">
      <c r="A74" s="1"/>
      <c r="B74" s="55" t="s">
        <v>1668</v>
      </c>
      <c r="C74" s="56"/>
      <c r="D74" s="56"/>
      <c r="E74" s="56"/>
      <c r="F74" s="1"/>
      <c r="G74" s="2"/>
    </row>
    <row r="75" ht="15.75" customHeight="1">
      <c r="A75" s="1"/>
      <c r="B75" s="55"/>
      <c r="C75" s="56"/>
      <c r="D75" s="56"/>
      <c r="E75" s="56"/>
      <c r="F75" s="1"/>
      <c r="G75" s="2"/>
    </row>
    <row r="76" ht="15.75" customHeight="1">
      <c r="A76" s="1"/>
      <c r="B76" s="55" t="s">
        <v>533</v>
      </c>
      <c r="F76" s="1"/>
      <c r="G76" s="2"/>
    </row>
    <row r="77" ht="15.75" customHeight="1">
      <c r="A77" s="1"/>
      <c r="B77" s="55"/>
      <c r="C77" s="55"/>
      <c r="D77" s="55"/>
      <c r="E77" s="55"/>
      <c r="F77" s="1"/>
      <c r="G77" s="2"/>
    </row>
    <row r="78" ht="15.75" customHeight="1">
      <c r="A78" s="1"/>
      <c r="B78" s="55" t="s">
        <v>1669</v>
      </c>
      <c r="C78" s="56"/>
      <c r="D78" s="57"/>
      <c r="E78" s="56"/>
      <c r="F78" s="1"/>
      <c r="G78" s="2"/>
    </row>
    <row r="79" ht="15.75" customHeight="1">
      <c r="A79" s="1"/>
      <c r="B79" s="55"/>
      <c r="C79" s="56"/>
      <c r="D79" s="57"/>
      <c r="E79" s="56"/>
      <c r="F79" s="1"/>
      <c r="G79" s="2"/>
    </row>
    <row r="80" ht="15.75" customHeight="1">
      <c r="A80" s="1"/>
      <c r="B80" s="55" t="s">
        <v>535</v>
      </c>
      <c r="C80" s="56"/>
      <c r="D80" s="57"/>
      <c r="E80" s="56"/>
      <c r="F80" s="1"/>
      <c r="G80" s="2"/>
    </row>
    <row r="81" ht="15.75" customHeight="1">
      <c r="A81" s="1"/>
      <c r="B81" s="55"/>
      <c r="C81" s="56"/>
      <c r="D81" s="57"/>
      <c r="E81" s="56"/>
      <c r="F81" s="1"/>
      <c r="G81" s="2"/>
    </row>
    <row r="82" ht="15.75" customHeight="1">
      <c r="B82" s="55" t="s">
        <v>536</v>
      </c>
      <c r="C82" s="56"/>
      <c r="D82" s="57"/>
      <c r="E82" s="57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62:G62"/>
    <mergeCell ref="B76:E76"/>
  </mergeCells>
  <printOptions/>
  <pageMargins bottom="0.75" footer="0.0" header="0.0" left="0.7" right="0.7" top="0.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58" t="s">
        <v>1585</v>
      </c>
      <c r="B1" s="58" t="s">
        <v>622</v>
      </c>
      <c r="C1" s="58" t="s">
        <v>623</v>
      </c>
      <c r="D1" s="58" t="s">
        <v>624</v>
      </c>
      <c r="E1" s="58" t="s">
        <v>625</v>
      </c>
      <c r="F1" s="58" t="s">
        <v>626</v>
      </c>
      <c r="G1" s="58" t="s">
        <v>627</v>
      </c>
      <c r="H1" s="58" t="s">
        <v>628</v>
      </c>
      <c r="I1" s="58" t="s">
        <v>629</v>
      </c>
    </row>
    <row r="2">
      <c r="A2" s="59">
        <v>44197.0</v>
      </c>
      <c r="B2" s="2">
        <v>1.7088768E7</v>
      </c>
      <c r="C2" s="60">
        <v>2361525.0</v>
      </c>
      <c r="D2" s="60">
        <v>1104000.0</v>
      </c>
      <c r="E2" s="60">
        <v>548000.0</v>
      </c>
      <c r="F2" s="60">
        <v>1421951.0</v>
      </c>
      <c r="G2" s="60">
        <v>0.0</v>
      </c>
      <c r="H2" s="60">
        <v>1495574.0</v>
      </c>
      <c r="I2" s="60">
        <f t="shared" ref="I2:I3" si="1">(B2+H2-G2)</f>
        <v>18584342</v>
      </c>
    </row>
    <row r="3">
      <c r="A3" s="59">
        <v>44228.0</v>
      </c>
      <c r="B3" s="2">
        <v>1.8584342E7</v>
      </c>
      <c r="C3" s="60">
        <v>2407800.0</v>
      </c>
      <c r="D3" s="60">
        <v>913000.0</v>
      </c>
      <c r="E3" s="60">
        <v>566000.0</v>
      </c>
      <c r="F3" s="60">
        <v>2582041.0</v>
      </c>
      <c r="G3" s="2">
        <v>65000.0</v>
      </c>
      <c r="H3" s="60">
        <v>172759.0</v>
      </c>
      <c r="I3" s="60">
        <f t="shared" si="1"/>
        <v>18692101</v>
      </c>
    </row>
    <row r="4">
      <c r="A4" s="59">
        <v>44256.0</v>
      </c>
      <c r="B4" s="2">
        <v>1.8692101E7</v>
      </c>
      <c r="C4" s="60">
        <v>2413300.0</v>
      </c>
      <c r="D4" s="60">
        <v>697000.0</v>
      </c>
      <c r="E4" s="60">
        <v>542000.0</v>
      </c>
      <c r="F4" s="60">
        <v>2042895.0</v>
      </c>
      <c r="G4" s="60">
        <v>0.0</v>
      </c>
      <c r="H4" s="60">
        <v>525405.0</v>
      </c>
      <c r="I4" s="60">
        <v>1.9231506E7</v>
      </c>
    </row>
    <row r="5">
      <c r="A5" s="59">
        <v>44287.0</v>
      </c>
      <c r="B5" s="60">
        <f t="shared" ref="B5:B13" si="2">(I4)</f>
        <v>19231506</v>
      </c>
      <c r="C5" s="60">
        <v>2684500.0</v>
      </c>
      <c r="D5" s="60">
        <v>1055000.0</v>
      </c>
      <c r="E5" s="60">
        <v>627200.0</v>
      </c>
      <c r="F5" s="60">
        <v>1758892.0</v>
      </c>
      <c r="G5" s="60">
        <v>0.0</v>
      </c>
      <c r="H5" s="60">
        <v>1353408.0</v>
      </c>
      <c r="I5" s="60">
        <f t="shared" ref="I5:I7" si="3">(B5+H5-G5)</f>
        <v>20584914</v>
      </c>
    </row>
    <row r="6">
      <c r="A6" s="59">
        <v>44317.0</v>
      </c>
      <c r="B6" s="60">
        <f t="shared" si="2"/>
        <v>20584914</v>
      </c>
      <c r="C6" s="62">
        <v>253600.0</v>
      </c>
      <c r="D6" s="7">
        <v>61000.0</v>
      </c>
      <c r="E6" s="60">
        <v>623600.0</v>
      </c>
      <c r="F6" s="60">
        <v>2814919.0</v>
      </c>
      <c r="G6" s="60">
        <v>2000000.0</v>
      </c>
      <c r="H6" s="60">
        <v>-433519.0</v>
      </c>
      <c r="I6" s="60">
        <f t="shared" si="3"/>
        <v>18151395</v>
      </c>
    </row>
    <row r="7">
      <c r="A7" s="59">
        <v>44348.0</v>
      </c>
      <c r="B7" s="60">
        <f t="shared" si="2"/>
        <v>18151395</v>
      </c>
      <c r="C7" s="2">
        <v>2310300.0</v>
      </c>
      <c r="D7" s="60">
        <v>918000.0</v>
      </c>
      <c r="E7" s="60">
        <v>587100.0</v>
      </c>
      <c r="F7" s="60">
        <v>2496766.0</v>
      </c>
      <c r="G7" s="60">
        <v>2150000.0</v>
      </c>
      <c r="H7" s="60">
        <v>144434.0</v>
      </c>
      <c r="I7" s="60">
        <f t="shared" si="3"/>
        <v>16145829</v>
      </c>
    </row>
    <row r="8">
      <c r="A8" s="59">
        <v>44378.0</v>
      </c>
      <c r="B8" s="60">
        <f t="shared" si="2"/>
        <v>16145829</v>
      </c>
      <c r="C8" s="60">
        <v>2210700.0</v>
      </c>
      <c r="D8" s="60">
        <v>674000.0</v>
      </c>
      <c r="E8" s="60">
        <v>626400.0</v>
      </c>
      <c r="F8" s="60">
        <v>1571839.0</v>
      </c>
      <c r="G8" s="60">
        <v>5780300.0</v>
      </c>
      <c r="H8" s="60">
        <v>686461.0</v>
      </c>
      <c r="I8" s="60">
        <v>1.105199E7</v>
      </c>
    </row>
    <row r="9">
      <c r="A9" s="59">
        <v>44409.0</v>
      </c>
      <c r="B9" s="60">
        <f t="shared" si="2"/>
        <v>11051990</v>
      </c>
      <c r="C9" s="60">
        <v>2009000.0</v>
      </c>
      <c r="D9" s="60">
        <v>1013000.0</v>
      </c>
      <c r="E9" s="60">
        <v>626400.0</v>
      </c>
      <c r="F9" s="60">
        <v>2138184.0</v>
      </c>
      <c r="G9" s="60">
        <v>800000.0</v>
      </c>
      <c r="H9" s="60">
        <v>257416.0</v>
      </c>
      <c r="I9" s="60">
        <v>1.0509406E7</v>
      </c>
    </row>
    <row r="10">
      <c r="A10" s="59">
        <v>44440.0</v>
      </c>
      <c r="B10" s="60">
        <f t="shared" si="2"/>
        <v>10509406</v>
      </c>
      <c r="C10" s="60">
        <v>2236500.0</v>
      </c>
      <c r="D10" s="60">
        <v>1116000.0</v>
      </c>
      <c r="E10" s="60">
        <v>655500.0</v>
      </c>
      <c r="F10" s="60">
        <v>990299.0</v>
      </c>
      <c r="G10" s="60">
        <v>0.0</v>
      </c>
      <c r="H10" s="60">
        <v>1706701.0</v>
      </c>
      <c r="I10" s="60">
        <f t="shared" ref="I10:I12" si="4">(B10+H10-G10)</f>
        <v>12216107</v>
      </c>
    </row>
    <row r="11">
      <c r="A11" s="59">
        <v>44470.0</v>
      </c>
      <c r="B11" s="60">
        <f t="shared" si="2"/>
        <v>12216107</v>
      </c>
      <c r="C11" s="60">
        <v>2359600.0</v>
      </c>
      <c r="D11" s="60">
        <v>857000.0</v>
      </c>
      <c r="E11" s="60">
        <v>636000.0</v>
      </c>
      <c r="F11" s="60">
        <v>1636070.0</v>
      </c>
      <c r="G11" s="60">
        <v>4915205.0</v>
      </c>
      <c r="H11" s="60">
        <v>944530.0</v>
      </c>
      <c r="I11" s="60">
        <f t="shared" si="4"/>
        <v>8245432</v>
      </c>
    </row>
    <row r="12">
      <c r="A12" s="59">
        <v>44501.0</v>
      </c>
      <c r="B12" s="60">
        <f t="shared" si="2"/>
        <v>8245432</v>
      </c>
      <c r="C12" s="60">
        <v>2671900.0</v>
      </c>
      <c r="D12" s="60">
        <v>938000.0</v>
      </c>
      <c r="E12" s="60">
        <v>847700.0</v>
      </c>
      <c r="F12" s="60">
        <v>2292692.0</v>
      </c>
      <c r="G12" s="60">
        <v>0.0</v>
      </c>
      <c r="H12" s="60">
        <v>469508.0</v>
      </c>
      <c r="I12" s="60">
        <f t="shared" si="4"/>
        <v>8714940</v>
      </c>
    </row>
    <row r="13">
      <c r="A13" s="59">
        <v>44531.0</v>
      </c>
      <c r="B13" s="60">
        <f t="shared" si="2"/>
        <v>8714940</v>
      </c>
      <c r="C13" s="60">
        <v>2619200.0</v>
      </c>
      <c r="D13" s="60">
        <v>714000.0</v>
      </c>
      <c r="E13" s="60">
        <v>844400.0</v>
      </c>
      <c r="F13" s="60">
        <v>1652113.0</v>
      </c>
      <c r="G13" s="60">
        <v>0.0</v>
      </c>
      <c r="H13" s="60">
        <v>836687.0</v>
      </c>
      <c r="I13" s="60">
        <v>9551627.0</v>
      </c>
    </row>
    <row r="15">
      <c r="O15" s="67" t="s">
        <v>1585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1">
      <c r="A1" s="1" t="s">
        <v>721</v>
      </c>
      <c r="B1" s="3" t="s">
        <v>1670</v>
      </c>
      <c r="C1" s="1"/>
      <c r="D1" s="1"/>
      <c r="E1" s="1"/>
      <c r="F1" s="1"/>
      <c r="G1" s="2"/>
    </row>
    <row r="2">
      <c r="A2" s="1"/>
      <c r="B2" s="63" t="s">
        <v>1671</v>
      </c>
      <c r="G2" s="47">
        <v>9551627.0</v>
      </c>
    </row>
    <row r="3">
      <c r="A3" s="1"/>
      <c r="G3" s="2"/>
    </row>
    <row r="4">
      <c r="A4" s="6" t="s">
        <v>1672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635500.0</v>
      </c>
      <c r="G5" s="7">
        <v>160000.0</v>
      </c>
    </row>
    <row r="6">
      <c r="A6" s="1"/>
      <c r="B6" s="4" t="s">
        <v>64</v>
      </c>
      <c r="C6" s="1"/>
      <c r="D6" s="1"/>
      <c r="E6" s="1"/>
      <c r="F6" s="2">
        <v>517800.0</v>
      </c>
      <c r="G6" s="7">
        <v>140000.0</v>
      </c>
    </row>
    <row r="7">
      <c r="A7" s="1"/>
      <c r="B7" s="4" t="s">
        <v>65</v>
      </c>
      <c r="C7" s="1"/>
      <c r="D7" s="1"/>
      <c r="E7" s="1"/>
      <c r="F7" s="2">
        <v>363000.0</v>
      </c>
      <c r="G7" s="7">
        <v>143000.0</v>
      </c>
    </row>
    <row r="8">
      <c r="A8" s="1"/>
      <c r="B8" s="4" t="s">
        <v>66</v>
      </c>
      <c r="C8" s="1"/>
      <c r="D8" s="1"/>
      <c r="E8" s="1"/>
      <c r="F8" s="2">
        <v>566100.0</v>
      </c>
      <c r="G8" s="8">
        <v>96000.0</v>
      </c>
    </row>
    <row r="9">
      <c r="A9" s="1"/>
      <c r="B9" s="4" t="s">
        <v>67</v>
      </c>
      <c r="C9" s="1"/>
      <c r="D9" s="49" t="s">
        <v>8</v>
      </c>
      <c r="E9" s="49"/>
      <c r="F9" s="62">
        <v>131200.0</v>
      </c>
      <c r="G9" s="7">
        <v>74000.0</v>
      </c>
    </row>
    <row r="10">
      <c r="A10" s="1"/>
      <c r="B10" s="4"/>
      <c r="C10" s="50" t="s">
        <v>405</v>
      </c>
      <c r="E10" s="4"/>
      <c r="F10" s="2">
        <f t="shared" ref="F10:G10" si="1">SUM(F5:F9)</f>
        <v>2213600</v>
      </c>
      <c r="G10" s="7">
        <f t="shared" si="1"/>
        <v>613000</v>
      </c>
    </row>
    <row r="11">
      <c r="A11" s="1"/>
      <c r="B11" s="51" t="s">
        <v>9</v>
      </c>
      <c r="C11" s="52"/>
      <c r="D11" s="52"/>
      <c r="E11" s="52"/>
      <c r="F11" s="53"/>
      <c r="G11" s="68">
        <f>SUM(F10:G10)</f>
        <v>2826600</v>
      </c>
    </row>
    <row r="12">
      <c r="A12" s="6" t="s">
        <v>1673</v>
      </c>
      <c r="B12" s="1"/>
      <c r="C12" s="1"/>
      <c r="D12" s="1"/>
      <c r="E12" s="1"/>
      <c r="F12" s="1"/>
      <c r="G12" s="2"/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1674</v>
      </c>
      <c r="C14" s="1"/>
      <c r="D14" s="1"/>
      <c r="E14" s="1"/>
      <c r="F14" s="1"/>
      <c r="G14" s="2">
        <v>226800.0</v>
      </c>
    </row>
    <row r="15">
      <c r="A15" s="1"/>
      <c r="B15" s="4" t="s">
        <v>1594</v>
      </c>
      <c r="C15" s="1"/>
      <c r="D15" s="1"/>
      <c r="E15" s="1"/>
      <c r="F15" s="1"/>
      <c r="G15" s="2">
        <v>100000.0</v>
      </c>
    </row>
    <row r="16">
      <c r="A16" s="1"/>
      <c r="B16" s="4" t="s">
        <v>13</v>
      </c>
      <c r="C16" s="1"/>
      <c r="D16" s="1"/>
      <c r="E16" s="1"/>
      <c r="F16" s="1"/>
      <c r="G16" s="13">
        <v>125000.0</v>
      </c>
    </row>
    <row r="17">
      <c r="A17" s="1"/>
      <c r="B17" s="4" t="s">
        <v>14</v>
      </c>
      <c r="C17" s="1"/>
      <c r="D17" s="1"/>
      <c r="E17" s="1"/>
      <c r="F17" s="1"/>
      <c r="G17" s="13">
        <v>125000.0</v>
      </c>
    </row>
    <row r="18">
      <c r="A18" s="1"/>
      <c r="B18" s="4" t="s">
        <v>15</v>
      </c>
      <c r="C18" s="1"/>
      <c r="D18" s="1"/>
      <c r="E18" s="1"/>
      <c r="F18" s="1"/>
      <c r="G18" s="2">
        <v>100000.0</v>
      </c>
    </row>
    <row r="19">
      <c r="A19" s="1"/>
      <c r="B19" s="4" t="s">
        <v>16</v>
      </c>
      <c r="C19" s="1"/>
      <c r="D19" s="1"/>
      <c r="E19" s="1"/>
      <c r="F19" s="1"/>
      <c r="G19" s="2">
        <v>80000.0</v>
      </c>
    </row>
    <row r="20">
      <c r="A20" s="1"/>
      <c r="B20" s="4" t="s">
        <v>17</v>
      </c>
      <c r="C20" s="1"/>
      <c r="D20" s="1"/>
      <c r="E20" s="1"/>
      <c r="F20" s="1"/>
      <c r="G20" s="2">
        <v>125000.0</v>
      </c>
    </row>
    <row r="21" ht="15.75" customHeight="1">
      <c r="A21" s="1"/>
      <c r="B21" s="9" t="s">
        <v>18</v>
      </c>
      <c r="C21" s="10"/>
      <c r="D21" s="10"/>
      <c r="E21" s="10"/>
      <c r="F21" s="10"/>
      <c r="G21" s="69">
        <f>SUM(G14:G20)</f>
        <v>881800</v>
      </c>
    </row>
    <row r="22" ht="15.75" customHeight="1">
      <c r="A22" s="1"/>
      <c r="B22" s="12" t="s">
        <v>19</v>
      </c>
      <c r="C22" s="15"/>
      <c r="D22" s="1"/>
      <c r="E22" s="1"/>
      <c r="F22" s="1"/>
      <c r="G22" s="2"/>
    </row>
    <row r="23" ht="15.75" customHeight="1">
      <c r="A23" s="1"/>
      <c r="B23" s="4" t="s">
        <v>1675</v>
      </c>
      <c r="C23" s="15"/>
      <c r="D23" s="1"/>
      <c r="E23" s="1"/>
      <c r="F23" s="1"/>
      <c r="G23" s="2">
        <v>20000.0</v>
      </c>
    </row>
    <row r="24" ht="15.75" customHeight="1">
      <c r="A24" s="1"/>
      <c r="B24" s="4" t="s">
        <v>1676</v>
      </c>
      <c r="C24" s="15"/>
      <c r="D24" s="1"/>
      <c r="E24" s="1"/>
      <c r="F24" s="1"/>
      <c r="G24" s="2">
        <v>60000.0</v>
      </c>
    </row>
    <row r="25" ht="15.75" customHeight="1">
      <c r="A25" s="1"/>
      <c r="B25" s="4" t="s">
        <v>1677</v>
      </c>
      <c r="C25" s="15"/>
      <c r="D25" s="1"/>
      <c r="E25" s="1"/>
      <c r="F25" s="1"/>
      <c r="G25" s="2">
        <v>72000.0</v>
      </c>
    </row>
    <row r="26" ht="15.75" customHeight="1">
      <c r="A26" s="1"/>
      <c r="B26" s="4" t="s">
        <v>1678</v>
      </c>
      <c r="C26" s="15"/>
      <c r="D26" s="1"/>
      <c r="E26" s="1"/>
      <c r="F26" s="1"/>
      <c r="G26" s="2">
        <v>3750.0</v>
      </c>
    </row>
    <row r="27" ht="15.75" customHeight="1">
      <c r="A27" s="1"/>
      <c r="B27" s="4" t="s">
        <v>1679</v>
      </c>
      <c r="C27" s="15"/>
      <c r="D27" s="1"/>
      <c r="E27" s="1"/>
      <c r="F27" s="1"/>
      <c r="G27" s="2">
        <v>30000.0</v>
      </c>
    </row>
    <row r="28" ht="15.75" customHeight="1">
      <c r="A28" s="1"/>
      <c r="B28" s="4" t="s">
        <v>1680</v>
      </c>
      <c r="C28" s="15"/>
      <c r="D28" s="1"/>
      <c r="E28" s="1"/>
      <c r="F28" s="1"/>
      <c r="G28" s="2">
        <v>4000.0</v>
      </c>
    </row>
    <row r="29" ht="15.75" customHeight="1">
      <c r="A29" s="1"/>
      <c r="B29" s="4" t="s">
        <v>1681</v>
      </c>
      <c r="C29" s="15"/>
      <c r="D29" s="1"/>
      <c r="E29" s="1"/>
      <c r="F29" s="1"/>
      <c r="G29" s="2">
        <v>55000.0</v>
      </c>
    </row>
    <row r="30" ht="15.75" customHeight="1">
      <c r="A30" s="1"/>
      <c r="B30" s="4" t="s">
        <v>1682</v>
      </c>
      <c r="C30" s="15"/>
      <c r="D30" s="1"/>
      <c r="E30" s="1"/>
      <c r="F30" s="1"/>
      <c r="G30" s="2">
        <v>87500.0</v>
      </c>
    </row>
    <row r="31" ht="15.75" customHeight="1">
      <c r="A31" s="1"/>
      <c r="B31" s="4" t="s">
        <v>1683</v>
      </c>
      <c r="C31" s="15"/>
      <c r="D31" s="1"/>
      <c r="E31" s="1"/>
      <c r="F31" s="1"/>
      <c r="G31" s="2">
        <v>20000.0</v>
      </c>
    </row>
    <row r="32" ht="15.75" customHeight="1">
      <c r="A32" s="1"/>
      <c r="B32" s="4" t="s">
        <v>1422</v>
      </c>
      <c r="C32" s="15"/>
      <c r="D32" s="1"/>
      <c r="E32" s="1"/>
      <c r="F32" s="1"/>
      <c r="G32" s="2">
        <v>10000.0</v>
      </c>
    </row>
    <row r="33" ht="15.75" customHeight="1">
      <c r="A33" s="1"/>
      <c r="B33" s="4" t="s">
        <v>1684</v>
      </c>
      <c r="C33" s="15"/>
      <c r="D33" s="1"/>
      <c r="E33" s="1"/>
      <c r="F33" s="1"/>
      <c r="G33" s="2">
        <v>20000.0</v>
      </c>
    </row>
    <row r="34" ht="15.75" customHeight="1">
      <c r="A34" s="1"/>
      <c r="B34" s="4" t="s">
        <v>1685</v>
      </c>
      <c r="C34" s="15"/>
      <c r="D34" s="1"/>
      <c r="E34" s="1"/>
      <c r="F34" s="1"/>
      <c r="G34" s="2">
        <v>100000.0</v>
      </c>
    </row>
    <row r="35" ht="15.75" customHeight="1">
      <c r="A35" s="1"/>
      <c r="B35" s="4" t="s">
        <v>1686</v>
      </c>
      <c r="C35" s="15"/>
      <c r="D35" s="1"/>
      <c r="E35" s="1"/>
      <c r="F35" s="1"/>
      <c r="G35" s="2">
        <v>5000.0</v>
      </c>
    </row>
    <row r="36" ht="15.75" customHeight="1">
      <c r="A36" s="1"/>
      <c r="B36" s="4" t="s">
        <v>652</v>
      </c>
      <c r="C36" s="15"/>
      <c r="D36" s="1"/>
      <c r="E36" s="1"/>
      <c r="F36" s="1"/>
      <c r="G36" s="2">
        <v>8000.0</v>
      </c>
    </row>
    <row r="37" ht="15.75" customHeight="1">
      <c r="A37" s="1"/>
      <c r="B37" s="4" t="s">
        <v>1687</v>
      </c>
      <c r="C37" s="15"/>
      <c r="D37" s="1"/>
      <c r="E37" s="1"/>
      <c r="F37" s="1"/>
      <c r="G37" s="2">
        <v>306600.0</v>
      </c>
    </row>
    <row r="38" ht="15.75" customHeight="1">
      <c r="A38" s="1"/>
      <c r="B38" s="4" t="s">
        <v>1688</v>
      </c>
      <c r="C38" s="15"/>
      <c r="D38" s="1"/>
      <c r="E38" s="1"/>
      <c r="F38" s="1"/>
      <c r="G38" s="2">
        <v>152220.0</v>
      </c>
    </row>
    <row r="39" ht="15.75" customHeight="1">
      <c r="A39" s="1"/>
      <c r="B39" s="4" t="s">
        <v>1689</v>
      </c>
      <c r="C39" s="15"/>
      <c r="D39" s="1"/>
      <c r="E39" s="1"/>
      <c r="F39" s="1"/>
      <c r="G39" s="2">
        <v>1500.0</v>
      </c>
    </row>
    <row r="40" ht="15.75" customHeight="1">
      <c r="A40" s="1"/>
      <c r="B40" s="4" t="s">
        <v>1690</v>
      </c>
      <c r="C40" s="15"/>
      <c r="D40" s="1"/>
      <c r="E40" s="1"/>
      <c r="F40" s="1"/>
      <c r="G40" s="2">
        <v>10000.0</v>
      </c>
    </row>
    <row r="41" ht="15.75" customHeight="1">
      <c r="A41" s="1"/>
      <c r="B41" s="4" t="s">
        <v>1691</v>
      </c>
      <c r="C41" s="15"/>
      <c r="D41" s="1"/>
      <c r="E41" s="1"/>
      <c r="F41" s="1"/>
      <c r="G41" s="2">
        <v>65000.0</v>
      </c>
    </row>
    <row r="42" ht="15.75" customHeight="1">
      <c r="A42" s="1"/>
      <c r="B42" s="1" t="s">
        <v>1692</v>
      </c>
      <c r="C42" s="1"/>
      <c r="D42" s="1"/>
      <c r="E42" s="1"/>
      <c r="F42" s="1"/>
      <c r="G42" s="13">
        <v>2500.0</v>
      </c>
    </row>
    <row r="43" ht="15.75" customHeight="1">
      <c r="A43" s="1"/>
      <c r="B43" s="1" t="s">
        <v>1693</v>
      </c>
      <c r="C43" s="1"/>
      <c r="D43" s="1"/>
      <c r="E43" s="1"/>
      <c r="F43" s="1"/>
      <c r="G43" s="13">
        <v>5000.0</v>
      </c>
    </row>
    <row r="44" ht="15.75" customHeight="1">
      <c r="A44" s="1"/>
      <c r="B44" s="1" t="s">
        <v>1092</v>
      </c>
      <c r="C44" s="1"/>
      <c r="D44" s="1"/>
      <c r="E44" s="1"/>
      <c r="F44" s="1"/>
      <c r="G44" s="13">
        <v>5000.0</v>
      </c>
    </row>
    <row r="45" ht="15.75" customHeight="1">
      <c r="A45" s="1"/>
      <c r="B45" s="1" t="s">
        <v>1694</v>
      </c>
      <c r="C45" s="1"/>
      <c r="D45" s="1"/>
      <c r="E45" s="1"/>
      <c r="F45" s="1"/>
      <c r="G45" s="13">
        <v>3000.0</v>
      </c>
    </row>
    <row r="46" ht="15.75" customHeight="1">
      <c r="A46" s="1"/>
      <c r="B46" s="1" t="s">
        <v>1695</v>
      </c>
      <c r="C46" s="1"/>
      <c r="D46" s="1"/>
      <c r="E46" s="1"/>
      <c r="F46" s="1"/>
      <c r="G46" s="13">
        <v>261437.0</v>
      </c>
    </row>
    <row r="47" ht="15.75" customHeight="1">
      <c r="A47" s="1"/>
      <c r="B47" s="1" t="s">
        <v>1696</v>
      </c>
      <c r="C47" s="1"/>
      <c r="D47" s="1"/>
      <c r="E47" s="1"/>
      <c r="F47" s="1"/>
      <c r="G47" s="13">
        <v>2000.0</v>
      </c>
    </row>
    <row r="48" ht="15.75" customHeight="1">
      <c r="A48" s="1"/>
      <c r="B48" s="1" t="s">
        <v>1098</v>
      </c>
      <c r="C48" s="1"/>
      <c r="D48" s="1"/>
      <c r="E48" s="1"/>
      <c r="F48" s="1"/>
      <c r="G48" s="13">
        <v>1000.0</v>
      </c>
    </row>
    <row r="49" ht="15.75" customHeight="1">
      <c r="A49" s="1"/>
      <c r="B49" s="1" t="s">
        <v>1697</v>
      </c>
      <c r="C49" s="1"/>
      <c r="D49" s="1"/>
      <c r="E49" s="1"/>
      <c r="F49" s="1"/>
      <c r="G49" s="13">
        <v>40000.0</v>
      </c>
    </row>
    <row r="50" ht="15.75" customHeight="1">
      <c r="A50" s="1"/>
      <c r="B50" s="1" t="s">
        <v>652</v>
      </c>
      <c r="C50" s="1"/>
      <c r="D50" s="1"/>
      <c r="E50" s="1"/>
      <c r="F50" s="1"/>
      <c r="G50" s="13">
        <v>8000.0</v>
      </c>
    </row>
    <row r="51" ht="15.75" customHeight="1">
      <c r="A51" s="1"/>
      <c r="B51" s="1" t="s">
        <v>1698</v>
      </c>
      <c r="C51" s="1"/>
      <c r="D51" s="1"/>
      <c r="E51" s="1"/>
      <c r="F51" s="1"/>
      <c r="G51" s="13">
        <v>141325.0</v>
      </c>
    </row>
    <row r="52" ht="15.75" customHeight="1">
      <c r="A52" s="1"/>
      <c r="B52" s="1" t="s">
        <v>1699</v>
      </c>
      <c r="C52" s="1"/>
      <c r="D52" s="1"/>
      <c r="E52" s="1"/>
      <c r="F52" s="1"/>
      <c r="G52" s="13">
        <v>125000.0</v>
      </c>
    </row>
    <row r="53" ht="15.75" customHeight="1">
      <c r="A53" s="1"/>
      <c r="B53" s="1" t="s">
        <v>1700</v>
      </c>
      <c r="C53" s="1"/>
      <c r="D53" s="1"/>
      <c r="E53" s="1"/>
      <c r="F53" s="1"/>
      <c r="G53" s="13">
        <v>5000.0</v>
      </c>
    </row>
    <row r="54" ht="15.75" customHeight="1">
      <c r="A54" s="1"/>
      <c r="B54" s="1" t="s">
        <v>1701</v>
      </c>
      <c r="C54" s="1"/>
      <c r="D54" s="1"/>
      <c r="E54" s="1"/>
      <c r="F54" s="1"/>
      <c r="G54" s="13">
        <v>60000.0</v>
      </c>
    </row>
    <row r="55" ht="15.75" customHeight="1">
      <c r="A55" s="1"/>
      <c r="B55" s="43" t="s">
        <v>43</v>
      </c>
      <c r="C55" s="1"/>
      <c r="D55" s="1"/>
      <c r="E55" s="1"/>
      <c r="F55" s="1"/>
      <c r="G55" s="18">
        <f>SUM(G23:G54)</f>
        <v>1689832</v>
      </c>
    </row>
    <row r="56" ht="15.75" customHeight="1">
      <c r="A56" s="1"/>
      <c r="B56" s="19" t="s">
        <v>45</v>
      </c>
      <c r="C56" s="20"/>
      <c r="D56" s="20"/>
      <c r="E56" s="20"/>
      <c r="F56" s="20"/>
      <c r="G56" s="70">
        <f>SUM(G21+G55)</f>
        <v>2571632</v>
      </c>
    </row>
    <row r="57" ht="15.75" customHeight="1">
      <c r="A57" s="1"/>
      <c r="B57" s="4" t="s">
        <v>46</v>
      </c>
      <c r="C57" s="1"/>
      <c r="D57" s="1"/>
      <c r="E57" s="1"/>
      <c r="F57" s="1"/>
      <c r="G57" s="2"/>
    </row>
    <row r="58" ht="15.75" customHeight="1">
      <c r="A58" s="35" t="s">
        <v>1702</v>
      </c>
      <c r="B58" s="36"/>
      <c r="C58" s="37"/>
      <c r="D58" s="37"/>
      <c r="E58" s="37"/>
      <c r="F58" s="37"/>
      <c r="G58" s="71">
        <f>(G11-G56)</f>
        <v>254968</v>
      </c>
    </row>
    <row r="59" ht="15.75" customHeight="1">
      <c r="A59" s="22" t="s">
        <v>254</v>
      </c>
      <c r="B59" s="43" t="s">
        <v>255</v>
      </c>
      <c r="C59" s="1"/>
      <c r="D59" s="1"/>
      <c r="E59" s="1"/>
      <c r="F59" s="1"/>
      <c r="G59" s="2"/>
    </row>
    <row r="60" ht="15.75" customHeight="1">
      <c r="A60" s="44"/>
      <c r="B60" s="1"/>
      <c r="C60" s="1"/>
      <c r="D60" s="1"/>
      <c r="E60" s="1"/>
      <c r="F60" s="1"/>
      <c r="G60" s="13"/>
    </row>
    <row r="61" ht="15.75" customHeight="1">
      <c r="A61" s="44"/>
      <c r="B61" s="72" t="s">
        <v>51</v>
      </c>
      <c r="C61" s="27"/>
      <c r="D61" s="27"/>
      <c r="E61" s="27"/>
      <c r="F61" s="27"/>
      <c r="G61" s="73">
        <f>SUM(G60)</f>
        <v>0</v>
      </c>
    </row>
    <row r="62" ht="15.75" customHeight="1">
      <c r="A62" s="44"/>
      <c r="B62" s="44"/>
      <c r="C62" s="45" t="s">
        <v>1703</v>
      </c>
      <c r="D62" s="46"/>
      <c r="E62" s="46"/>
      <c r="F62" s="46"/>
      <c r="G62" s="47">
        <f>G2+G58-G61</f>
        <v>9806595</v>
      </c>
    </row>
    <row r="63" ht="15.75" customHeight="1">
      <c r="A63" s="1"/>
      <c r="B63" s="32" t="s">
        <v>1704</v>
      </c>
    </row>
    <row r="64" ht="15.75" customHeight="1">
      <c r="A64" s="1"/>
      <c r="B64" s="1"/>
      <c r="C64" s="1" t="s">
        <v>1076</v>
      </c>
      <c r="D64" s="1"/>
      <c r="E64" s="1"/>
      <c r="F64" s="1"/>
      <c r="G64" s="2">
        <v>13200.0</v>
      </c>
    </row>
    <row r="65" ht="15.75" customHeight="1">
      <c r="A65" s="1"/>
      <c r="B65" s="1"/>
      <c r="C65" s="1" t="s">
        <v>1665</v>
      </c>
      <c r="D65" s="1"/>
      <c r="E65" s="1"/>
      <c r="F65" s="1"/>
      <c r="G65" s="2">
        <v>215100.0</v>
      </c>
    </row>
    <row r="66" ht="15.75" customHeight="1">
      <c r="A66" s="1"/>
      <c r="B66" s="1"/>
      <c r="C66" s="43" t="s">
        <v>115</v>
      </c>
      <c r="D66" s="1"/>
      <c r="E66" s="1"/>
      <c r="F66" s="1"/>
      <c r="G66" s="2">
        <v>228300.0</v>
      </c>
    </row>
    <row r="67" ht="15.75" customHeight="1">
      <c r="A67" s="1"/>
      <c r="B67" s="1"/>
      <c r="C67" s="43"/>
      <c r="D67" s="1"/>
      <c r="E67" s="1"/>
      <c r="F67" s="1"/>
      <c r="G67" s="2"/>
    </row>
    <row r="68" ht="15.75" customHeight="1">
      <c r="A68" s="1"/>
      <c r="B68" s="43" t="s">
        <v>1523</v>
      </c>
      <c r="C68" s="43"/>
      <c r="D68" s="1"/>
      <c r="E68" s="1"/>
      <c r="F68" s="1"/>
      <c r="G68" s="2"/>
    </row>
    <row r="69" ht="15.75" customHeight="1">
      <c r="A69" s="1"/>
      <c r="B69" s="43" t="s">
        <v>1666</v>
      </c>
      <c r="C69" s="43"/>
      <c r="D69" s="1"/>
      <c r="E69" s="1"/>
      <c r="F69" s="1"/>
      <c r="G69" s="1"/>
    </row>
    <row r="70" ht="15.75" customHeight="1">
      <c r="A70" s="1"/>
      <c r="B70" s="1"/>
      <c r="C70" s="43"/>
      <c r="D70" s="1"/>
      <c r="E70" s="1"/>
      <c r="F70" s="1"/>
      <c r="G70" s="1"/>
    </row>
    <row r="71" ht="15.75" customHeight="1">
      <c r="A71" s="1"/>
      <c r="B71" s="33" t="s">
        <v>1705</v>
      </c>
      <c r="C71" s="1"/>
      <c r="D71" s="1"/>
      <c r="E71" s="1"/>
      <c r="F71" s="1"/>
      <c r="G71" s="2"/>
    </row>
    <row r="72" ht="15.75" customHeight="1">
      <c r="A72" s="1"/>
      <c r="B72" s="33"/>
      <c r="C72" s="1"/>
      <c r="D72" s="1"/>
      <c r="E72" s="1"/>
      <c r="F72" s="1"/>
      <c r="G72" s="2"/>
    </row>
    <row r="73" ht="15.75" customHeight="1">
      <c r="A73" s="1"/>
      <c r="B73" s="55" t="s">
        <v>531</v>
      </c>
      <c r="C73" s="56"/>
      <c r="D73" s="56"/>
      <c r="E73" s="56"/>
      <c r="F73" s="1"/>
      <c r="G73" s="2"/>
    </row>
    <row r="74" ht="15.75" customHeight="1">
      <c r="A74" s="1"/>
      <c r="B74" s="55"/>
      <c r="C74" s="56"/>
      <c r="D74" s="56"/>
      <c r="E74" s="56"/>
      <c r="F74" s="1"/>
      <c r="G74" s="2"/>
    </row>
    <row r="75" ht="15.75" customHeight="1">
      <c r="A75" s="1"/>
      <c r="B75" s="55" t="s">
        <v>1706</v>
      </c>
      <c r="C75" s="56"/>
      <c r="D75" s="56"/>
      <c r="E75" s="56"/>
      <c r="F75" s="1"/>
      <c r="G75" s="2"/>
    </row>
    <row r="76" ht="15.75" customHeight="1">
      <c r="A76" s="1"/>
      <c r="B76" s="55"/>
      <c r="C76" s="56"/>
      <c r="D76" s="56"/>
      <c r="E76" s="56"/>
      <c r="F76" s="1"/>
      <c r="G76" s="2"/>
    </row>
    <row r="77" ht="15.75" customHeight="1">
      <c r="A77" s="1"/>
      <c r="B77" s="55" t="s">
        <v>533</v>
      </c>
      <c r="F77" s="1"/>
      <c r="G77" s="2"/>
    </row>
    <row r="78" ht="15.75" customHeight="1">
      <c r="A78" s="1"/>
      <c r="B78" s="55"/>
      <c r="C78" s="55"/>
      <c r="D78" s="55"/>
      <c r="E78" s="55"/>
      <c r="F78" s="1"/>
      <c r="G78" s="2"/>
    </row>
    <row r="79" ht="15.75" customHeight="1">
      <c r="A79" s="1"/>
      <c r="B79" s="55" t="s">
        <v>1707</v>
      </c>
      <c r="C79" s="56"/>
      <c r="D79" s="57"/>
      <c r="E79" s="56"/>
      <c r="F79" s="1"/>
      <c r="G79" s="2"/>
    </row>
    <row r="80" ht="15.75" customHeight="1">
      <c r="A80" s="1"/>
      <c r="B80" s="55"/>
      <c r="C80" s="56"/>
      <c r="D80" s="57"/>
      <c r="E80" s="56"/>
      <c r="F80" s="1"/>
      <c r="G80" s="2"/>
    </row>
    <row r="81" ht="15.75" customHeight="1">
      <c r="A81" s="1"/>
      <c r="B81" s="55" t="s">
        <v>535</v>
      </c>
      <c r="C81" s="56"/>
      <c r="D81" s="57"/>
      <c r="E81" s="56"/>
      <c r="F81" s="1"/>
      <c r="G81" s="2"/>
    </row>
    <row r="82" ht="15.75" customHeight="1">
      <c r="A82" s="1"/>
      <c r="B82" s="55"/>
      <c r="C82" s="56"/>
      <c r="D82" s="57"/>
      <c r="E82" s="56"/>
      <c r="F82" s="1"/>
      <c r="G82" s="2"/>
    </row>
    <row r="83" ht="15.75" customHeight="1">
      <c r="B83" s="55" t="s">
        <v>536</v>
      </c>
      <c r="C83" s="56"/>
      <c r="D83" s="57"/>
      <c r="E83" s="57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0:D10"/>
    <mergeCell ref="B11:F11"/>
    <mergeCell ref="B63:G63"/>
    <mergeCell ref="B77:E77"/>
  </mergeCells>
  <printOptions/>
  <pageMargins bottom="0.75" footer="0.0" header="0.0" left="0.7" right="0.7" top="0.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1">
      <c r="A1" s="1" t="s">
        <v>721</v>
      </c>
      <c r="B1" s="3" t="s">
        <v>1708</v>
      </c>
      <c r="C1" s="1"/>
      <c r="D1" s="1"/>
      <c r="E1" s="1"/>
      <c r="F1" s="1"/>
      <c r="G1" s="2"/>
    </row>
    <row r="2">
      <c r="A2" s="1"/>
      <c r="B2" s="63" t="s">
        <v>1709</v>
      </c>
      <c r="G2" s="47">
        <v>9806595.0</v>
      </c>
    </row>
    <row r="3">
      <c r="A3" s="1"/>
      <c r="G3" s="2"/>
    </row>
    <row r="4">
      <c r="A4" s="6" t="s">
        <v>1710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646400.0</v>
      </c>
      <c r="G5" s="7">
        <v>162000.0</v>
      </c>
    </row>
    <row r="6">
      <c r="A6" s="1"/>
      <c r="B6" s="4" t="s">
        <v>64</v>
      </c>
      <c r="C6" s="1"/>
      <c r="D6" s="1"/>
      <c r="E6" s="1"/>
      <c r="F6" s="2">
        <v>376800.0</v>
      </c>
      <c r="G6" s="7">
        <v>124000.0</v>
      </c>
    </row>
    <row r="7">
      <c r="A7" s="1"/>
      <c r="B7" s="4" t="s">
        <v>65</v>
      </c>
      <c r="C7" s="1"/>
      <c r="D7" s="1"/>
      <c r="E7" s="1"/>
      <c r="F7" s="2">
        <v>517900.0</v>
      </c>
      <c r="G7" s="7">
        <v>208000.0</v>
      </c>
    </row>
    <row r="8">
      <c r="A8" s="1"/>
      <c r="B8" s="4" t="s">
        <v>66</v>
      </c>
      <c r="C8" s="1"/>
      <c r="D8" s="1"/>
      <c r="E8" s="1"/>
      <c r="F8" s="2">
        <v>875000.0</v>
      </c>
      <c r="G8" s="8">
        <v>179000.0</v>
      </c>
    </row>
    <row r="9">
      <c r="A9" s="1"/>
      <c r="B9" s="4" t="s">
        <v>67</v>
      </c>
      <c r="C9" s="1"/>
      <c r="D9" s="49" t="s">
        <v>8</v>
      </c>
      <c r="E9" s="49"/>
      <c r="F9" s="62">
        <v>70600.0</v>
      </c>
      <c r="G9" s="7">
        <v>35000.0</v>
      </c>
    </row>
    <row r="10">
      <c r="A10" s="1"/>
      <c r="B10" s="4" t="s">
        <v>1711</v>
      </c>
      <c r="C10" s="1"/>
      <c r="D10" s="49"/>
      <c r="E10" s="49"/>
      <c r="F10" s="62">
        <v>350000.0</v>
      </c>
      <c r="G10" s="7"/>
    </row>
    <row r="11">
      <c r="A11" s="1"/>
      <c r="B11" s="4"/>
      <c r="C11" s="50" t="s">
        <v>405</v>
      </c>
      <c r="E11" s="4"/>
      <c r="F11" s="2">
        <f>SUM(F5:F10)</f>
        <v>2836700</v>
      </c>
      <c r="G11" s="7">
        <f>SUM(G5:G9)</f>
        <v>708000</v>
      </c>
    </row>
    <row r="12">
      <c r="A12" s="1"/>
      <c r="B12" s="51" t="s">
        <v>9</v>
      </c>
      <c r="C12" s="52"/>
      <c r="D12" s="52"/>
      <c r="E12" s="52"/>
      <c r="F12" s="53"/>
      <c r="G12" s="68">
        <f>SUM(F11:G11)</f>
        <v>3544700</v>
      </c>
    </row>
    <row r="13">
      <c r="A13" s="6" t="s">
        <v>1712</v>
      </c>
      <c r="B13" s="1"/>
      <c r="C13" s="1"/>
      <c r="D13" s="1"/>
      <c r="E13" s="1"/>
      <c r="F13" s="1"/>
      <c r="G13" s="2"/>
    </row>
    <row r="14">
      <c r="A14" s="1"/>
      <c r="B14" s="12" t="s">
        <v>11</v>
      </c>
      <c r="C14" s="1"/>
      <c r="D14" s="1"/>
      <c r="E14" s="1"/>
      <c r="F14" s="1"/>
      <c r="G14" s="2"/>
    </row>
    <row r="15">
      <c r="A15" s="1"/>
      <c r="B15" s="4" t="s">
        <v>1713</v>
      </c>
      <c r="C15" s="1"/>
      <c r="D15" s="1"/>
      <c r="E15" s="1"/>
      <c r="F15" s="1"/>
      <c r="G15" s="2">
        <v>210000.0</v>
      </c>
    </row>
    <row r="16">
      <c r="A16" s="1"/>
      <c r="B16" s="4" t="s">
        <v>1594</v>
      </c>
      <c r="C16" s="1"/>
      <c r="D16" s="1"/>
      <c r="E16" s="1"/>
      <c r="F16" s="1"/>
      <c r="G16" s="2">
        <v>100000.0</v>
      </c>
    </row>
    <row r="17">
      <c r="A17" s="1"/>
      <c r="B17" s="4" t="s">
        <v>13</v>
      </c>
      <c r="C17" s="1"/>
      <c r="D17" s="1"/>
      <c r="E17" s="1"/>
      <c r="F17" s="1"/>
      <c r="G17" s="13">
        <v>125000.0</v>
      </c>
    </row>
    <row r="18">
      <c r="A18" s="1"/>
      <c r="B18" s="4" t="s">
        <v>14</v>
      </c>
      <c r="C18" s="1"/>
      <c r="D18" s="1"/>
      <c r="E18" s="1"/>
      <c r="F18" s="1"/>
      <c r="G18" s="13">
        <v>125000.0</v>
      </c>
    </row>
    <row r="19">
      <c r="A19" s="1"/>
      <c r="B19" s="4" t="s">
        <v>15</v>
      </c>
      <c r="C19" s="1"/>
      <c r="D19" s="1"/>
      <c r="E19" s="1"/>
      <c r="F19" s="1"/>
      <c r="G19" s="2">
        <v>100000.0</v>
      </c>
    </row>
    <row r="20">
      <c r="A20" s="1"/>
      <c r="B20" s="4" t="s">
        <v>16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17</v>
      </c>
      <c r="C21" s="1"/>
      <c r="D21" s="1"/>
      <c r="E21" s="1"/>
      <c r="F21" s="1"/>
      <c r="G21" s="2">
        <v>125000.0</v>
      </c>
    </row>
    <row r="22" ht="15.75" customHeight="1">
      <c r="A22" s="1"/>
      <c r="B22" s="9" t="s">
        <v>18</v>
      </c>
      <c r="C22" s="10"/>
      <c r="D22" s="10"/>
      <c r="E22" s="10"/>
      <c r="F22" s="10"/>
      <c r="G22" s="69">
        <f>SUM(G15:G21)</f>
        <v>865000</v>
      </c>
    </row>
    <row r="23" ht="15.75" customHeight="1">
      <c r="A23" s="1"/>
      <c r="B23" s="12" t="s">
        <v>19</v>
      </c>
      <c r="C23" s="15"/>
      <c r="D23" s="1"/>
      <c r="E23" s="1"/>
      <c r="F23" s="1"/>
      <c r="G23" s="2"/>
    </row>
    <row r="24" ht="15.75" customHeight="1">
      <c r="A24" s="1"/>
      <c r="B24" s="4" t="s">
        <v>1714</v>
      </c>
      <c r="C24" s="15"/>
      <c r="D24" s="1"/>
      <c r="E24" s="1"/>
      <c r="F24" s="1"/>
      <c r="G24" s="2">
        <v>10000.0</v>
      </c>
    </row>
    <row r="25" ht="15.75" customHeight="1">
      <c r="A25" s="1"/>
      <c r="B25" s="4" t="s">
        <v>1715</v>
      </c>
      <c r="C25" s="15"/>
      <c r="D25" s="1"/>
      <c r="E25" s="1"/>
      <c r="F25" s="1"/>
      <c r="G25" s="2">
        <v>70000.0</v>
      </c>
    </row>
    <row r="26" ht="15.75" customHeight="1">
      <c r="A26" s="1"/>
      <c r="B26" s="4" t="s">
        <v>1716</v>
      </c>
      <c r="C26" s="15"/>
      <c r="D26" s="1"/>
      <c r="E26" s="1"/>
      <c r="F26" s="1"/>
      <c r="G26" s="2">
        <v>5000.0</v>
      </c>
    </row>
    <row r="27" ht="15.75" customHeight="1">
      <c r="A27" s="1"/>
      <c r="B27" s="4" t="s">
        <v>1717</v>
      </c>
      <c r="C27" s="15"/>
      <c r="D27" s="1"/>
      <c r="E27" s="1"/>
      <c r="F27" s="1"/>
      <c r="G27" s="2">
        <v>5000.0</v>
      </c>
    </row>
    <row r="28" ht="15.75" customHeight="1">
      <c r="A28" s="1"/>
      <c r="B28" s="4" t="s">
        <v>1718</v>
      </c>
      <c r="C28" s="15"/>
      <c r="D28" s="1"/>
      <c r="E28" s="1"/>
      <c r="F28" s="1"/>
      <c r="G28" s="2">
        <v>15000.0</v>
      </c>
    </row>
    <row r="29" ht="15.75" customHeight="1">
      <c r="A29" s="1"/>
      <c r="B29" s="4" t="s">
        <v>1719</v>
      </c>
      <c r="C29" s="15"/>
      <c r="D29" s="1"/>
      <c r="E29" s="1"/>
      <c r="F29" s="1"/>
      <c r="G29" s="2">
        <v>75000.0</v>
      </c>
    </row>
    <row r="30" ht="15.75" customHeight="1">
      <c r="A30" s="1"/>
      <c r="B30" s="4" t="s">
        <v>1720</v>
      </c>
      <c r="C30" s="15"/>
      <c r="D30" s="1"/>
      <c r="E30" s="1"/>
      <c r="F30" s="1"/>
      <c r="G30" s="2">
        <v>65250.0</v>
      </c>
      <c r="N30" s="67" t="s">
        <v>480</v>
      </c>
    </row>
    <row r="31" ht="15.75" customHeight="1">
      <c r="A31" s="1"/>
      <c r="B31" s="4" t="s">
        <v>1721</v>
      </c>
      <c r="C31" s="15"/>
      <c r="D31" s="1"/>
      <c r="E31" s="1"/>
      <c r="F31" s="1"/>
      <c r="G31" s="2">
        <v>384000.0</v>
      </c>
    </row>
    <row r="32" ht="15.75" customHeight="1">
      <c r="A32" s="1"/>
      <c r="B32" s="4" t="s">
        <v>1722</v>
      </c>
      <c r="C32" s="15"/>
      <c r="D32" s="1"/>
      <c r="E32" s="1"/>
      <c r="F32" s="1"/>
      <c r="G32" s="2">
        <v>20000.0</v>
      </c>
    </row>
    <row r="33" ht="15.75" customHeight="1">
      <c r="A33" s="1"/>
      <c r="B33" s="4" t="s">
        <v>652</v>
      </c>
      <c r="C33" s="15"/>
      <c r="D33" s="1"/>
      <c r="E33" s="1"/>
      <c r="F33" s="1"/>
      <c r="G33" s="2">
        <v>8000.0</v>
      </c>
    </row>
    <row r="34" ht="15.75" customHeight="1">
      <c r="A34" s="1"/>
      <c r="B34" s="4" t="s">
        <v>1723</v>
      </c>
      <c r="C34" s="15"/>
      <c r="D34" s="1"/>
      <c r="E34" s="1"/>
      <c r="F34" s="1"/>
      <c r="G34" s="2">
        <v>20000.0</v>
      </c>
    </row>
    <row r="35" ht="15.75" customHeight="1">
      <c r="A35" s="1"/>
      <c r="B35" s="4" t="s">
        <v>1724</v>
      </c>
      <c r="C35" s="15"/>
      <c r="D35" s="1"/>
      <c r="E35" s="1"/>
      <c r="F35" s="1"/>
      <c r="G35" s="2">
        <v>100000.0</v>
      </c>
    </row>
    <row r="36" ht="15.75" customHeight="1">
      <c r="A36" s="1"/>
      <c r="B36" s="4" t="s">
        <v>1092</v>
      </c>
      <c r="C36" s="15"/>
      <c r="D36" s="1"/>
      <c r="E36" s="1"/>
      <c r="F36" s="1"/>
      <c r="G36" s="2">
        <v>5000.0</v>
      </c>
    </row>
    <row r="37" ht="15.75" customHeight="1">
      <c r="A37" s="1"/>
      <c r="B37" s="4" t="s">
        <v>1725</v>
      </c>
      <c r="C37" s="15"/>
      <c r="D37" s="1"/>
      <c r="E37" s="1"/>
      <c r="F37" s="1"/>
      <c r="G37" s="2">
        <v>3000.0</v>
      </c>
    </row>
    <row r="38" ht="15.75" customHeight="1">
      <c r="A38" s="1"/>
      <c r="B38" s="4" t="s">
        <v>545</v>
      </c>
      <c r="C38" s="15"/>
      <c r="D38" s="1"/>
      <c r="E38" s="1"/>
      <c r="F38" s="1"/>
      <c r="G38" s="2">
        <v>100000.0</v>
      </c>
    </row>
    <row r="39" ht="15.75" customHeight="1">
      <c r="A39" s="1"/>
      <c r="B39" s="4" t="s">
        <v>1726</v>
      </c>
      <c r="C39" s="15"/>
      <c r="D39" s="1"/>
      <c r="E39" s="1"/>
      <c r="F39" s="1"/>
      <c r="G39" s="2">
        <v>4500.0</v>
      </c>
    </row>
    <row r="40" ht="15.75" customHeight="1">
      <c r="A40" s="1"/>
      <c r="B40" s="4" t="s">
        <v>1727</v>
      </c>
      <c r="C40" s="15"/>
      <c r="D40" s="1"/>
      <c r="E40" s="1"/>
      <c r="F40" s="1"/>
      <c r="G40" s="2">
        <v>175000.0</v>
      </c>
    </row>
    <row r="41" ht="15.75" customHeight="1">
      <c r="A41" s="1"/>
      <c r="B41" s="4" t="s">
        <v>1728</v>
      </c>
      <c r="C41" s="15"/>
      <c r="D41" s="1"/>
      <c r="E41" s="1"/>
      <c r="F41" s="1"/>
      <c r="G41" s="2">
        <v>711400.0</v>
      </c>
    </row>
    <row r="42" ht="15.75" customHeight="1">
      <c r="A42" s="1"/>
      <c r="B42" s="4" t="s">
        <v>1729</v>
      </c>
      <c r="C42" s="15"/>
      <c r="D42" s="1"/>
      <c r="E42" s="1"/>
      <c r="F42" s="1"/>
      <c r="G42" s="2">
        <v>2000.0</v>
      </c>
    </row>
    <row r="43" ht="15.75" customHeight="1">
      <c r="A43" s="1"/>
      <c r="B43" s="1" t="s">
        <v>1730</v>
      </c>
      <c r="C43" s="1"/>
      <c r="D43" s="1"/>
      <c r="E43" s="1"/>
      <c r="F43" s="1"/>
      <c r="G43" s="13">
        <v>141500.0</v>
      </c>
    </row>
    <row r="44" ht="15.75" customHeight="1">
      <c r="A44" s="1"/>
      <c r="B44" s="1" t="s">
        <v>1731</v>
      </c>
      <c r="C44" s="1"/>
      <c r="D44" s="1"/>
      <c r="E44" s="1"/>
      <c r="F44" s="1"/>
      <c r="G44" s="13">
        <v>25000.0</v>
      </c>
      <c r="N44" s="67" t="s">
        <v>480</v>
      </c>
    </row>
    <row r="45" ht="15.75" customHeight="1">
      <c r="A45" s="1"/>
      <c r="B45" s="1" t="s">
        <v>1732</v>
      </c>
      <c r="C45" s="1"/>
      <c r="D45" s="1"/>
      <c r="E45" s="1"/>
      <c r="F45" s="1"/>
      <c r="G45" s="13">
        <v>10000.0</v>
      </c>
    </row>
    <row r="46" ht="15.75" customHeight="1">
      <c r="A46" s="1"/>
      <c r="B46" s="1" t="s">
        <v>1733</v>
      </c>
      <c r="C46" s="1"/>
      <c r="D46" s="1"/>
      <c r="E46" s="1"/>
      <c r="F46" s="1"/>
      <c r="G46" s="13">
        <v>19000.0</v>
      </c>
    </row>
    <row r="47" ht="15.75" customHeight="1">
      <c r="A47" s="1"/>
      <c r="B47" s="1" t="s">
        <v>1734</v>
      </c>
      <c r="C47" s="1"/>
      <c r="D47" s="1"/>
      <c r="E47" s="1"/>
      <c r="F47" s="1"/>
      <c r="G47" s="13">
        <v>10000.0</v>
      </c>
    </row>
    <row r="48" ht="15.75" customHeight="1">
      <c r="A48" s="1"/>
      <c r="B48" s="1" t="s">
        <v>1735</v>
      </c>
      <c r="C48" s="1"/>
      <c r="D48" s="1"/>
      <c r="E48" s="1"/>
      <c r="F48" s="1"/>
      <c r="G48" s="13">
        <v>1700.0</v>
      </c>
    </row>
    <row r="49" ht="15.75" customHeight="1">
      <c r="A49" s="1"/>
      <c r="B49" s="1" t="s">
        <v>1736</v>
      </c>
      <c r="C49" s="1"/>
      <c r="D49" s="1"/>
      <c r="E49" s="1"/>
      <c r="F49" s="1"/>
      <c r="G49" s="13">
        <v>1000.0</v>
      </c>
    </row>
    <row r="50" ht="15.75" customHeight="1">
      <c r="A50" s="1"/>
      <c r="B50" s="1" t="s">
        <v>1737</v>
      </c>
      <c r="C50" s="1"/>
      <c r="D50" s="1"/>
      <c r="E50" s="1"/>
      <c r="F50" s="1"/>
      <c r="G50" s="13">
        <v>132000.0</v>
      </c>
    </row>
    <row r="51" ht="15.75" customHeight="1">
      <c r="A51" s="1"/>
      <c r="B51" s="1" t="s">
        <v>1738</v>
      </c>
      <c r="C51" s="1"/>
      <c r="D51" s="1"/>
      <c r="E51" s="1"/>
      <c r="F51" s="1"/>
      <c r="G51" s="13">
        <v>100536.0</v>
      </c>
    </row>
    <row r="52" ht="15.75" customHeight="1">
      <c r="A52" s="1"/>
      <c r="B52" s="1" t="s">
        <v>1739</v>
      </c>
      <c r="C52" s="1"/>
      <c r="D52" s="1"/>
      <c r="E52" s="1"/>
      <c r="F52" s="1"/>
      <c r="G52" s="13">
        <v>130000.0</v>
      </c>
    </row>
    <row r="53" ht="15.75" customHeight="1">
      <c r="A53" s="1"/>
      <c r="B53" s="1"/>
      <c r="C53" s="1"/>
      <c r="D53" s="1"/>
      <c r="E53" s="1"/>
      <c r="F53" s="1"/>
      <c r="G53" s="13"/>
    </row>
    <row r="54" ht="15.75" customHeight="1">
      <c r="A54" s="1"/>
      <c r="B54" s="43" t="s">
        <v>43</v>
      </c>
      <c r="C54" s="1"/>
      <c r="D54" s="1"/>
      <c r="E54" s="1"/>
      <c r="F54" s="1"/>
      <c r="G54" s="18">
        <f>SUM(G24:G53)</f>
        <v>2348886</v>
      </c>
    </row>
    <row r="55" ht="15.75" customHeight="1">
      <c r="A55" s="1"/>
      <c r="B55" s="19" t="s">
        <v>45</v>
      </c>
      <c r="C55" s="20"/>
      <c r="D55" s="20"/>
      <c r="E55" s="20"/>
      <c r="F55" s="20"/>
      <c r="G55" s="70">
        <f>SUM(G22+G54)</f>
        <v>3213886</v>
      </c>
    </row>
    <row r="56" ht="15.75" customHeight="1">
      <c r="A56" s="1"/>
      <c r="B56" s="4" t="s">
        <v>46</v>
      </c>
      <c r="C56" s="1"/>
      <c r="D56" s="1"/>
      <c r="E56" s="1"/>
      <c r="F56" s="1"/>
      <c r="G56" s="2"/>
    </row>
    <row r="57" ht="15.75" customHeight="1">
      <c r="A57" s="35" t="s">
        <v>1740</v>
      </c>
      <c r="B57" s="36"/>
      <c r="C57" s="37"/>
      <c r="D57" s="37"/>
      <c r="E57" s="37"/>
      <c r="F57" s="37"/>
      <c r="G57" s="71">
        <f>(G12-G55)</f>
        <v>330814</v>
      </c>
    </row>
    <row r="58" ht="15.75" customHeight="1">
      <c r="A58" s="22" t="s">
        <v>254</v>
      </c>
      <c r="B58" s="43" t="s">
        <v>255</v>
      </c>
      <c r="C58" s="1"/>
      <c r="D58" s="1"/>
      <c r="E58" s="1"/>
      <c r="F58" s="1"/>
      <c r="G58" s="2"/>
    </row>
    <row r="59" ht="15.75" customHeight="1">
      <c r="A59" s="44"/>
      <c r="B59" s="1" t="s">
        <v>1741</v>
      </c>
      <c r="C59" s="1"/>
      <c r="D59" s="1"/>
      <c r="E59" s="1"/>
      <c r="F59" s="1"/>
      <c r="G59" s="13">
        <v>52400.0</v>
      </c>
    </row>
    <row r="60" ht="15.75" customHeight="1">
      <c r="A60" s="44"/>
      <c r="B60" s="72" t="s">
        <v>51</v>
      </c>
      <c r="C60" s="27"/>
      <c r="D60" s="27"/>
      <c r="E60" s="27"/>
      <c r="F60" s="27"/>
      <c r="G60" s="73">
        <f>SUM(G59)</f>
        <v>52400</v>
      </c>
    </row>
    <row r="61" ht="15.75" customHeight="1">
      <c r="A61" s="44"/>
      <c r="B61" s="44"/>
      <c r="C61" s="45" t="s">
        <v>1742</v>
      </c>
      <c r="D61" s="46"/>
      <c r="E61" s="46"/>
      <c r="F61" s="46"/>
      <c r="G61" s="47">
        <f>G2+G57-G60</f>
        <v>10085009</v>
      </c>
    </row>
    <row r="62" ht="15.75" customHeight="1">
      <c r="A62" s="1"/>
      <c r="B62" s="32" t="s">
        <v>1743</v>
      </c>
    </row>
    <row r="63" ht="15.75" customHeight="1">
      <c r="A63" s="1"/>
      <c r="B63" s="1"/>
      <c r="C63" s="1" t="s">
        <v>1115</v>
      </c>
      <c r="D63" s="1"/>
      <c r="E63" s="1"/>
      <c r="F63" s="1"/>
      <c r="G63" s="2">
        <v>20800.0</v>
      </c>
    </row>
    <row r="64" ht="15.75" customHeight="1">
      <c r="A64" s="1"/>
      <c r="B64" s="1"/>
      <c r="C64" s="1" t="s">
        <v>1744</v>
      </c>
      <c r="D64" s="1"/>
      <c r="E64" s="1"/>
      <c r="F64" s="1"/>
      <c r="G64" s="2">
        <v>601100.0</v>
      </c>
    </row>
    <row r="65" ht="15.75" customHeight="1">
      <c r="A65" s="1"/>
      <c r="B65" s="1"/>
      <c r="C65" s="43" t="s">
        <v>115</v>
      </c>
      <c r="D65" s="1"/>
      <c r="E65" s="1"/>
      <c r="F65" s="1"/>
      <c r="G65" s="2">
        <v>621900.0</v>
      </c>
    </row>
    <row r="66" ht="15.75" customHeight="1">
      <c r="A66" s="1"/>
      <c r="B66" s="1"/>
      <c r="C66" s="43"/>
      <c r="D66" s="1"/>
      <c r="E66" s="1"/>
      <c r="F66" s="1"/>
      <c r="G66" s="2"/>
    </row>
    <row r="67" ht="15.75" customHeight="1">
      <c r="A67" s="1"/>
      <c r="B67" s="43" t="s">
        <v>1745</v>
      </c>
      <c r="C67" s="43"/>
      <c r="D67" s="1"/>
      <c r="E67" s="1"/>
      <c r="F67" s="1"/>
      <c r="G67" s="2"/>
    </row>
    <row r="68" ht="15.75" customHeight="1">
      <c r="A68" s="1"/>
      <c r="B68" s="43" t="s">
        <v>1746</v>
      </c>
      <c r="C68" s="43"/>
      <c r="D68" s="1"/>
      <c r="E68" s="1"/>
      <c r="F68" s="1"/>
      <c r="G68" s="1"/>
    </row>
    <row r="69" ht="15.75" customHeight="1">
      <c r="A69" s="1"/>
      <c r="B69" s="1"/>
      <c r="C69" s="43"/>
      <c r="D69" s="1"/>
      <c r="E69" s="1"/>
      <c r="F69" s="1"/>
      <c r="G69" s="1"/>
    </row>
    <row r="70" ht="15.75" customHeight="1">
      <c r="A70" s="1"/>
      <c r="B70" s="33" t="s">
        <v>1747</v>
      </c>
      <c r="C70" s="1"/>
      <c r="D70" s="1"/>
      <c r="E70" s="1"/>
      <c r="F70" s="1"/>
      <c r="G70" s="2"/>
    </row>
    <row r="71" ht="15.75" customHeight="1">
      <c r="A71" s="1"/>
      <c r="B71" s="33"/>
      <c r="C71" s="1"/>
      <c r="D71" s="1"/>
      <c r="E71" s="1"/>
      <c r="F71" s="1"/>
      <c r="G71" s="2"/>
    </row>
    <row r="72" ht="15.75" customHeight="1">
      <c r="A72" s="1"/>
      <c r="B72" s="55" t="s">
        <v>531</v>
      </c>
      <c r="C72" s="56"/>
      <c r="D72" s="56"/>
      <c r="E72" s="56"/>
      <c r="F72" s="1"/>
      <c r="G72" s="2"/>
    </row>
    <row r="73" ht="15.75" customHeight="1">
      <c r="A73" s="1"/>
      <c r="B73" s="55"/>
      <c r="C73" s="56"/>
      <c r="D73" s="56"/>
      <c r="E73" s="56"/>
      <c r="F73" s="1"/>
      <c r="G73" s="2"/>
    </row>
    <row r="74" ht="15.75" customHeight="1">
      <c r="A74" s="1"/>
      <c r="B74" s="55" t="s">
        <v>1748</v>
      </c>
      <c r="C74" s="56"/>
      <c r="D74" s="56"/>
      <c r="E74" s="56"/>
      <c r="F74" s="1"/>
      <c r="G74" s="2"/>
    </row>
    <row r="75" ht="15.75" customHeight="1">
      <c r="A75" s="1"/>
      <c r="B75" s="55"/>
      <c r="C75" s="56"/>
      <c r="D75" s="56"/>
      <c r="E75" s="56"/>
      <c r="F75" s="1"/>
      <c r="G75" s="2"/>
    </row>
    <row r="76" ht="15.75" customHeight="1">
      <c r="A76" s="1"/>
      <c r="B76" s="55" t="s">
        <v>533</v>
      </c>
      <c r="F76" s="1"/>
      <c r="G76" s="2"/>
    </row>
    <row r="77" ht="15.75" customHeight="1">
      <c r="A77" s="1"/>
      <c r="B77" s="55"/>
      <c r="C77" s="55"/>
      <c r="D77" s="55"/>
      <c r="E77" s="55"/>
      <c r="F77" s="1"/>
      <c r="G77" s="2"/>
    </row>
    <row r="78" ht="15.75" customHeight="1">
      <c r="A78" s="1"/>
      <c r="B78" s="55" t="s">
        <v>1749</v>
      </c>
      <c r="C78" s="56"/>
      <c r="D78" s="57"/>
      <c r="E78" s="56"/>
      <c r="F78" s="1"/>
      <c r="G78" s="2"/>
    </row>
    <row r="79" ht="15.75" customHeight="1">
      <c r="A79" s="1"/>
      <c r="B79" s="55"/>
      <c r="C79" s="56"/>
      <c r="D79" s="57"/>
      <c r="E79" s="56"/>
      <c r="F79" s="1"/>
      <c r="G79" s="2"/>
    </row>
    <row r="80" ht="15.75" customHeight="1">
      <c r="A80" s="1"/>
      <c r="B80" s="55" t="s">
        <v>535</v>
      </c>
      <c r="C80" s="56"/>
      <c r="D80" s="57"/>
      <c r="E80" s="56"/>
      <c r="F80" s="1"/>
      <c r="G80" s="2"/>
    </row>
    <row r="81" ht="15.75" customHeight="1">
      <c r="A81" s="1"/>
      <c r="B81" s="55"/>
      <c r="C81" s="56"/>
      <c r="D81" s="57"/>
      <c r="E81" s="56"/>
      <c r="F81" s="1"/>
      <c r="G81" s="2"/>
    </row>
    <row r="82" ht="15.75" customHeight="1">
      <c r="B82" s="55" t="s">
        <v>536</v>
      </c>
      <c r="C82" s="56"/>
      <c r="D82" s="57"/>
      <c r="E82" s="57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1:D11"/>
    <mergeCell ref="B12:F12"/>
    <mergeCell ref="B62:G62"/>
    <mergeCell ref="B76:E76"/>
  </mergeCells>
  <printOptions/>
  <pageMargins bottom="0.75" footer="0.0" header="0.0" left="0.7" right="0.7" top="0.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1">
      <c r="A1" s="1" t="s">
        <v>721</v>
      </c>
      <c r="B1" s="3" t="s">
        <v>1750</v>
      </c>
      <c r="C1" s="1"/>
      <c r="D1" s="1"/>
      <c r="E1" s="1"/>
      <c r="F1" s="1"/>
      <c r="G1" s="2"/>
    </row>
    <row r="2">
      <c r="A2" s="1"/>
      <c r="B2" s="75" t="s">
        <v>1751</v>
      </c>
      <c r="G2" s="47">
        <v>1.0085009E7</v>
      </c>
    </row>
    <row r="3">
      <c r="A3" s="1"/>
      <c r="G3" s="2"/>
    </row>
    <row r="4">
      <c r="A4" s="6" t="s">
        <v>1752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561400.0</v>
      </c>
      <c r="G5" s="7">
        <v>129000.0</v>
      </c>
      <c r="I5" s="67" t="s">
        <v>480</v>
      </c>
    </row>
    <row r="6">
      <c r="A6" s="1"/>
      <c r="B6" s="4" t="s">
        <v>64</v>
      </c>
      <c r="C6" s="1"/>
      <c r="D6" s="1"/>
      <c r="E6" s="1"/>
      <c r="F6" s="2">
        <v>542400.0</v>
      </c>
      <c r="G6" s="7">
        <v>137000.0</v>
      </c>
    </row>
    <row r="7">
      <c r="A7" s="1"/>
      <c r="B7" s="4" t="s">
        <v>65</v>
      </c>
      <c r="C7" s="1"/>
      <c r="D7" s="1"/>
      <c r="E7" s="1"/>
      <c r="F7" s="2">
        <v>359700.0</v>
      </c>
      <c r="G7" s="7">
        <v>161000.0</v>
      </c>
    </row>
    <row r="8">
      <c r="A8" s="1"/>
      <c r="B8" s="4" t="s">
        <v>66</v>
      </c>
      <c r="C8" s="1"/>
      <c r="D8" s="1"/>
      <c r="E8" s="1"/>
      <c r="F8" s="2">
        <v>364800.0</v>
      </c>
      <c r="G8" s="8">
        <v>171000.0</v>
      </c>
    </row>
    <row r="9">
      <c r="A9" s="1"/>
      <c r="B9" s="4" t="s">
        <v>67</v>
      </c>
      <c r="C9" s="1"/>
      <c r="D9" s="49" t="s">
        <v>8</v>
      </c>
      <c r="E9" s="49"/>
      <c r="F9" s="62">
        <v>424900.0</v>
      </c>
      <c r="G9" s="7">
        <v>117000.0</v>
      </c>
      <c r="I9" s="67" t="s">
        <v>480</v>
      </c>
    </row>
    <row r="10">
      <c r="A10" s="1"/>
      <c r="B10" s="4" t="s">
        <v>1753</v>
      </c>
      <c r="C10" s="1"/>
      <c r="D10" s="49"/>
      <c r="E10" s="49"/>
      <c r="F10" s="62">
        <v>458000.0</v>
      </c>
      <c r="G10" s="7"/>
    </row>
    <row r="11">
      <c r="A11" s="1"/>
      <c r="B11" s="4"/>
      <c r="C11" s="50" t="s">
        <v>405</v>
      </c>
      <c r="E11" s="4"/>
      <c r="F11" s="2">
        <f>SUM(F5:F10)</f>
        <v>2711200</v>
      </c>
      <c r="G11" s="7">
        <f>SUM(G5:G9)</f>
        <v>715000</v>
      </c>
    </row>
    <row r="12">
      <c r="A12" s="1"/>
      <c r="B12" s="51" t="s">
        <v>9</v>
      </c>
      <c r="C12" s="52"/>
      <c r="D12" s="52"/>
      <c r="E12" s="52"/>
      <c r="F12" s="53"/>
      <c r="G12" s="68">
        <f>SUM(F11:G11)</f>
        <v>3426200</v>
      </c>
    </row>
    <row r="13">
      <c r="A13" s="6" t="s">
        <v>1754</v>
      </c>
      <c r="B13" s="1"/>
      <c r="C13" s="1"/>
      <c r="D13" s="1"/>
      <c r="E13" s="1"/>
      <c r="F13" s="1"/>
      <c r="G13" s="2"/>
    </row>
    <row r="14">
      <c r="A14" s="1"/>
      <c r="B14" s="12" t="s">
        <v>11</v>
      </c>
      <c r="C14" s="1"/>
      <c r="D14" s="1"/>
      <c r="E14" s="1"/>
      <c r="F14" s="1"/>
      <c r="G14" s="2"/>
    </row>
    <row r="15">
      <c r="A15" s="1"/>
      <c r="B15" s="4" t="s">
        <v>1755</v>
      </c>
      <c r="C15" s="1"/>
      <c r="D15" s="1"/>
      <c r="E15" s="1"/>
      <c r="F15" s="1"/>
      <c r="G15" s="2">
        <v>274800.0</v>
      </c>
    </row>
    <row r="16">
      <c r="A16" s="1"/>
      <c r="B16" s="4" t="s">
        <v>1594</v>
      </c>
      <c r="C16" s="1"/>
      <c r="D16" s="1"/>
      <c r="E16" s="1"/>
      <c r="F16" s="1"/>
      <c r="G16" s="2">
        <v>100000.0</v>
      </c>
    </row>
    <row r="17">
      <c r="A17" s="1"/>
      <c r="B17" s="4" t="s">
        <v>13</v>
      </c>
      <c r="C17" s="1"/>
      <c r="D17" s="1"/>
      <c r="E17" s="1"/>
      <c r="F17" s="1"/>
      <c r="G17" s="13">
        <v>125000.0</v>
      </c>
    </row>
    <row r="18">
      <c r="A18" s="1"/>
      <c r="B18" s="4" t="s">
        <v>14</v>
      </c>
      <c r="C18" s="1"/>
      <c r="D18" s="1"/>
      <c r="E18" s="1"/>
      <c r="F18" s="1"/>
      <c r="G18" s="13">
        <v>125000.0</v>
      </c>
    </row>
    <row r="19">
      <c r="A19" s="1"/>
      <c r="B19" s="4" t="s">
        <v>15</v>
      </c>
      <c r="C19" s="1"/>
      <c r="D19" s="1"/>
      <c r="E19" s="1"/>
      <c r="F19" s="1"/>
      <c r="G19" s="2">
        <v>100000.0</v>
      </c>
      <c r="K19" s="67" t="s">
        <v>480</v>
      </c>
    </row>
    <row r="20">
      <c r="A20" s="1"/>
      <c r="B20" s="4" t="s">
        <v>16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17</v>
      </c>
      <c r="C21" s="1"/>
      <c r="D21" s="1"/>
      <c r="E21" s="1"/>
      <c r="F21" s="1"/>
      <c r="G21" s="2">
        <v>125000.0</v>
      </c>
    </row>
    <row r="22" ht="15.75" customHeight="1">
      <c r="A22" s="1"/>
      <c r="B22" s="9" t="s">
        <v>18</v>
      </c>
      <c r="C22" s="10"/>
      <c r="D22" s="10"/>
      <c r="E22" s="10"/>
      <c r="F22" s="10"/>
      <c r="G22" s="69">
        <f>SUM(G15:G21)</f>
        <v>929800</v>
      </c>
    </row>
    <row r="23" ht="15.75" customHeight="1">
      <c r="A23" s="1"/>
      <c r="B23" s="12" t="s">
        <v>19</v>
      </c>
      <c r="C23" s="15"/>
      <c r="D23" s="1"/>
      <c r="E23" s="1"/>
      <c r="F23" s="1"/>
      <c r="G23" s="2"/>
    </row>
    <row r="24" ht="15.75" customHeight="1">
      <c r="A24" s="1"/>
      <c r="B24" s="4" t="s">
        <v>1756</v>
      </c>
      <c r="C24" s="15"/>
      <c r="D24" s="1"/>
      <c r="E24" s="1"/>
      <c r="F24" s="1"/>
      <c r="G24" s="2">
        <v>65250.0</v>
      </c>
    </row>
    <row r="25" ht="15.75" customHeight="1">
      <c r="A25" s="1"/>
      <c r="B25" s="4" t="s">
        <v>1757</v>
      </c>
      <c r="C25" s="15"/>
      <c r="D25" s="1"/>
      <c r="E25" s="1"/>
      <c r="F25" s="1"/>
      <c r="G25" s="2">
        <v>2200.0</v>
      </c>
    </row>
    <row r="26" ht="15.75" customHeight="1">
      <c r="A26" s="1"/>
      <c r="B26" s="4" t="s">
        <v>1758</v>
      </c>
      <c r="C26" s="15"/>
      <c r="D26" s="1"/>
      <c r="E26" s="1"/>
      <c r="F26" s="1"/>
      <c r="G26" s="2">
        <v>25000.0</v>
      </c>
    </row>
    <row r="27" ht="15.75" customHeight="1">
      <c r="A27" s="1"/>
      <c r="B27" s="4" t="s">
        <v>1759</v>
      </c>
      <c r="C27" s="15"/>
      <c r="D27" s="1"/>
      <c r="E27" s="1"/>
      <c r="F27" s="1"/>
      <c r="G27" s="2">
        <v>14500.0</v>
      </c>
    </row>
    <row r="28" ht="15.75" customHeight="1">
      <c r="A28" s="1"/>
      <c r="B28" s="4" t="s">
        <v>1760</v>
      </c>
      <c r="C28" s="15"/>
      <c r="D28" s="1"/>
      <c r="E28" s="1"/>
      <c r="F28" s="1"/>
      <c r="G28" s="2">
        <v>75000.0</v>
      </c>
    </row>
    <row r="29" ht="15.75" customHeight="1">
      <c r="A29" s="1"/>
      <c r="B29" s="4" t="s">
        <v>1761</v>
      </c>
      <c r="C29" s="15"/>
      <c r="D29" s="1"/>
      <c r="E29" s="1"/>
      <c r="F29" s="1"/>
      <c r="G29" s="2">
        <v>2500.0</v>
      </c>
    </row>
    <row r="30" ht="15.75" customHeight="1">
      <c r="A30" s="1"/>
      <c r="B30" s="4" t="s">
        <v>1762</v>
      </c>
      <c r="C30" s="15"/>
      <c r="D30" s="1"/>
      <c r="E30" s="1"/>
      <c r="F30" s="1"/>
      <c r="G30" s="2">
        <v>1600.0</v>
      </c>
    </row>
    <row r="31" ht="15.75" customHeight="1">
      <c r="A31" s="1"/>
      <c r="B31" s="4" t="s">
        <v>1763</v>
      </c>
      <c r="C31" s="15"/>
      <c r="D31" s="1"/>
      <c r="E31" s="1"/>
      <c r="F31" s="1"/>
      <c r="G31" s="2">
        <v>339386.0</v>
      </c>
    </row>
    <row r="32" ht="15.75" customHeight="1">
      <c r="A32" s="1"/>
      <c r="B32" s="4" t="s">
        <v>1764</v>
      </c>
      <c r="C32" s="15"/>
      <c r="D32" s="1"/>
      <c r="E32" s="1"/>
      <c r="F32" s="1"/>
      <c r="G32" s="2">
        <v>35000.0</v>
      </c>
    </row>
    <row r="33" ht="15.75" customHeight="1">
      <c r="A33" s="1"/>
      <c r="B33" s="4" t="s">
        <v>1765</v>
      </c>
      <c r="C33" s="15"/>
      <c r="D33" s="1"/>
      <c r="E33" s="1"/>
      <c r="F33" s="1"/>
      <c r="G33" s="2">
        <v>5000.0</v>
      </c>
    </row>
    <row r="34" ht="15.75" customHeight="1">
      <c r="A34" s="1"/>
      <c r="B34" s="4" t="s">
        <v>1766</v>
      </c>
      <c r="C34" s="15"/>
      <c r="D34" s="1"/>
      <c r="E34" s="1"/>
      <c r="F34" s="1"/>
      <c r="G34" s="2">
        <v>5000.0</v>
      </c>
    </row>
    <row r="35" ht="15.75" customHeight="1">
      <c r="A35" s="1"/>
      <c r="B35" s="4" t="s">
        <v>1501</v>
      </c>
      <c r="C35" s="15"/>
      <c r="D35" s="1"/>
      <c r="E35" s="1"/>
      <c r="F35" s="1"/>
      <c r="G35" s="2">
        <v>50000.0</v>
      </c>
    </row>
    <row r="36" ht="15.75" customHeight="1">
      <c r="A36" s="1"/>
      <c r="B36" s="4" t="s">
        <v>1767</v>
      </c>
      <c r="C36" s="15"/>
      <c r="D36" s="1"/>
      <c r="E36" s="1"/>
      <c r="F36" s="1"/>
      <c r="G36" s="2">
        <v>4364.0</v>
      </c>
    </row>
    <row r="37" ht="15.75" customHeight="1">
      <c r="A37" s="1"/>
      <c r="B37" s="4" t="s">
        <v>203</v>
      </c>
      <c r="C37" s="15"/>
      <c r="D37" s="1"/>
      <c r="E37" s="1"/>
      <c r="F37" s="1"/>
      <c r="G37" s="2">
        <v>5500.0</v>
      </c>
    </row>
    <row r="38" ht="15.75" customHeight="1">
      <c r="A38" s="1"/>
      <c r="B38" s="4" t="s">
        <v>1768</v>
      </c>
      <c r="C38" s="15"/>
      <c r="D38" s="1"/>
      <c r="E38" s="1"/>
      <c r="F38" s="1"/>
      <c r="G38" s="2">
        <v>350000.0</v>
      </c>
    </row>
    <row r="39" ht="15.75" customHeight="1">
      <c r="A39" s="1"/>
      <c r="B39" s="4" t="s">
        <v>564</v>
      </c>
      <c r="C39" s="15"/>
      <c r="D39" s="1"/>
      <c r="E39" s="1"/>
      <c r="F39" s="1"/>
      <c r="G39" s="2">
        <v>10000.0</v>
      </c>
    </row>
    <row r="40" ht="15.75" customHeight="1">
      <c r="A40" s="1"/>
      <c r="B40" s="4" t="s">
        <v>1769</v>
      </c>
      <c r="C40" s="15"/>
      <c r="D40" s="1"/>
      <c r="E40" s="1"/>
      <c r="F40" s="1"/>
      <c r="G40" s="2">
        <v>2000.0</v>
      </c>
    </row>
    <row r="41" ht="15.75" customHeight="1">
      <c r="A41" s="1"/>
      <c r="B41" s="4" t="s">
        <v>245</v>
      </c>
      <c r="C41" s="15"/>
      <c r="D41" s="1"/>
      <c r="E41" s="1"/>
      <c r="F41" s="1"/>
      <c r="G41" s="2">
        <v>6000.0</v>
      </c>
    </row>
    <row r="42" ht="15.75" customHeight="1">
      <c r="A42" s="1"/>
      <c r="B42" s="4" t="s">
        <v>1770</v>
      </c>
      <c r="C42" s="15"/>
      <c r="D42" s="1"/>
      <c r="E42" s="1"/>
      <c r="F42" s="1"/>
      <c r="G42" s="2">
        <v>11000.0</v>
      </c>
    </row>
    <row r="43" ht="15.75" customHeight="1">
      <c r="A43" s="1"/>
      <c r="B43" s="1" t="s">
        <v>1771</v>
      </c>
      <c r="C43" s="1"/>
      <c r="D43" s="1"/>
      <c r="E43" s="1"/>
      <c r="F43" s="1"/>
      <c r="G43" s="13">
        <v>3691.0</v>
      </c>
    </row>
    <row r="44" ht="15.75" customHeight="1">
      <c r="A44" s="1"/>
      <c r="B44" s="1" t="s">
        <v>1772</v>
      </c>
      <c r="C44" s="1"/>
      <c r="D44" s="1"/>
      <c r="E44" s="1"/>
      <c r="F44" s="1"/>
      <c r="G44" s="13">
        <v>5000.0</v>
      </c>
    </row>
    <row r="45" ht="15.75" customHeight="1">
      <c r="A45" s="1"/>
      <c r="B45" s="1" t="s">
        <v>1773</v>
      </c>
      <c r="C45" s="1"/>
      <c r="D45" s="1"/>
      <c r="E45" s="1"/>
      <c r="F45" s="1"/>
      <c r="G45" s="13">
        <v>1470.0</v>
      </c>
    </row>
    <row r="46" ht="15.75" customHeight="1">
      <c r="A46" s="1"/>
      <c r="B46" s="1" t="s">
        <v>1774</v>
      </c>
      <c r="C46" s="1"/>
      <c r="D46" s="1"/>
      <c r="E46" s="1"/>
      <c r="F46" s="1"/>
      <c r="G46" s="13">
        <v>45000.0</v>
      </c>
    </row>
    <row r="47" ht="15.75" customHeight="1">
      <c r="A47" s="1"/>
      <c r="B47" s="1" t="s">
        <v>1775</v>
      </c>
      <c r="C47" s="1"/>
      <c r="D47" s="1"/>
      <c r="E47" s="1"/>
      <c r="F47" s="1"/>
      <c r="G47" s="13">
        <v>10000.0</v>
      </c>
      <c r="L47" s="67" t="s">
        <v>480</v>
      </c>
    </row>
    <row r="48" ht="15.75" customHeight="1">
      <c r="A48" s="1"/>
      <c r="B48" s="1" t="s">
        <v>1776</v>
      </c>
      <c r="C48" s="1"/>
      <c r="D48" s="1"/>
      <c r="E48" s="1"/>
      <c r="F48" s="1"/>
      <c r="G48" s="13">
        <v>1000.0</v>
      </c>
    </row>
    <row r="49" ht="15.75" customHeight="1">
      <c r="A49" s="1"/>
      <c r="B49" s="1" t="s">
        <v>1777</v>
      </c>
      <c r="C49" s="1"/>
      <c r="D49" s="1"/>
      <c r="E49" s="1"/>
      <c r="F49" s="1"/>
      <c r="G49" s="13">
        <v>1786.0</v>
      </c>
    </row>
    <row r="50" ht="15.75" customHeight="1">
      <c r="A50" s="1"/>
      <c r="B50" s="1" t="s">
        <v>1778</v>
      </c>
      <c r="C50" s="1"/>
      <c r="D50" s="1"/>
      <c r="E50" s="1"/>
      <c r="F50" s="1"/>
      <c r="G50" s="13">
        <v>4797.0</v>
      </c>
    </row>
    <row r="51" ht="15.75" customHeight="1">
      <c r="A51" s="1"/>
      <c r="B51" s="1" t="s">
        <v>1779</v>
      </c>
      <c r="C51" s="1"/>
      <c r="D51" s="1"/>
      <c r="E51" s="1"/>
      <c r="F51" s="1"/>
      <c r="G51" s="13">
        <v>4000.0</v>
      </c>
    </row>
    <row r="52" ht="15.75" customHeight="1">
      <c r="A52" s="1"/>
      <c r="B52" s="1" t="s">
        <v>1780</v>
      </c>
      <c r="C52" s="1"/>
      <c r="D52" s="1"/>
      <c r="E52" s="1"/>
      <c r="F52" s="1"/>
      <c r="G52" s="13">
        <v>3961.0</v>
      </c>
    </row>
    <row r="53" ht="15.75" customHeight="1">
      <c r="A53" s="1"/>
      <c r="B53" s="1" t="s">
        <v>911</v>
      </c>
      <c r="C53" s="1"/>
      <c r="D53" s="1"/>
      <c r="E53" s="1"/>
      <c r="F53" s="1"/>
      <c r="G53" s="13">
        <v>4000.0</v>
      </c>
    </row>
    <row r="54" ht="15.75" customHeight="1">
      <c r="A54" s="1"/>
      <c r="B54" s="1" t="s">
        <v>1781</v>
      </c>
      <c r="C54" s="1"/>
      <c r="D54" s="1"/>
      <c r="E54" s="1"/>
      <c r="F54" s="1"/>
      <c r="G54" s="13">
        <v>100000.0</v>
      </c>
    </row>
    <row r="55" ht="15.75" customHeight="1">
      <c r="A55" s="1"/>
      <c r="B55" s="1" t="s">
        <v>1782</v>
      </c>
      <c r="C55" s="1"/>
      <c r="D55" s="1"/>
      <c r="E55" s="1"/>
      <c r="F55" s="1"/>
      <c r="G55" s="13">
        <v>20000.0</v>
      </c>
    </row>
    <row r="56" ht="15.75" customHeight="1">
      <c r="A56" s="1"/>
      <c r="B56" s="1" t="s">
        <v>1783</v>
      </c>
      <c r="C56" s="1"/>
      <c r="D56" s="1"/>
      <c r="E56" s="1"/>
      <c r="F56" s="1"/>
      <c r="G56" s="13">
        <v>6000.0</v>
      </c>
    </row>
    <row r="57" ht="15.75" customHeight="1">
      <c r="A57" s="1"/>
      <c r="B57" s="1" t="s">
        <v>1784</v>
      </c>
      <c r="C57" s="1"/>
      <c r="D57" s="1"/>
      <c r="E57" s="1"/>
      <c r="F57" s="1"/>
      <c r="G57" s="13">
        <v>5130.0</v>
      </c>
    </row>
    <row r="58" ht="15.75" customHeight="1">
      <c r="A58" s="1"/>
      <c r="B58" s="1" t="s">
        <v>1785</v>
      </c>
      <c r="C58" s="1"/>
      <c r="D58" s="1"/>
      <c r="E58" s="1"/>
      <c r="F58" s="1"/>
      <c r="G58" s="13">
        <v>4702.0</v>
      </c>
    </row>
    <row r="59" ht="15.75" customHeight="1">
      <c r="A59" s="1"/>
      <c r="B59" s="1" t="s">
        <v>1757</v>
      </c>
      <c r="C59" s="1"/>
      <c r="D59" s="1"/>
      <c r="E59" s="1"/>
      <c r="F59" s="1"/>
      <c r="G59" s="13">
        <v>4400.0</v>
      </c>
    </row>
    <row r="60" ht="15.75" customHeight="1">
      <c r="A60" s="1"/>
      <c r="B60" s="1" t="s">
        <v>1786</v>
      </c>
      <c r="C60" s="1"/>
      <c r="D60" s="1"/>
      <c r="E60" s="1"/>
      <c r="F60" s="1"/>
      <c r="G60" s="13">
        <v>2100.0</v>
      </c>
    </row>
    <row r="61" ht="15.75" customHeight="1">
      <c r="A61" s="1"/>
      <c r="B61" s="1" t="s">
        <v>1787</v>
      </c>
      <c r="C61" s="1"/>
      <c r="D61" s="1"/>
      <c r="E61" s="1"/>
      <c r="F61" s="1"/>
      <c r="G61" s="13">
        <v>8581.0</v>
      </c>
    </row>
    <row r="62" ht="15.75" customHeight="1">
      <c r="A62" s="1"/>
      <c r="B62" s="1" t="s">
        <v>1788</v>
      </c>
      <c r="C62" s="1"/>
      <c r="D62" s="1"/>
      <c r="E62" s="1"/>
      <c r="F62" s="1"/>
      <c r="G62" s="13">
        <v>140000.0</v>
      </c>
    </row>
    <row r="63" ht="15.75" customHeight="1">
      <c r="A63" s="1"/>
      <c r="B63" s="1" t="s">
        <v>1789</v>
      </c>
      <c r="C63" s="1"/>
      <c r="D63" s="1"/>
      <c r="E63" s="1"/>
      <c r="F63" s="1"/>
      <c r="G63" s="13">
        <v>3500.0</v>
      </c>
    </row>
    <row r="64" ht="15.75" customHeight="1">
      <c r="A64" s="1"/>
      <c r="B64" s="1" t="s">
        <v>1790</v>
      </c>
      <c r="C64" s="1"/>
      <c r="D64" s="1"/>
      <c r="E64" s="1"/>
      <c r="F64" s="1"/>
      <c r="G64" s="13">
        <v>40000.0</v>
      </c>
    </row>
    <row r="65" ht="15.75" customHeight="1">
      <c r="A65" s="1"/>
      <c r="B65" s="43" t="s">
        <v>43</v>
      </c>
      <c r="C65" s="1"/>
      <c r="D65" s="1"/>
      <c r="E65" s="1"/>
      <c r="F65" s="1"/>
      <c r="G65" s="18">
        <f>SUM(G24:G64)</f>
        <v>1428418</v>
      </c>
    </row>
    <row r="66" ht="15.75" customHeight="1">
      <c r="A66" s="1"/>
      <c r="B66" s="19" t="s">
        <v>45</v>
      </c>
      <c r="C66" s="20"/>
      <c r="D66" s="20"/>
      <c r="E66" s="20"/>
      <c r="F66" s="20"/>
      <c r="G66" s="70">
        <f>SUM(G22+G65)</f>
        <v>2358218</v>
      </c>
    </row>
    <row r="67" ht="15.75" customHeight="1">
      <c r="A67" s="1"/>
      <c r="B67" s="4" t="s">
        <v>46</v>
      </c>
      <c r="C67" s="1"/>
      <c r="D67" s="1"/>
      <c r="E67" s="1"/>
      <c r="F67" s="1"/>
      <c r="G67" s="2"/>
    </row>
    <row r="68" ht="15.75" customHeight="1">
      <c r="A68" s="35" t="s">
        <v>1791</v>
      </c>
      <c r="B68" s="36"/>
      <c r="C68" s="37"/>
      <c r="D68" s="37"/>
      <c r="E68" s="37"/>
      <c r="F68" s="37"/>
      <c r="G68" s="71">
        <f>(G12-G66)</f>
        <v>1067982</v>
      </c>
    </row>
    <row r="69" ht="15.75" customHeight="1">
      <c r="A69" s="22" t="s">
        <v>254</v>
      </c>
      <c r="B69" s="43" t="s">
        <v>255</v>
      </c>
      <c r="C69" s="1"/>
      <c r="D69" s="1"/>
      <c r="E69" s="1"/>
      <c r="F69" s="1"/>
      <c r="G69" s="2"/>
    </row>
    <row r="70" ht="15.75" customHeight="1">
      <c r="A70" s="44"/>
      <c r="B70" s="1" t="s">
        <v>1792</v>
      </c>
      <c r="C70" s="1"/>
      <c r="D70" s="1"/>
      <c r="E70" s="1"/>
      <c r="F70" s="1"/>
      <c r="G70" s="13">
        <v>320000.0</v>
      </c>
    </row>
    <row r="71" ht="15.75" customHeight="1">
      <c r="A71" s="44"/>
      <c r="B71" s="1" t="s">
        <v>1793</v>
      </c>
      <c r="C71" s="1"/>
      <c r="D71" s="1"/>
      <c r="E71" s="1"/>
      <c r="F71" s="1"/>
      <c r="G71" s="13">
        <v>1277940.0</v>
      </c>
    </row>
    <row r="72" ht="15.75" customHeight="1">
      <c r="A72" s="44"/>
      <c r="B72" s="72" t="s">
        <v>51</v>
      </c>
      <c r="C72" s="27"/>
      <c r="D72" s="27"/>
      <c r="E72" s="27"/>
      <c r="F72" s="27"/>
      <c r="G72" s="73">
        <f>G70+G71</f>
        <v>1597940</v>
      </c>
    </row>
    <row r="73" ht="15.75" customHeight="1">
      <c r="A73" s="44"/>
      <c r="B73" s="44"/>
      <c r="C73" s="45" t="s">
        <v>1794</v>
      </c>
      <c r="D73" s="46"/>
      <c r="E73" s="46"/>
      <c r="F73" s="46"/>
      <c r="G73" s="47">
        <f>G2+G68-G72</f>
        <v>9555051</v>
      </c>
    </row>
    <row r="74" ht="15.75" customHeight="1">
      <c r="A74" s="1"/>
      <c r="B74" s="32" t="s">
        <v>1795</v>
      </c>
    </row>
    <row r="75" ht="15.75" customHeight="1">
      <c r="A75" s="1"/>
      <c r="B75" s="1"/>
      <c r="C75" s="1" t="s">
        <v>1270</v>
      </c>
      <c r="D75" s="1"/>
      <c r="E75" s="1"/>
      <c r="F75" s="1"/>
      <c r="G75" s="2"/>
    </row>
    <row r="76" ht="15.75" customHeight="1">
      <c r="A76" s="1"/>
      <c r="B76" s="1"/>
      <c r="C76" s="1" t="s">
        <v>1174</v>
      </c>
      <c r="D76" s="1"/>
      <c r="E76" s="1"/>
      <c r="F76" s="1"/>
      <c r="G76" s="2">
        <v>492900.0</v>
      </c>
    </row>
    <row r="77" ht="15.75" customHeight="1">
      <c r="A77" s="1"/>
      <c r="B77" s="1"/>
      <c r="C77" s="43" t="s">
        <v>115</v>
      </c>
      <c r="D77" s="1"/>
      <c r="E77" s="1"/>
      <c r="F77" s="1"/>
      <c r="G77" s="2">
        <v>492900.0</v>
      </c>
    </row>
    <row r="78" ht="15.75" customHeight="1">
      <c r="A78" s="1"/>
      <c r="B78" s="1"/>
      <c r="C78" s="43"/>
      <c r="D78" s="1"/>
      <c r="E78" s="1"/>
      <c r="F78" s="1"/>
      <c r="G78" s="2"/>
    </row>
    <row r="79" ht="15.75" customHeight="1">
      <c r="A79" s="1"/>
      <c r="B79" s="43" t="s">
        <v>1796</v>
      </c>
      <c r="C79" s="43"/>
      <c r="D79" s="1"/>
      <c r="E79" s="1"/>
      <c r="F79" s="1"/>
      <c r="G79" s="2"/>
    </row>
    <row r="80" ht="15.75" customHeight="1">
      <c r="A80" s="1"/>
      <c r="B80" s="43" t="s">
        <v>1797</v>
      </c>
      <c r="C80" s="43"/>
      <c r="D80" s="1"/>
      <c r="E80" s="1"/>
      <c r="F80" s="1"/>
      <c r="G80" s="1"/>
    </row>
    <row r="81" ht="15.75" customHeight="1">
      <c r="A81" s="1"/>
      <c r="B81" s="33" t="s">
        <v>1798</v>
      </c>
      <c r="C81" s="1"/>
      <c r="D81" s="1"/>
      <c r="E81" s="1"/>
      <c r="F81" s="1"/>
      <c r="G81" s="2"/>
    </row>
    <row r="82" ht="15.75" customHeight="1">
      <c r="A82" s="1"/>
      <c r="B82" s="33"/>
      <c r="C82" s="1"/>
      <c r="D82" s="1"/>
      <c r="E82" s="1"/>
      <c r="F82" s="1"/>
      <c r="G82" s="2"/>
      <c r="L82" s="67" t="s">
        <v>480</v>
      </c>
    </row>
    <row r="83" ht="15.75" customHeight="1">
      <c r="A83" s="1"/>
      <c r="B83" s="55" t="s">
        <v>531</v>
      </c>
      <c r="C83" s="56"/>
      <c r="D83" s="56"/>
      <c r="E83" s="56"/>
      <c r="F83" s="1"/>
      <c r="G83" s="2"/>
    </row>
    <row r="84" ht="15.75" customHeight="1">
      <c r="A84" s="1"/>
      <c r="B84" s="55"/>
      <c r="C84" s="56"/>
      <c r="D84" s="56"/>
      <c r="E84" s="56"/>
      <c r="F84" s="1"/>
      <c r="G84" s="2"/>
    </row>
    <row r="85" ht="15.75" customHeight="1">
      <c r="A85" s="1"/>
      <c r="B85" s="55" t="s">
        <v>1799</v>
      </c>
      <c r="C85" s="56"/>
      <c r="D85" s="56"/>
      <c r="E85" s="56"/>
      <c r="F85" s="1"/>
      <c r="G85" s="2"/>
    </row>
    <row r="86" ht="15.75" customHeight="1">
      <c r="A86" s="1"/>
      <c r="B86" s="55"/>
      <c r="C86" s="56"/>
      <c r="D86" s="56"/>
      <c r="E86" s="56"/>
      <c r="F86" s="1"/>
      <c r="G86" s="2"/>
    </row>
    <row r="87" ht="15.75" customHeight="1">
      <c r="A87" s="1"/>
      <c r="B87" s="55" t="s">
        <v>533</v>
      </c>
      <c r="F87" s="1"/>
      <c r="G87" s="2"/>
    </row>
    <row r="88" ht="15.75" customHeight="1">
      <c r="A88" s="1"/>
      <c r="B88" s="55"/>
      <c r="C88" s="55"/>
      <c r="D88" s="55"/>
      <c r="E88" s="55"/>
      <c r="F88" s="1"/>
      <c r="G88" s="2"/>
    </row>
    <row r="89" ht="15.75" customHeight="1">
      <c r="A89" s="1"/>
      <c r="B89" s="55" t="s">
        <v>1800</v>
      </c>
      <c r="C89" s="56"/>
      <c r="D89" s="57"/>
      <c r="E89" s="56"/>
      <c r="F89" s="1"/>
      <c r="G89" s="2"/>
    </row>
    <row r="90" ht="15.75" customHeight="1">
      <c r="A90" s="1"/>
      <c r="B90" s="55"/>
      <c r="C90" s="56"/>
      <c r="D90" s="57"/>
      <c r="E90" s="56"/>
      <c r="F90" s="1"/>
      <c r="G90" s="2"/>
    </row>
    <row r="91" ht="15.75" customHeight="1">
      <c r="A91" s="1"/>
      <c r="B91" s="55" t="s">
        <v>535</v>
      </c>
      <c r="C91" s="56"/>
      <c r="D91" s="57"/>
      <c r="E91" s="56"/>
      <c r="F91" s="1"/>
      <c r="G91" s="2"/>
    </row>
    <row r="92" ht="15.75" customHeight="1">
      <c r="A92" s="1"/>
      <c r="B92" s="55"/>
      <c r="C92" s="56"/>
      <c r="D92" s="57"/>
      <c r="E92" s="56"/>
      <c r="F92" s="1"/>
      <c r="G92" s="2"/>
    </row>
    <row r="93" ht="15.75" customHeight="1">
      <c r="B93" s="55" t="s">
        <v>536</v>
      </c>
      <c r="C93" s="56"/>
      <c r="D93" s="57"/>
      <c r="E93" s="57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1:D11"/>
    <mergeCell ref="B12:F12"/>
    <mergeCell ref="B74:G74"/>
    <mergeCell ref="B87:E87"/>
  </mergeCells>
  <printOptions/>
  <pageMargins bottom="0.75" footer="0.0" header="0.0" left="0.7" right="0.7" top="0.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1">
      <c r="A1" s="1" t="s">
        <v>721</v>
      </c>
      <c r="B1" s="3" t="s">
        <v>1801</v>
      </c>
      <c r="C1" s="1"/>
      <c r="D1" s="1"/>
      <c r="E1" s="1"/>
      <c r="F1" s="1"/>
      <c r="G1" s="2"/>
    </row>
    <row r="2">
      <c r="A2" s="1"/>
      <c r="B2" s="75" t="s">
        <v>1802</v>
      </c>
      <c r="G2" s="47">
        <v>9555051.0</v>
      </c>
    </row>
    <row r="3">
      <c r="A3" s="1"/>
      <c r="G3" s="2"/>
    </row>
    <row r="4">
      <c r="A4" s="6" t="s">
        <v>1803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117000.0</v>
      </c>
      <c r="G5" s="7">
        <v>36000.0</v>
      </c>
    </row>
    <row r="6">
      <c r="A6" s="1"/>
      <c r="B6" s="4" t="s">
        <v>64</v>
      </c>
      <c r="C6" s="1"/>
      <c r="D6" s="1"/>
      <c r="E6" s="1"/>
      <c r="F6" s="2">
        <v>448400.0</v>
      </c>
      <c r="G6" s="7">
        <v>146000.0</v>
      </c>
    </row>
    <row r="7">
      <c r="A7" s="1"/>
      <c r="B7" s="4" t="s">
        <v>65</v>
      </c>
      <c r="C7" s="1"/>
      <c r="D7" s="1"/>
      <c r="E7" s="1"/>
      <c r="F7" s="2">
        <v>500100.0</v>
      </c>
      <c r="G7" s="7">
        <v>156000.0</v>
      </c>
    </row>
    <row r="8">
      <c r="A8" s="1"/>
      <c r="B8" s="4" t="s">
        <v>66</v>
      </c>
      <c r="C8" s="1"/>
      <c r="D8" s="1"/>
      <c r="E8" s="1"/>
      <c r="F8" s="2">
        <v>344700.0</v>
      </c>
      <c r="G8" s="76">
        <v>103000.0</v>
      </c>
    </row>
    <row r="9">
      <c r="A9" s="1"/>
      <c r="B9" s="4" t="s">
        <v>67</v>
      </c>
      <c r="C9" s="1"/>
      <c r="D9" s="49" t="s">
        <v>8</v>
      </c>
      <c r="E9" s="49"/>
      <c r="F9" s="7">
        <v>277400.0</v>
      </c>
      <c r="G9" s="7">
        <v>130000.0</v>
      </c>
    </row>
    <row r="10">
      <c r="A10" s="1"/>
      <c r="B10" s="4" t="s">
        <v>1804</v>
      </c>
      <c r="C10" s="1"/>
      <c r="D10" s="49"/>
      <c r="E10" s="49"/>
      <c r="F10" s="7">
        <v>496000.0</v>
      </c>
      <c r="G10" s="7"/>
    </row>
    <row r="11">
      <c r="A11" s="1"/>
      <c r="B11" s="4"/>
      <c r="C11" s="50" t="s">
        <v>405</v>
      </c>
      <c r="E11" s="4"/>
      <c r="F11" s="2">
        <f>SUM(F5:F10)</f>
        <v>2183600</v>
      </c>
      <c r="G11" s="7">
        <f>SUM(G5:G9)</f>
        <v>571000</v>
      </c>
    </row>
    <row r="12">
      <c r="A12" s="1"/>
      <c r="B12" s="51" t="s">
        <v>9</v>
      </c>
      <c r="C12" s="52"/>
      <c r="D12" s="52"/>
      <c r="E12" s="52"/>
      <c r="F12" s="53"/>
      <c r="G12" s="68">
        <f>SUM(F11:G11)</f>
        <v>2754600</v>
      </c>
    </row>
    <row r="13">
      <c r="A13" s="6" t="s">
        <v>1805</v>
      </c>
      <c r="B13" s="1"/>
      <c r="C13" s="1"/>
      <c r="D13" s="1"/>
      <c r="E13" s="1"/>
      <c r="F13" s="1"/>
      <c r="G13" s="2"/>
    </row>
    <row r="14">
      <c r="A14" s="1"/>
      <c r="B14" s="12" t="s">
        <v>11</v>
      </c>
      <c r="C14" s="1"/>
      <c r="D14" s="1"/>
      <c r="E14" s="1"/>
      <c r="F14" s="1"/>
      <c r="G14" s="2"/>
    </row>
    <row r="15">
      <c r="A15" s="1"/>
      <c r="B15" s="4" t="s">
        <v>1806</v>
      </c>
      <c r="C15" s="1"/>
      <c r="D15" s="1"/>
      <c r="E15" s="1"/>
      <c r="F15" s="1"/>
      <c r="G15" s="2">
        <v>297600.0</v>
      </c>
    </row>
    <row r="16">
      <c r="A16" s="1"/>
      <c r="B16" s="4" t="s">
        <v>1594</v>
      </c>
      <c r="C16" s="1"/>
      <c r="D16" s="1"/>
      <c r="E16" s="1"/>
      <c r="F16" s="1"/>
      <c r="G16" s="2">
        <v>100000.0</v>
      </c>
    </row>
    <row r="17">
      <c r="A17" s="1"/>
      <c r="B17" s="4" t="s">
        <v>13</v>
      </c>
      <c r="C17" s="1"/>
      <c r="D17" s="1"/>
      <c r="E17" s="1"/>
      <c r="F17" s="1"/>
      <c r="G17" s="13">
        <v>125000.0</v>
      </c>
    </row>
    <row r="18">
      <c r="A18" s="1"/>
      <c r="B18" s="4" t="s">
        <v>14</v>
      </c>
      <c r="C18" s="1"/>
      <c r="D18" s="1"/>
      <c r="E18" s="1"/>
      <c r="F18" s="1"/>
      <c r="G18" s="13">
        <v>125000.0</v>
      </c>
    </row>
    <row r="19">
      <c r="A19" s="1"/>
      <c r="B19" s="4" t="s">
        <v>15</v>
      </c>
      <c r="C19" s="1"/>
      <c r="D19" s="1"/>
      <c r="E19" s="1"/>
      <c r="F19" s="1"/>
      <c r="G19" s="2">
        <v>100000.0</v>
      </c>
    </row>
    <row r="20">
      <c r="A20" s="1"/>
      <c r="B20" s="4" t="s">
        <v>16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17</v>
      </c>
      <c r="C21" s="1"/>
      <c r="D21" s="1"/>
      <c r="E21" s="1"/>
      <c r="F21" s="1"/>
      <c r="G21" s="2">
        <v>125000.0</v>
      </c>
    </row>
    <row r="22" ht="15.75" customHeight="1">
      <c r="A22" s="1"/>
      <c r="B22" s="9" t="s">
        <v>18</v>
      </c>
      <c r="C22" s="10"/>
      <c r="D22" s="10"/>
      <c r="E22" s="10"/>
      <c r="F22" s="10"/>
      <c r="G22" s="69">
        <f>SUM(G15:G21)</f>
        <v>952600</v>
      </c>
    </row>
    <row r="23" ht="15.75" customHeight="1">
      <c r="A23" s="1"/>
      <c r="B23" s="12" t="s">
        <v>19</v>
      </c>
      <c r="C23" s="15"/>
      <c r="D23" s="1"/>
      <c r="E23" s="1"/>
      <c r="F23" s="1"/>
      <c r="G23" s="2"/>
    </row>
    <row r="24" ht="15.75" customHeight="1">
      <c r="A24" s="1"/>
      <c r="B24" s="4" t="s">
        <v>564</v>
      </c>
      <c r="C24" s="15"/>
      <c r="D24" s="1"/>
      <c r="E24" s="1"/>
      <c r="F24" s="1"/>
      <c r="G24" s="2">
        <v>10000.0</v>
      </c>
    </row>
    <row r="25" ht="15.75" customHeight="1">
      <c r="A25" s="1"/>
      <c r="B25" s="4" t="s">
        <v>1807</v>
      </c>
      <c r="C25" s="15"/>
      <c r="D25" s="1"/>
      <c r="E25" s="1"/>
      <c r="F25" s="1"/>
      <c r="G25" s="2">
        <v>30000.0</v>
      </c>
    </row>
    <row r="26" ht="15.75" customHeight="1">
      <c r="A26" s="1"/>
      <c r="B26" s="4" t="s">
        <v>1808</v>
      </c>
      <c r="C26" s="15"/>
      <c r="D26" s="1"/>
      <c r="E26" s="1"/>
      <c r="F26" s="1"/>
      <c r="G26" s="2">
        <v>190000.0</v>
      </c>
    </row>
    <row r="27" ht="15.75" customHeight="1">
      <c r="A27" s="1"/>
      <c r="B27" s="4" t="s">
        <v>1809</v>
      </c>
      <c r="C27" s="15"/>
      <c r="D27" s="1"/>
      <c r="E27" s="1"/>
      <c r="F27" s="1"/>
      <c r="G27" s="2">
        <v>5000.0</v>
      </c>
    </row>
    <row r="28" ht="15.75" customHeight="1">
      <c r="A28" s="1"/>
      <c r="B28" s="4" t="s">
        <v>1810</v>
      </c>
      <c r="C28" s="15"/>
      <c r="D28" s="1"/>
      <c r="E28" s="1"/>
      <c r="F28" s="1"/>
      <c r="G28" s="2">
        <v>255128.0</v>
      </c>
    </row>
    <row r="29" ht="15.75" customHeight="1">
      <c r="A29" s="1"/>
      <c r="B29" s="4" t="s">
        <v>1811</v>
      </c>
      <c r="C29" s="15"/>
      <c r="D29" s="1"/>
      <c r="E29" s="1"/>
      <c r="F29" s="1"/>
      <c r="G29" s="2">
        <v>30000.0</v>
      </c>
    </row>
    <row r="30" ht="15.75" customHeight="1">
      <c r="A30" s="1"/>
      <c r="B30" s="4" t="s">
        <v>875</v>
      </c>
      <c r="C30" s="15"/>
      <c r="D30" s="1"/>
      <c r="E30" s="1"/>
      <c r="F30" s="1"/>
      <c r="G30" s="2">
        <v>5000.0</v>
      </c>
    </row>
    <row r="31" ht="15.75" customHeight="1">
      <c r="A31" s="1"/>
      <c r="B31" s="4" t="s">
        <v>1812</v>
      </c>
      <c r="C31" s="15"/>
      <c r="D31" s="1"/>
      <c r="E31" s="1"/>
      <c r="F31" s="1"/>
      <c r="G31" s="2">
        <v>125000.0</v>
      </c>
    </row>
    <row r="32" ht="15.75" customHeight="1">
      <c r="A32" s="1"/>
      <c r="B32" s="4" t="s">
        <v>1813</v>
      </c>
      <c r="C32" s="15"/>
      <c r="D32" s="1"/>
      <c r="E32" s="1"/>
      <c r="F32" s="1"/>
      <c r="G32" s="2">
        <v>29525.0</v>
      </c>
    </row>
    <row r="33" ht="15.75" customHeight="1">
      <c r="A33" s="1"/>
      <c r="B33" s="4" t="s">
        <v>1814</v>
      </c>
      <c r="C33" s="15"/>
      <c r="D33" s="1"/>
      <c r="E33" s="1"/>
      <c r="F33" s="1"/>
      <c r="G33" s="2">
        <v>15000.0</v>
      </c>
    </row>
    <row r="34" ht="15.75" customHeight="1">
      <c r="A34" s="1"/>
      <c r="B34" s="4" t="s">
        <v>1815</v>
      </c>
      <c r="C34" s="15"/>
      <c r="D34" s="1"/>
      <c r="E34" s="1"/>
      <c r="F34" s="1"/>
      <c r="G34" s="2">
        <v>108000.0</v>
      </c>
    </row>
    <row r="35" ht="15.75" customHeight="1">
      <c r="A35" s="1"/>
      <c r="B35" s="4" t="s">
        <v>282</v>
      </c>
      <c r="C35" s="15"/>
      <c r="D35" s="1"/>
      <c r="E35" s="1"/>
      <c r="F35" s="1"/>
      <c r="G35" s="2">
        <v>100000.0</v>
      </c>
    </row>
    <row r="36" ht="15.75" customHeight="1">
      <c r="A36" s="1"/>
      <c r="B36" s="4" t="s">
        <v>1816</v>
      </c>
      <c r="C36" s="15"/>
      <c r="D36" s="1"/>
      <c r="E36" s="1"/>
      <c r="F36" s="1"/>
      <c r="G36" s="2">
        <v>40000.0</v>
      </c>
    </row>
    <row r="37" ht="15.75" customHeight="1">
      <c r="A37" s="1"/>
      <c r="B37" s="4" t="s">
        <v>1817</v>
      </c>
      <c r="C37" s="15"/>
      <c r="D37" s="1"/>
      <c r="E37" s="1"/>
      <c r="F37" s="1"/>
      <c r="G37" s="2">
        <v>350000.0</v>
      </c>
      <c r="I37" s="67" t="s">
        <v>480</v>
      </c>
    </row>
    <row r="38" ht="15.75" customHeight="1">
      <c r="A38" s="1"/>
      <c r="B38" s="4" t="s">
        <v>1818</v>
      </c>
      <c r="C38" s="15"/>
      <c r="D38" s="1"/>
      <c r="E38" s="1"/>
      <c r="F38" s="1"/>
      <c r="G38" s="2">
        <v>5000.0</v>
      </c>
    </row>
    <row r="39" ht="15.75" customHeight="1">
      <c r="A39" s="1"/>
      <c r="B39" s="4" t="s">
        <v>1819</v>
      </c>
      <c r="C39" s="15"/>
      <c r="D39" s="1"/>
      <c r="E39" s="1"/>
      <c r="F39" s="1"/>
      <c r="G39" s="2">
        <v>3000.0</v>
      </c>
    </row>
    <row r="40" ht="15.75" customHeight="1">
      <c r="A40" s="1"/>
      <c r="B40" s="4" t="s">
        <v>1820</v>
      </c>
      <c r="C40" s="15"/>
      <c r="D40" s="1"/>
      <c r="E40" s="1"/>
      <c r="F40" s="1"/>
      <c r="G40" s="2">
        <v>10000.0</v>
      </c>
    </row>
    <row r="41" ht="15.75" customHeight="1">
      <c r="A41" s="1"/>
      <c r="B41" s="4" t="s">
        <v>1821</v>
      </c>
      <c r="C41" s="15"/>
      <c r="D41" s="1"/>
      <c r="E41" s="1"/>
      <c r="F41" s="1"/>
      <c r="G41" s="2">
        <v>13570.0</v>
      </c>
    </row>
    <row r="42" ht="15.75" customHeight="1">
      <c r="A42" s="1"/>
      <c r="B42" s="1"/>
      <c r="C42" s="1"/>
      <c r="D42" s="1"/>
      <c r="E42" s="1"/>
      <c r="F42" s="1"/>
      <c r="G42" s="13"/>
    </row>
    <row r="43" ht="15.75" customHeight="1">
      <c r="A43" s="1"/>
      <c r="B43" s="43" t="s">
        <v>43</v>
      </c>
      <c r="C43" s="1"/>
      <c r="D43" s="1"/>
      <c r="E43" s="1"/>
      <c r="F43" s="1"/>
      <c r="G43" s="18">
        <f>SUM(G24:G42)</f>
        <v>1324223</v>
      </c>
    </row>
    <row r="44" ht="15.75" customHeight="1">
      <c r="A44" s="1"/>
      <c r="B44" s="19" t="s">
        <v>45</v>
      </c>
      <c r="C44" s="20"/>
      <c r="D44" s="20"/>
      <c r="E44" s="20"/>
      <c r="F44" s="20"/>
      <c r="G44" s="70">
        <f>SUM(G22+G43)</f>
        <v>2276823</v>
      </c>
    </row>
    <row r="45" ht="15.75" customHeight="1">
      <c r="A45" s="1"/>
      <c r="B45" s="4" t="s">
        <v>46</v>
      </c>
      <c r="C45" s="1"/>
      <c r="D45" s="1"/>
      <c r="E45" s="1"/>
      <c r="F45" s="1"/>
      <c r="G45" s="2"/>
    </row>
    <row r="46" ht="15.75" customHeight="1">
      <c r="A46" s="35" t="s">
        <v>1822</v>
      </c>
      <c r="B46" s="36"/>
      <c r="C46" s="37"/>
      <c r="D46" s="37"/>
      <c r="E46" s="37"/>
      <c r="F46" s="37"/>
      <c r="G46" s="71">
        <f>(G12-G44)</f>
        <v>477777</v>
      </c>
    </row>
    <row r="47" ht="15.75" customHeight="1">
      <c r="A47" s="22" t="s">
        <v>254</v>
      </c>
      <c r="B47" s="43" t="s">
        <v>255</v>
      </c>
      <c r="C47" s="1"/>
      <c r="D47" s="1"/>
      <c r="E47" s="1"/>
      <c r="F47" s="1"/>
      <c r="G47" s="2"/>
    </row>
    <row r="48" ht="15.75" customHeight="1">
      <c r="A48" s="44"/>
      <c r="B48" s="1"/>
      <c r="C48" s="1"/>
      <c r="D48" s="1"/>
      <c r="E48" s="1"/>
      <c r="F48" s="1"/>
      <c r="G48" s="13"/>
    </row>
    <row r="49" ht="15.75" customHeight="1">
      <c r="A49" s="44"/>
      <c r="B49" s="1"/>
      <c r="C49" s="1"/>
      <c r="D49" s="1"/>
      <c r="E49" s="1"/>
      <c r="F49" s="1"/>
      <c r="G49" s="13"/>
    </row>
    <row r="50" ht="15.75" customHeight="1">
      <c r="A50" s="44"/>
      <c r="B50" s="72" t="s">
        <v>51</v>
      </c>
      <c r="C50" s="27"/>
      <c r="D50" s="27"/>
      <c r="E50" s="27"/>
      <c r="F50" s="27"/>
      <c r="G50" s="73">
        <f>G48+G49</f>
        <v>0</v>
      </c>
    </row>
    <row r="51" ht="15.75" customHeight="1">
      <c r="A51" s="44"/>
      <c r="B51" s="44"/>
      <c r="C51" s="45" t="s">
        <v>1823</v>
      </c>
      <c r="D51" s="46"/>
      <c r="E51" s="46"/>
      <c r="F51" s="46"/>
      <c r="G51" s="47">
        <f>G2+G46-G50</f>
        <v>10032828</v>
      </c>
    </row>
    <row r="52" ht="15.75" customHeight="1">
      <c r="A52" s="1"/>
      <c r="B52" s="32" t="s">
        <v>1824</v>
      </c>
    </row>
    <row r="53" ht="15.75" customHeight="1">
      <c r="A53" s="1"/>
      <c r="B53" s="1"/>
      <c r="C53" s="1" t="s">
        <v>1270</v>
      </c>
      <c r="D53" s="1"/>
      <c r="E53" s="1"/>
      <c r="F53" s="1"/>
      <c r="G53" s="2"/>
    </row>
    <row r="54" ht="15.75" customHeight="1">
      <c r="A54" s="1"/>
      <c r="B54" s="1"/>
      <c r="C54" s="1" t="s">
        <v>1314</v>
      </c>
      <c r="D54" s="1"/>
      <c r="E54" s="1"/>
      <c r="F54" s="1"/>
      <c r="G54" s="2">
        <v>463200.0</v>
      </c>
    </row>
    <row r="55" ht="15.75" customHeight="1">
      <c r="A55" s="1"/>
      <c r="B55" s="1"/>
      <c r="C55" s="43" t="s">
        <v>115</v>
      </c>
      <c r="D55" s="1"/>
      <c r="E55" s="1"/>
      <c r="F55" s="1"/>
      <c r="G55" s="2">
        <v>463200.0</v>
      </c>
    </row>
    <row r="56" ht="15.75" customHeight="1">
      <c r="A56" s="1"/>
      <c r="B56" s="1"/>
      <c r="C56" s="43"/>
      <c r="D56" s="1"/>
      <c r="E56" s="1"/>
      <c r="F56" s="1"/>
      <c r="G56" s="2"/>
    </row>
    <row r="57" ht="15.75" customHeight="1">
      <c r="A57" s="1"/>
      <c r="B57" s="43" t="s">
        <v>1825</v>
      </c>
      <c r="C57" s="43"/>
      <c r="D57" s="1"/>
      <c r="E57" s="1"/>
      <c r="F57" s="1"/>
      <c r="G57" s="2"/>
    </row>
    <row r="58" ht="15.75" customHeight="1">
      <c r="A58" s="1"/>
      <c r="B58" s="43" t="s">
        <v>1826</v>
      </c>
      <c r="C58" s="43"/>
      <c r="D58" s="1"/>
      <c r="E58" s="1"/>
      <c r="F58" s="1"/>
      <c r="G58" s="1"/>
    </row>
    <row r="59" ht="15.75" customHeight="1">
      <c r="A59" s="1"/>
      <c r="B59" s="33" t="s">
        <v>1827</v>
      </c>
      <c r="C59" s="1"/>
      <c r="D59" s="1"/>
      <c r="E59" s="1"/>
      <c r="F59" s="1"/>
      <c r="G59" s="2"/>
    </row>
    <row r="60" ht="15.75" customHeight="1">
      <c r="A60" s="1"/>
      <c r="B60" s="33"/>
      <c r="C60" s="1"/>
      <c r="D60" s="1"/>
      <c r="E60" s="1"/>
      <c r="F60" s="1"/>
      <c r="G60" s="2"/>
    </row>
    <row r="61" ht="15.75" customHeight="1">
      <c r="A61" s="1"/>
      <c r="B61" s="55" t="s">
        <v>531</v>
      </c>
      <c r="C61" s="56"/>
      <c r="D61" s="56"/>
      <c r="E61" s="56"/>
      <c r="F61" s="1"/>
      <c r="G61" s="2"/>
    </row>
    <row r="62" ht="15.75" customHeight="1">
      <c r="A62" s="1"/>
      <c r="B62" s="55"/>
      <c r="C62" s="56"/>
      <c r="D62" s="56"/>
      <c r="E62" s="56"/>
      <c r="F62" s="1"/>
      <c r="G62" s="2"/>
    </row>
    <row r="63" ht="15.75" customHeight="1">
      <c r="A63" s="1"/>
      <c r="B63" s="55" t="s">
        <v>1828</v>
      </c>
      <c r="C63" s="56"/>
      <c r="D63" s="56"/>
      <c r="E63" s="56"/>
      <c r="F63" s="1"/>
      <c r="G63" s="2"/>
    </row>
    <row r="64" ht="15.75" customHeight="1">
      <c r="A64" s="1"/>
      <c r="B64" s="55"/>
      <c r="C64" s="56"/>
      <c r="D64" s="56"/>
      <c r="E64" s="56"/>
      <c r="F64" s="1"/>
      <c r="G64" s="2"/>
    </row>
    <row r="65" ht="15.75" customHeight="1">
      <c r="A65" s="1"/>
      <c r="B65" s="55" t="s">
        <v>533</v>
      </c>
      <c r="F65" s="1"/>
      <c r="G65" s="2"/>
    </row>
    <row r="66" ht="15.75" customHeight="1">
      <c r="A66" s="1"/>
      <c r="B66" s="55"/>
      <c r="C66" s="55"/>
      <c r="D66" s="55"/>
      <c r="E66" s="55"/>
      <c r="F66" s="1"/>
      <c r="G66" s="2"/>
    </row>
    <row r="67" ht="15.75" customHeight="1">
      <c r="A67" s="1"/>
      <c r="B67" s="55" t="s">
        <v>1829</v>
      </c>
      <c r="C67" s="56"/>
      <c r="D67" s="57"/>
      <c r="E67" s="56"/>
      <c r="F67" s="1"/>
      <c r="G67" s="2"/>
    </row>
    <row r="68" ht="15.75" customHeight="1">
      <c r="A68" s="1"/>
      <c r="B68" s="55"/>
      <c r="C68" s="56"/>
      <c r="D68" s="57"/>
      <c r="E68" s="56"/>
      <c r="F68" s="1"/>
      <c r="G68" s="2"/>
    </row>
    <row r="69" ht="15.75" customHeight="1">
      <c r="A69" s="1"/>
      <c r="B69" s="55" t="s">
        <v>535</v>
      </c>
      <c r="C69" s="56"/>
      <c r="D69" s="57"/>
      <c r="E69" s="56"/>
      <c r="F69" s="1"/>
      <c r="G69" s="2"/>
    </row>
    <row r="70" ht="15.75" customHeight="1">
      <c r="A70" s="1"/>
      <c r="B70" s="55"/>
      <c r="C70" s="56"/>
      <c r="D70" s="57"/>
      <c r="E70" s="56"/>
      <c r="F70" s="1"/>
      <c r="G70" s="2"/>
    </row>
    <row r="71" ht="15.75" customHeight="1">
      <c r="B71" s="55" t="s">
        <v>536</v>
      </c>
      <c r="C71" s="56"/>
      <c r="D71" s="57"/>
      <c r="E71" s="57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1:D11"/>
    <mergeCell ref="B12:F12"/>
    <mergeCell ref="B52:G52"/>
    <mergeCell ref="B65:E65"/>
  </mergeCells>
  <printOptions/>
  <pageMargins bottom="0.75" footer="0.0" header="0.0" left="0.7" right="0.7" top="0.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1">
      <c r="A1" s="1" t="s">
        <v>721</v>
      </c>
      <c r="B1" s="3" t="s">
        <v>1830</v>
      </c>
      <c r="C1" s="1"/>
      <c r="D1" s="1"/>
      <c r="E1" s="1"/>
      <c r="F1" s="1"/>
      <c r="G1" s="2"/>
    </row>
    <row r="2">
      <c r="A2" s="1"/>
      <c r="B2" s="75" t="s">
        <v>1831</v>
      </c>
      <c r="G2" s="47">
        <v>1.0032828E7</v>
      </c>
    </row>
    <row r="3">
      <c r="A3" s="1"/>
      <c r="G3" s="2"/>
    </row>
    <row r="4">
      <c r="A4" s="6" t="s">
        <v>1832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237000.0</v>
      </c>
      <c r="G5" s="7">
        <v>74000.0</v>
      </c>
    </row>
    <row r="6">
      <c r="A6" s="1"/>
      <c r="B6" s="4" t="s">
        <v>64</v>
      </c>
      <c r="C6" s="1"/>
      <c r="D6" s="1"/>
      <c r="E6" s="1"/>
      <c r="F6" s="2">
        <v>420900.0</v>
      </c>
      <c r="G6" s="7">
        <v>202000.0</v>
      </c>
    </row>
    <row r="7">
      <c r="A7" s="1"/>
      <c r="B7" s="4" t="s">
        <v>65</v>
      </c>
      <c r="C7" s="1"/>
      <c r="D7" s="1"/>
      <c r="E7" s="1"/>
      <c r="F7" s="2">
        <v>381000.0</v>
      </c>
      <c r="G7" s="7">
        <v>146000.0</v>
      </c>
    </row>
    <row r="8">
      <c r="A8" s="1"/>
      <c r="B8" s="4" t="s">
        <v>66</v>
      </c>
      <c r="C8" s="1"/>
      <c r="D8" s="1"/>
      <c r="E8" s="1"/>
      <c r="F8" s="2">
        <v>171200.0</v>
      </c>
      <c r="G8" s="76">
        <v>140000.0</v>
      </c>
    </row>
    <row r="9">
      <c r="A9" s="1"/>
      <c r="B9" s="4" t="s">
        <v>67</v>
      </c>
      <c r="C9" s="1"/>
      <c r="D9" s="49" t="s">
        <v>8</v>
      </c>
      <c r="E9" s="49"/>
      <c r="F9" s="7">
        <v>271100.0</v>
      </c>
      <c r="G9" s="7">
        <v>67000.0</v>
      </c>
    </row>
    <row r="10">
      <c r="A10" s="1"/>
      <c r="B10" s="4" t="s">
        <v>1833</v>
      </c>
      <c r="C10" s="1"/>
      <c r="D10" s="49"/>
      <c r="E10" s="49"/>
      <c r="F10" s="7">
        <v>436500.0</v>
      </c>
      <c r="G10" s="7"/>
    </row>
    <row r="11">
      <c r="A11" s="1"/>
      <c r="B11" s="4"/>
      <c r="C11" s="50" t="s">
        <v>405</v>
      </c>
      <c r="E11" s="4"/>
      <c r="F11" s="2">
        <f>SUM(F5:F10)</f>
        <v>1917700</v>
      </c>
      <c r="G11" s="7">
        <f>SUM(G5:G9)</f>
        <v>629000</v>
      </c>
    </row>
    <row r="12">
      <c r="A12" s="1"/>
      <c r="B12" s="51" t="s">
        <v>9</v>
      </c>
      <c r="C12" s="52"/>
      <c r="D12" s="52"/>
      <c r="E12" s="52"/>
      <c r="F12" s="53"/>
      <c r="G12" s="68">
        <f>SUM(F11:G11)</f>
        <v>2546700</v>
      </c>
    </row>
    <row r="13">
      <c r="A13" s="6" t="s">
        <v>1834</v>
      </c>
      <c r="B13" s="1"/>
      <c r="C13" s="1"/>
      <c r="D13" s="1"/>
      <c r="E13" s="1"/>
      <c r="F13" s="1"/>
      <c r="G13" s="2"/>
    </row>
    <row r="14">
      <c r="A14" s="1"/>
      <c r="B14" s="12" t="s">
        <v>11</v>
      </c>
      <c r="C14" s="1"/>
      <c r="D14" s="1"/>
      <c r="E14" s="1"/>
      <c r="F14" s="1"/>
      <c r="G14" s="2"/>
    </row>
    <row r="15">
      <c r="A15" s="1"/>
      <c r="B15" s="4" t="s">
        <v>1835</v>
      </c>
      <c r="C15" s="1"/>
      <c r="D15" s="1"/>
      <c r="E15" s="1"/>
      <c r="F15" s="1"/>
      <c r="G15" s="2">
        <v>261900.0</v>
      </c>
    </row>
    <row r="16">
      <c r="A16" s="1"/>
      <c r="B16" s="4" t="s">
        <v>1594</v>
      </c>
      <c r="C16" s="1"/>
      <c r="D16" s="1"/>
      <c r="E16" s="1"/>
      <c r="F16" s="1"/>
      <c r="G16" s="2">
        <v>100000.0</v>
      </c>
    </row>
    <row r="17">
      <c r="A17" s="1"/>
      <c r="B17" s="4" t="s">
        <v>13</v>
      </c>
      <c r="C17" s="1"/>
      <c r="D17" s="1"/>
      <c r="E17" s="1"/>
      <c r="F17" s="1"/>
      <c r="G17" s="13">
        <v>125000.0</v>
      </c>
    </row>
    <row r="18">
      <c r="A18" s="1"/>
      <c r="B18" s="4" t="s">
        <v>14</v>
      </c>
      <c r="C18" s="1"/>
      <c r="D18" s="1"/>
      <c r="E18" s="1"/>
      <c r="F18" s="1"/>
      <c r="G18" s="13">
        <v>125000.0</v>
      </c>
    </row>
    <row r="19">
      <c r="A19" s="1"/>
      <c r="B19" s="4" t="s">
        <v>15</v>
      </c>
      <c r="C19" s="1"/>
      <c r="D19" s="1"/>
      <c r="E19" s="1"/>
      <c r="F19" s="1"/>
      <c r="G19" s="2">
        <v>100000.0</v>
      </c>
    </row>
    <row r="20">
      <c r="A20" s="1"/>
      <c r="B20" s="4" t="s">
        <v>16</v>
      </c>
      <c r="C20" s="1"/>
      <c r="D20" s="1"/>
      <c r="E20" s="1"/>
      <c r="F20" s="1"/>
      <c r="G20" s="2">
        <v>80000.0</v>
      </c>
    </row>
    <row r="21" ht="15.75" customHeight="1">
      <c r="A21" s="1"/>
      <c r="B21" s="4" t="s">
        <v>17</v>
      </c>
      <c r="C21" s="1"/>
      <c r="D21" s="1"/>
      <c r="E21" s="1"/>
      <c r="F21" s="1"/>
      <c r="G21" s="2">
        <v>0.0</v>
      </c>
    </row>
    <row r="22" ht="15.75" customHeight="1">
      <c r="A22" s="1"/>
      <c r="B22" s="4" t="s">
        <v>1836</v>
      </c>
      <c r="C22" s="1"/>
      <c r="D22" s="1"/>
      <c r="E22" s="1"/>
      <c r="F22" s="1"/>
      <c r="G22" s="2">
        <v>100000.0</v>
      </c>
    </row>
    <row r="23" ht="15.75" customHeight="1">
      <c r="A23" s="1"/>
      <c r="B23" s="9" t="s">
        <v>18</v>
      </c>
      <c r="C23" s="10"/>
      <c r="D23" s="10"/>
      <c r="E23" s="10"/>
      <c r="F23" s="10"/>
      <c r="G23" s="69">
        <f>SUM(G15:G22)</f>
        <v>891900</v>
      </c>
    </row>
    <row r="24" ht="15.75" customHeight="1">
      <c r="A24" s="1"/>
      <c r="B24" s="12" t="s">
        <v>19</v>
      </c>
      <c r="C24" s="15"/>
      <c r="D24" s="1"/>
      <c r="E24" s="1"/>
      <c r="F24" s="1"/>
      <c r="G24" s="2"/>
    </row>
    <row r="25" ht="15.75" customHeight="1">
      <c r="A25" s="1"/>
      <c r="B25" s="4" t="s">
        <v>1022</v>
      </c>
      <c r="C25" s="15"/>
      <c r="D25" s="1"/>
      <c r="E25" s="1"/>
      <c r="F25" s="1"/>
      <c r="G25" s="2">
        <v>1025.0</v>
      </c>
    </row>
    <row r="26" ht="15.75" customHeight="1">
      <c r="A26" s="1"/>
      <c r="B26" s="4" t="s">
        <v>1837</v>
      </c>
      <c r="C26" s="15"/>
      <c r="D26" s="1"/>
      <c r="E26" s="1"/>
      <c r="F26" s="1"/>
      <c r="G26" s="2">
        <v>35000.0</v>
      </c>
    </row>
    <row r="27" ht="15.75" customHeight="1">
      <c r="A27" s="1"/>
      <c r="B27" s="4" t="s">
        <v>1838</v>
      </c>
      <c r="C27" s="15"/>
      <c r="D27" s="1"/>
      <c r="E27" s="1"/>
      <c r="F27" s="1"/>
      <c r="G27" s="2">
        <v>60000.0</v>
      </c>
    </row>
    <row r="28" ht="15.75" customHeight="1">
      <c r="A28" s="1"/>
      <c r="B28" s="4" t="s">
        <v>652</v>
      </c>
      <c r="C28" s="15"/>
      <c r="D28" s="1"/>
      <c r="E28" s="1"/>
      <c r="F28" s="1"/>
      <c r="G28" s="2">
        <v>8000.0</v>
      </c>
    </row>
    <row r="29" ht="15.75" customHeight="1">
      <c r="A29" s="1"/>
      <c r="B29" s="4" t="s">
        <v>1839</v>
      </c>
      <c r="C29" s="15"/>
      <c r="D29" s="1"/>
      <c r="E29" s="1"/>
      <c r="F29" s="1"/>
      <c r="G29" s="2">
        <v>5500.0</v>
      </c>
    </row>
    <row r="30" ht="15.75" customHeight="1">
      <c r="A30" s="1"/>
      <c r="B30" s="4" t="s">
        <v>1840</v>
      </c>
      <c r="C30" s="15"/>
      <c r="D30" s="1"/>
      <c r="E30" s="1"/>
      <c r="F30" s="1"/>
      <c r="G30" s="2">
        <v>30000.0</v>
      </c>
    </row>
    <row r="31" ht="15.75" customHeight="1">
      <c r="A31" s="1"/>
      <c r="B31" s="4" t="s">
        <v>1841</v>
      </c>
      <c r="C31" s="15"/>
      <c r="D31" s="1"/>
      <c r="E31" s="1"/>
      <c r="F31" s="1"/>
      <c r="G31" s="2">
        <v>141600.0</v>
      </c>
    </row>
    <row r="32" ht="15.75" customHeight="1">
      <c r="A32" s="1"/>
      <c r="B32" s="4" t="s">
        <v>202</v>
      </c>
      <c r="C32" s="15"/>
      <c r="D32" s="1"/>
      <c r="E32" s="1"/>
      <c r="F32" s="1"/>
      <c r="G32" s="2">
        <v>15000.0</v>
      </c>
    </row>
    <row r="33" ht="15.75" customHeight="1">
      <c r="A33" s="1"/>
      <c r="B33" s="4" t="s">
        <v>1842</v>
      </c>
      <c r="C33" s="15"/>
      <c r="D33" s="1"/>
      <c r="E33" s="1"/>
      <c r="F33" s="1"/>
      <c r="G33" s="2">
        <v>5000.0</v>
      </c>
    </row>
    <row r="34" ht="15.75" customHeight="1">
      <c r="A34" s="1"/>
      <c r="B34" s="4" t="s">
        <v>1843</v>
      </c>
      <c r="C34" s="15"/>
      <c r="D34" s="1"/>
      <c r="E34" s="1"/>
      <c r="F34" s="1"/>
      <c r="G34" s="2">
        <v>7000.0</v>
      </c>
    </row>
    <row r="35" ht="15.75" customHeight="1">
      <c r="A35" s="1"/>
      <c r="B35" s="4" t="s">
        <v>1844</v>
      </c>
      <c r="C35" s="15"/>
      <c r="D35" s="1"/>
      <c r="E35" s="1"/>
      <c r="F35" s="1"/>
      <c r="G35" s="2">
        <v>10000.0</v>
      </c>
    </row>
    <row r="36" ht="15.75" customHeight="1">
      <c r="A36" s="1"/>
      <c r="B36" s="4" t="s">
        <v>652</v>
      </c>
      <c r="C36" s="15"/>
      <c r="D36" s="1"/>
      <c r="E36" s="1"/>
      <c r="F36" s="1"/>
      <c r="G36" s="2">
        <v>8000.0</v>
      </c>
    </row>
    <row r="37" ht="15.75" customHeight="1">
      <c r="A37" s="1"/>
      <c r="B37" s="4" t="s">
        <v>1845</v>
      </c>
      <c r="C37" s="15"/>
      <c r="D37" s="1"/>
      <c r="E37" s="1"/>
      <c r="F37" s="1"/>
      <c r="G37" s="2">
        <v>193500.0</v>
      </c>
    </row>
    <row r="38" ht="15.75" customHeight="1">
      <c r="A38" s="1"/>
      <c r="B38" s="4" t="s">
        <v>1092</v>
      </c>
      <c r="C38" s="15"/>
      <c r="D38" s="1"/>
      <c r="E38" s="1"/>
      <c r="F38" s="1"/>
      <c r="G38" s="2">
        <v>5000.0</v>
      </c>
    </row>
    <row r="39" ht="15.75" customHeight="1">
      <c r="A39" s="1"/>
      <c r="B39" s="4" t="s">
        <v>1846</v>
      </c>
      <c r="C39" s="15"/>
      <c r="D39" s="1"/>
      <c r="E39" s="1"/>
      <c r="F39" s="1"/>
      <c r="G39" s="2">
        <v>75000.0</v>
      </c>
    </row>
    <row r="40" ht="15.75" customHeight="1">
      <c r="A40" s="1"/>
      <c r="B40" s="4" t="s">
        <v>1847</v>
      </c>
      <c r="C40" s="15"/>
      <c r="D40" s="1"/>
      <c r="E40" s="1"/>
      <c r="F40" s="1"/>
      <c r="G40" s="2">
        <v>125000.0</v>
      </c>
    </row>
    <row r="41" ht="15.75" customHeight="1">
      <c r="A41" s="1"/>
      <c r="B41" s="4" t="s">
        <v>1848</v>
      </c>
      <c r="C41" s="15"/>
      <c r="D41" s="1"/>
      <c r="E41" s="1"/>
      <c r="F41" s="1"/>
      <c r="G41" s="2">
        <v>50000.0</v>
      </c>
      <c r="J41" s="67" t="s">
        <v>480</v>
      </c>
    </row>
    <row r="42" ht="15.75" customHeight="1">
      <c r="A42" s="1"/>
      <c r="B42" s="4" t="s">
        <v>1849</v>
      </c>
      <c r="C42" s="15"/>
      <c r="D42" s="1"/>
      <c r="E42" s="1"/>
      <c r="F42" s="1"/>
      <c r="G42" s="2">
        <v>90000.0</v>
      </c>
    </row>
    <row r="43" ht="15.75" customHeight="1">
      <c r="A43" s="1"/>
      <c r="B43" s="4" t="s">
        <v>1850</v>
      </c>
      <c r="C43" s="15"/>
      <c r="D43" s="1"/>
      <c r="E43" s="1"/>
      <c r="F43" s="1"/>
      <c r="G43" s="2">
        <v>74600.0</v>
      </c>
    </row>
    <row r="44" ht="15.75" customHeight="1">
      <c r="A44" s="1"/>
      <c r="B44" s="1" t="s">
        <v>1851</v>
      </c>
      <c r="C44" s="1"/>
      <c r="D44" s="1"/>
      <c r="E44" s="1"/>
      <c r="F44" s="1"/>
      <c r="G44" s="13">
        <v>139793.0</v>
      </c>
    </row>
    <row r="45" ht="15.75" customHeight="1">
      <c r="A45" s="1"/>
      <c r="B45" s="1" t="s">
        <v>1852</v>
      </c>
      <c r="C45" s="1"/>
      <c r="D45" s="1"/>
      <c r="E45" s="1"/>
      <c r="F45" s="1"/>
      <c r="G45" s="13">
        <v>1786.0</v>
      </c>
    </row>
    <row r="46" ht="15.75" customHeight="1">
      <c r="A46" s="1"/>
      <c r="B46" s="1" t="s">
        <v>1853</v>
      </c>
      <c r="C46" s="1"/>
      <c r="D46" s="1"/>
      <c r="E46" s="1"/>
      <c r="F46" s="1"/>
      <c r="G46" s="13">
        <v>1530.0</v>
      </c>
    </row>
    <row r="47" ht="15.75" customHeight="1">
      <c r="A47" s="1"/>
      <c r="B47" s="1" t="s">
        <v>1854</v>
      </c>
      <c r="C47" s="1"/>
      <c r="D47" s="1"/>
      <c r="E47" s="1"/>
      <c r="F47" s="1"/>
      <c r="G47" s="13">
        <v>2500.0</v>
      </c>
    </row>
    <row r="48" ht="15.75" customHeight="1">
      <c r="A48" s="1"/>
      <c r="B48" s="1" t="s">
        <v>1855</v>
      </c>
      <c r="C48" s="1"/>
      <c r="D48" s="1"/>
      <c r="E48" s="1"/>
      <c r="F48" s="1"/>
      <c r="G48" s="13">
        <v>100000.0</v>
      </c>
    </row>
    <row r="49" ht="15.75" customHeight="1">
      <c r="A49" s="1"/>
      <c r="B49" s="1" t="s">
        <v>1856</v>
      </c>
      <c r="C49" s="1"/>
      <c r="D49" s="1"/>
      <c r="E49" s="1"/>
      <c r="F49" s="1"/>
      <c r="G49" s="13">
        <v>65250.0</v>
      </c>
    </row>
    <row r="50" ht="15.75" customHeight="1">
      <c r="A50" s="1"/>
      <c r="B50" s="1" t="s">
        <v>1857</v>
      </c>
      <c r="C50" s="1"/>
      <c r="D50" s="1"/>
      <c r="E50" s="1"/>
      <c r="F50" s="1"/>
      <c r="G50" s="13">
        <v>3736.0</v>
      </c>
    </row>
    <row r="51" ht="15.75" customHeight="1">
      <c r="A51" s="1"/>
      <c r="B51" s="1" t="s">
        <v>1858</v>
      </c>
      <c r="C51" s="1"/>
      <c r="D51" s="1"/>
      <c r="E51" s="1"/>
      <c r="F51" s="1"/>
      <c r="G51" s="13">
        <v>17207.0</v>
      </c>
    </row>
    <row r="52" ht="15.75" customHeight="1">
      <c r="A52" s="1"/>
      <c r="B52" s="1" t="s">
        <v>1859</v>
      </c>
      <c r="C52" s="1"/>
      <c r="D52" s="1"/>
      <c r="E52" s="1"/>
      <c r="F52" s="1"/>
      <c r="G52" s="13">
        <v>8000.0</v>
      </c>
    </row>
    <row r="53" ht="15.75" customHeight="1">
      <c r="A53" s="1"/>
      <c r="B53" s="1" t="s">
        <v>1860</v>
      </c>
      <c r="C53" s="1"/>
      <c r="D53" s="1"/>
      <c r="E53" s="1"/>
      <c r="F53" s="1"/>
      <c r="G53" s="13">
        <v>1500.0</v>
      </c>
    </row>
    <row r="54" ht="15.75" customHeight="1">
      <c r="A54" s="1"/>
      <c r="B54" s="1" t="s">
        <v>1861</v>
      </c>
      <c r="C54" s="1"/>
      <c r="D54" s="1"/>
      <c r="E54" s="1"/>
      <c r="F54" s="1"/>
      <c r="G54" s="13">
        <v>300.0</v>
      </c>
    </row>
    <row r="55" ht="15.75" customHeight="1">
      <c r="A55" s="1"/>
      <c r="B55" s="1" t="s">
        <v>652</v>
      </c>
      <c r="C55" s="1"/>
      <c r="D55" s="1"/>
      <c r="E55" s="1"/>
      <c r="F55" s="1"/>
      <c r="G55" s="13">
        <v>8000.0</v>
      </c>
    </row>
    <row r="56" ht="15.75" customHeight="1">
      <c r="A56" s="1"/>
      <c r="B56" s="1" t="s">
        <v>1862</v>
      </c>
      <c r="C56" s="1"/>
      <c r="D56" s="1"/>
      <c r="E56" s="1"/>
      <c r="F56" s="1"/>
      <c r="G56" s="13">
        <v>350.0</v>
      </c>
    </row>
    <row r="57" ht="15.75" customHeight="1">
      <c r="A57" s="1"/>
      <c r="B57" s="1" t="s">
        <v>1863</v>
      </c>
      <c r="C57" s="1"/>
      <c r="D57" s="1"/>
      <c r="E57" s="1"/>
      <c r="F57" s="1"/>
      <c r="G57" s="13">
        <v>10000.0</v>
      </c>
    </row>
    <row r="58" ht="15.75" customHeight="1">
      <c r="A58" s="1"/>
      <c r="B58" s="1" t="s">
        <v>1864</v>
      </c>
      <c r="C58" s="1"/>
      <c r="D58" s="1"/>
      <c r="E58" s="1"/>
      <c r="F58" s="1"/>
      <c r="G58" s="13">
        <v>30000.0</v>
      </c>
    </row>
    <row r="59" ht="15.75" customHeight="1">
      <c r="A59" s="1"/>
      <c r="B59" s="1" t="s">
        <v>1585</v>
      </c>
      <c r="C59" s="1"/>
      <c r="D59" s="1"/>
      <c r="E59" s="1"/>
      <c r="F59" s="1"/>
      <c r="G59" s="13"/>
    </row>
    <row r="60" ht="15.75" customHeight="1">
      <c r="A60" s="1"/>
      <c r="B60" s="1"/>
      <c r="C60" s="1"/>
      <c r="D60" s="1"/>
      <c r="E60" s="1"/>
      <c r="F60" s="1"/>
      <c r="G60" s="13"/>
    </row>
    <row r="61" ht="15.75" customHeight="1">
      <c r="A61" s="1"/>
      <c r="B61" s="43" t="s">
        <v>43</v>
      </c>
      <c r="C61" s="1"/>
      <c r="D61" s="1"/>
      <c r="E61" s="1"/>
      <c r="F61" s="1"/>
      <c r="G61" s="18">
        <f>SUM(G25:G58)</f>
        <v>1329177</v>
      </c>
    </row>
    <row r="62" ht="15.75" customHeight="1">
      <c r="A62" s="1"/>
      <c r="B62" s="19" t="s">
        <v>45</v>
      </c>
      <c r="C62" s="20"/>
      <c r="D62" s="20"/>
      <c r="E62" s="20"/>
      <c r="F62" s="20"/>
      <c r="G62" s="70">
        <f>SUM(G23+G61)</f>
        <v>2221077</v>
      </c>
    </row>
    <row r="63" ht="15.75" customHeight="1">
      <c r="A63" s="1"/>
      <c r="B63" s="4" t="s">
        <v>46</v>
      </c>
      <c r="C63" s="1"/>
      <c r="D63" s="1"/>
      <c r="E63" s="1"/>
      <c r="F63" s="1"/>
      <c r="G63" s="2"/>
    </row>
    <row r="64" ht="15.75" customHeight="1">
      <c r="A64" s="35" t="s">
        <v>1865</v>
      </c>
      <c r="B64" s="36"/>
      <c r="C64" s="37"/>
      <c r="D64" s="37"/>
      <c r="E64" s="37"/>
      <c r="F64" s="37"/>
      <c r="G64" s="71">
        <f>(G12-G62)</f>
        <v>325623</v>
      </c>
      <c r="H64" s="67" t="s">
        <v>480</v>
      </c>
      <c r="J64" s="67" t="s">
        <v>480</v>
      </c>
    </row>
    <row r="65" ht="15.75" customHeight="1">
      <c r="A65" s="22" t="s">
        <v>254</v>
      </c>
      <c r="B65" s="43" t="s">
        <v>255</v>
      </c>
      <c r="C65" s="1"/>
      <c r="D65" s="1"/>
      <c r="E65" s="1"/>
      <c r="F65" s="1"/>
      <c r="G65" s="2"/>
    </row>
    <row r="66" ht="15.75" customHeight="1">
      <c r="A66" s="44"/>
      <c r="B66" s="1"/>
      <c r="C66" s="1"/>
      <c r="D66" s="1"/>
      <c r="E66" s="1"/>
      <c r="F66" s="1"/>
      <c r="G66" s="13"/>
    </row>
    <row r="67" ht="15.75" customHeight="1">
      <c r="A67" s="44"/>
      <c r="B67" s="1"/>
      <c r="C67" s="1"/>
      <c r="D67" s="1"/>
      <c r="E67" s="1"/>
      <c r="F67" s="1"/>
      <c r="G67" s="13"/>
    </row>
    <row r="68" ht="15.75" customHeight="1">
      <c r="A68" s="44"/>
      <c r="B68" s="72" t="s">
        <v>51</v>
      </c>
      <c r="C68" s="27"/>
      <c r="D68" s="27"/>
      <c r="E68" s="27"/>
      <c r="F68" s="27"/>
      <c r="G68" s="73">
        <f>G66+G67</f>
        <v>0</v>
      </c>
    </row>
    <row r="69" ht="15.75" customHeight="1">
      <c r="A69" s="44"/>
      <c r="B69" s="44"/>
      <c r="C69" s="45" t="s">
        <v>1866</v>
      </c>
      <c r="D69" s="46"/>
      <c r="E69" s="46"/>
      <c r="F69" s="46"/>
      <c r="G69" s="47">
        <f>G2+G64-G68</f>
        <v>10358451</v>
      </c>
      <c r="I69" s="67" t="s">
        <v>480</v>
      </c>
    </row>
    <row r="70" ht="15.75" customHeight="1">
      <c r="A70" s="1"/>
      <c r="B70" s="32" t="s">
        <v>1867</v>
      </c>
    </row>
    <row r="71" ht="15.75" customHeight="1">
      <c r="A71" s="1"/>
      <c r="B71" s="1"/>
      <c r="C71" s="1" t="s">
        <v>1115</v>
      </c>
      <c r="D71" s="1"/>
      <c r="E71" s="1"/>
      <c r="F71" s="1"/>
      <c r="G71" s="2">
        <v>17600.0</v>
      </c>
    </row>
    <row r="72" ht="15.75" customHeight="1">
      <c r="A72" s="1"/>
      <c r="B72" s="1"/>
      <c r="C72" s="1" t="s">
        <v>1583</v>
      </c>
      <c r="D72" s="1"/>
      <c r="E72" s="1"/>
      <c r="F72" s="1"/>
      <c r="G72" s="2">
        <v>665000.0</v>
      </c>
    </row>
    <row r="73" ht="15.75" customHeight="1">
      <c r="A73" s="1"/>
      <c r="B73" s="1"/>
      <c r="C73" s="43" t="s">
        <v>115</v>
      </c>
      <c r="D73" s="1"/>
      <c r="E73" s="1"/>
      <c r="F73" s="1"/>
      <c r="G73" s="2">
        <v>672600.0</v>
      </c>
    </row>
    <row r="74" ht="15.75" customHeight="1">
      <c r="A74" s="1"/>
      <c r="B74" s="1"/>
      <c r="C74" s="43"/>
      <c r="D74" s="1"/>
      <c r="E74" s="1"/>
      <c r="F74" s="1"/>
      <c r="G74" s="2" t="s">
        <v>480</v>
      </c>
    </row>
    <row r="75" ht="15.75" customHeight="1">
      <c r="A75" s="1"/>
      <c r="B75" s="43" t="s">
        <v>1825</v>
      </c>
      <c r="C75" s="43"/>
      <c r="D75" s="1"/>
      <c r="E75" s="1"/>
      <c r="F75" s="1"/>
      <c r="G75" s="2"/>
      <c r="I75" s="67" t="s">
        <v>480</v>
      </c>
    </row>
    <row r="76" ht="15.75" customHeight="1">
      <c r="A76" s="1"/>
      <c r="B76" s="43" t="s">
        <v>1868</v>
      </c>
      <c r="C76" s="43"/>
      <c r="D76" s="1"/>
      <c r="E76" s="1"/>
      <c r="F76" s="1"/>
      <c r="G76" s="1"/>
    </row>
    <row r="77" ht="15.75" customHeight="1">
      <c r="A77" s="1"/>
      <c r="B77" s="33" t="s">
        <v>1869</v>
      </c>
      <c r="C77" s="1"/>
      <c r="D77" s="1"/>
      <c r="E77" s="1"/>
      <c r="F77" s="1"/>
      <c r="G77" s="2"/>
    </row>
    <row r="78" ht="15.75" customHeight="1">
      <c r="A78" s="1"/>
      <c r="B78" s="33"/>
      <c r="C78" s="1"/>
      <c r="D78" s="1"/>
      <c r="E78" s="1"/>
      <c r="F78" s="1"/>
      <c r="G78" s="2"/>
    </row>
    <row r="79" ht="15.75" customHeight="1">
      <c r="A79" s="1"/>
      <c r="B79" s="55" t="s">
        <v>531</v>
      </c>
      <c r="C79" s="56"/>
      <c r="D79" s="56"/>
      <c r="E79" s="56"/>
      <c r="F79" s="1"/>
      <c r="G79" s="2"/>
    </row>
    <row r="80" ht="15.75" customHeight="1">
      <c r="A80" s="1"/>
      <c r="B80" s="55"/>
      <c r="C80" s="56"/>
      <c r="D80" s="56"/>
      <c r="E80" s="56"/>
      <c r="F80" s="1"/>
      <c r="G80" s="2"/>
    </row>
    <row r="81" ht="15.75" customHeight="1">
      <c r="A81" s="1"/>
      <c r="B81" s="55" t="s">
        <v>1870</v>
      </c>
      <c r="C81" s="56"/>
      <c r="D81" s="56"/>
      <c r="E81" s="56"/>
      <c r="F81" s="1"/>
      <c r="G81" s="2"/>
    </row>
    <row r="82" ht="15.75" customHeight="1">
      <c r="A82" s="1"/>
      <c r="B82" s="55"/>
      <c r="C82" s="56"/>
      <c r="D82" s="56"/>
      <c r="E82" s="56"/>
      <c r="F82" s="1"/>
      <c r="G82" s="2"/>
    </row>
    <row r="83" ht="15.75" customHeight="1">
      <c r="A83" s="1"/>
      <c r="B83" s="55" t="s">
        <v>533</v>
      </c>
      <c r="F83" s="1"/>
      <c r="G83" s="2"/>
    </row>
    <row r="84" ht="15.75" customHeight="1">
      <c r="A84" s="1"/>
      <c r="B84" s="55"/>
      <c r="C84" s="55"/>
      <c r="D84" s="55"/>
      <c r="E84" s="55"/>
      <c r="F84" s="1"/>
      <c r="G84" s="2"/>
    </row>
    <row r="85" ht="15.75" customHeight="1">
      <c r="A85" s="1"/>
      <c r="B85" s="55" t="s">
        <v>1871</v>
      </c>
      <c r="C85" s="56"/>
      <c r="D85" s="57"/>
      <c r="E85" s="56"/>
      <c r="F85" s="1"/>
      <c r="G85" s="2"/>
    </row>
    <row r="86" ht="15.75" customHeight="1">
      <c r="A86" s="1"/>
      <c r="B86" s="55"/>
      <c r="C86" s="56"/>
      <c r="D86" s="57"/>
      <c r="E86" s="56"/>
      <c r="F86" s="1"/>
      <c r="G86" s="2"/>
    </row>
    <row r="87" ht="15.75" customHeight="1">
      <c r="A87" s="1"/>
      <c r="B87" s="55" t="s">
        <v>535</v>
      </c>
      <c r="C87" s="56"/>
      <c r="D87" s="57"/>
      <c r="E87" s="56"/>
      <c r="F87" s="1"/>
      <c r="G87" s="2"/>
    </row>
    <row r="88" ht="15.75" customHeight="1">
      <c r="A88" s="1"/>
      <c r="B88" s="55"/>
      <c r="C88" s="56"/>
      <c r="D88" s="57"/>
      <c r="E88" s="56"/>
      <c r="F88" s="1"/>
      <c r="G88" s="2"/>
    </row>
    <row r="89" ht="15.75" customHeight="1">
      <c r="B89" s="55" t="s">
        <v>536</v>
      </c>
      <c r="C89" s="56"/>
      <c r="D89" s="57"/>
      <c r="E89" s="57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1:D11"/>
    <mergeCell ref="B12:F12"/>
    <mergeCell ref="B70:G70"/>
    <mergeCell ref="B83:E83"/>
  </mergeCells>
  <printOptions/>
  <pageMargins bottom="0.75" footer="0.0" header="0.0" left="0.7" right="0.7" top="0.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1">
      <c r="A1" s="1" t="s">
        <v>721</v>
      </c>
      <c r="B1" s="3" t="s">
        <v>1872</v>
      </c>
      <c r="C1" s="1"/>
      <c r="D1" s="1"/>
      <c r="E1" s="1"/>
      <c r="F1" s="1"/>
      <c r="G1" s="2"/>
    </row>
    <row r="2">
      <c r="A2" s="1"/>
      <c r="B2" s="75" t="s">
        <v>1873</v>
      </c>
      <c r="G2" s="47">
        <v>1.0358451E7</v>
      </c>
    </row>
    <row r="3">
      <c r="A3" s="1"/>
      <c r="G3" s="2"/>
    </row>
    <row r="4">
      <c r="A4" s="6" t="s">
        <v>1874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377800.0</v>
      </c>
      <c r="G5" s="7">
        <v>129000.0</v>
      </c>
    </row>
    <row r="6">
      <c r="A6" s="1"/>
      <c r="B6" s="4" t="s">
        <v>64</v>
      </c>
      <c r="C6" s="1"/>
      <c r="D6" s="1"/>
      <c r="E6" s="1"/>
      <c r="F6" s="2">
        <v>327900.0</v>
      </c>
      <c r="G6" s="7">
        <v>143000.0</v>
      </c>
    </row>
    <row r="7">
      <c r="A7" s="1"/>
      <c r="B7" s="4" t="s">
        <v>65</v>
      </c>
      <c r="C7" s="1"/>
      <c r="D7" s="1"/>
      <c r="E7" s="1"/>
      <c r="F7" s="2">
        <v>384800.0</v>
      </c>
      <c r="G7" s="7">
        <v>136000.0</v>
      </c>
    </row>
    <row r="8">
      <c r="A8" s="1"/>
      <c r="B8" s="4" t="s">
        <v>66</v>
      </c>
      <c r="C8" s="1"/>
      <c r="D8" s="1"/>
      <c r="E8" s="1"/>
      <c r="F8" s="2">
        <v>218800.0</v>
      </c>
      <c r="G8" s="76">
        <v>94000.0</v>
      </c>
    </row>
    <row r="9">
      <c r="A9" s="1"/>
      <c r="B9" s="4" t="s">
        <v>67</v>
      </c>
      <c r="C9" s="1"/>
      <c r="D9" s="49" t="s">
        <v>8</v>
      </c>
      <c r="E9" s="49"/>
      <c r="F9" s="7">
        <v>218600.0</v>
      </c>
      <c r="G9" s="7">
        <v>141000.0</v>
      </c>
    </row>
    <row r="10">
      <c r="A10" s="1"/>
      <c r="B10" s="4" t="s">
        <v>1875</v>
      </c>
      <c r="C10" s="1"/>
      <c r="D10" s="49"/>
      <c r="E10" s="49"/>
      <c r="F10" s="7">
        <v>361500.0</v>
      </c>
      <c r="G10" s="7"/>
    </row>
    <row r="11">
      <c r="A11" s="1"/>
      <c r="B11" s="4"/>
      <c r="C11" s="50" t="s">
        <v>405</v>
      </c>
      <c r="E11" s="4"/>
      <c r="F11" s="2">
        <f>SUM(F5:F10)</f>
        <v>1889400</v>
      </c>
      <c r="G11" s="7">
        <f>SUM(G5:G9)</f>
        <v>643000</v>
      </c>
    </row>
    <row r="12">
      <c r="A12" s="1"/>
      <c r="B12" s="51" t="s">
        <v>9</v>
      </c>
      <c r="C12" s="52"/>
      <c r="D12" s="52"/>
      <c r="E12" s="52"/>
      <c r="F12" s="53"/>
      <c r="G12" s="68">
        <f>SUM(F11:G11)</f>
        <v>2532400</v>
      </c>
    </row>
    <row r="13">
      <c r="A13" s="6" t="s">
        <v>1876</v>
      </c>
      <c r="B13" s="1"/>
      <c r="C13" s="1"/>
      <c r="D13" s="1"/>
      <c r="E13" s="1"/>
      <c r="F13" s="1"/>
      <c r="G13" s="2"/>
    </row>
    <row r="14">
      <c r="A14" s="1"/>
      <c r="B14" s="12" t="s">
        <v>11</v>
      </c>
      <c r="C14" s="1"/>
      <c r="D14" s="1"/>
      <c r="E14" s="1"/>
      <c r="F14" s="1"/>
      <c r="G14" s="2"/>
      <c r="L14" s="67" t="s">
        <v>480</v>
      </c>
    </row>
    <row r="15">
      <c r="A15" s="1"/>
      <c r="B15" s="4" t="s">
        <v>1877</v>
      </c>
      <c r="C15" s="1"/>
      <c r="D15" s="1"/>
      <c r="E15" s="1"/>
      <c r="F15" s="1"/>
      <c r="G15" s="77">
        <v>216900.0</v>
      </c>
    </row>
    <row r="16">
      <c r="A16" s="1"/>
      <c r="B16" s="4" t="s">
        <v>1594</v>
      </c>
      <c r="C16" s="1"/>
      <c r="D16" s="1"/>
      <c r="E16" s="1"/>
      <c r="F16" s="1"/>
      <c r="G16" s="77">
        <v>100000.0</v>
      </c>
    </row>
    <row r="17">
      <c r="A17" s="1"/>
      <c r="B17" s="4" t="s">
        <v>13</v>
      </c>
      <c r="C17" s="1"/>
      <c r="D17" s="1"/>
      <c r="E17" s="1"/>
      <c r="F17" s="1"/>
      <c r="G17" s="13">
        <v>125000.0</v>
      </c>
    </row>
    <row r="18">
      <c r="A18" s="1"/>
      <c r="B18" s="4" t="s">
        <v>14</v>
      </c>
      <c r="C18" s="1"/>
      <c r="D18" s="1"/>
      <c r="E18" s="1"/>
      <c r="F18" s="1"/>
      <c r="G18" s="13">
        <v>125000.0</v>
      </c>
    </row>
    <row r="19">
      <c r="A19" s="1"/>
      <c r="B19" s="4" t="s">
        <v>15</v>
      </c>
      <c r="C19" s="1"/>
      <c r="D19" s="1"/>
      <c r="E19" s="1"/>
      <c r="F19" s="1"/>
      <c r="G19" s="77">
        <v>100000.0</v>
      </c>
    </row>
    <row r="20">
      <c r="A20" s="1"/>
      <c r="B20" s="4" t="s">
        <v>16</v>
      </c>
      <c r="C20" s="1"/>
      <c r="D20" s="1"/>
      <c r="E20" s="1"/>
      <c r="F20" s="1"/>
      <c r="G20" s="77">
        <v>80000.0</v>
      </c>
    </row>
    <row r="21" ht="15.75" customHeight="1">
      <c r="A21" s="1"/>
      <c r="B21" s="4" t="s">
        <v>17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1836</v>
      </c>
      <c r="C22" s="1"/>
      <c r="D22" s="1"/>
      <c r="E22" s="1"/>
      <c r="F22" s="1"/>
      <c r="G22" s="77">
        <v>100000.0</v>
      </c>
    </row>
    <row r="23" ht="15.75" customHeight="1">
      <c r="A23" s="1"/>
      <c r="B23" s="9" t="s">
        <v>18</v>
      </c>
      <c r="C23" s="10"/>
      <c r="D23" s="10"/>
      <c r="E23" s="10"/>
      <c r="F23" s="10"/>
      <c r="G23" s="69">
        <f>SUM(G15:G22)</f>
        <v>971900</v>
      </c>
    </row>
    <row r="24" ht="15.75" customHeight="1">
      <c r="A24" s="1"/>
      <c r="B24" s="12" t="s">
        <v>19</v>
      </c>
      <c r="C24" s="15"/>
      <c r="D24" s="1"/>
      <c r="E24" s="1"/>
      <c r="F24" s="1"/>
      <c r="G24" s="2"/>
    </row>
    <row r="25" ht="15.75" customHeight="1">
      <c r="A25" s="1"/>
      <c r="B25" s="4" t="s">
        <v>1878</v>
      </c>
      <c r="C25" s="15"/>
      <c r="D25" s="1"/>
      <c r="E25" s="1"/>
      <c r="F25" s="1"/>
      <c r="G25" s="2">
        <v>20000.0</v>
      </c>
    </row>
    <row r="26" ht="15.75" customHeight="1">
      <c r="A26" s="1"/>
      <c r="B26" s="4" t="s">
        <v>1879</v>
      </c>
      <c r="C26" s="15"/>
      <c r="D26" s="1"/>
      <c r="E26" s="1"/>
      <c r="F26" s="1"/>
      <c r="G26" s="2">
        <v>25000.0</v>
      </c>
    </row>
    <row r="27" ht="15.75" customHeight="1">
      <c r="A27" s="1"/>
      <c r="B27" s="4" t="s">
        <v>1880</v>
      </c>
      <c r="C27" s="15"/>
      <c r="D27" s="1"/>
      <c r="E27" s="1"/>
      <c r="F27" s="1"/>
      <c r="G27" s="2">
        <v>4500.0</v>
      </c>
    </row>
    <row r="28" ht="15.75" customHeight="1">
      <c r="A28" s="1"/>
      <c r="B28" s="4" t="s">
        <v>1881</v>
      </c>
      <c r="C28" s="15"/>
      <c r="D28" s="1"/>
      <c r="E28" s="1"/>
      <c r="F28" s="1"/>
      <c r="G28" s="2">
        <v>75000.0</v>
      </c>
    </row>
    <row r="29" ht="15.75" customHeight="1">
      <c r="A29" s="1"/>
      <c r="B29" s="4" t="s">
        <v>1882</v>
      </c>
      <c r="C29" s="15"/>
      <c r="D29" s="1"/>
      <c r="E29" s="1"/>
      <c r="F29" s="1"/>
      <c r="G29" s="2">
        <v>350000.0</v>
      </c>
    </row>
    <row r="30" ht="15.75" customHeight="1">
      <c r="A30" s="1"/>
      <c r="B30" s="4" t="s">
        <v>1883</v>
      </c>
      <c r="C30" s="15"/>
      <c r="D30" s="1"/>
      <c r="E30" s="1"/>
      <c r="F30" s="1"/>
      <c r="G30" s="2">
        <v>65250.0</v>
      </c>
    </row>
    <row r="31" ht="15.75" customHeight="1">
      <c r="A31" s="1"/>
      <c r="B31" s="4" t="s">
        <v>1884</v>
      </c>
      <c r="C31" s="15"/>
      <c r="D31" s="1"/>
      <c r="E31" s="1"/>
      <c r="F31" s="1"/>
      <c r="G31" s="2">
        <v>66000.0</v>
      </c>
    </row>
    <row r="32" ht="15.75" customHeight="1">
      <c r="A32" s="1"/>
      <c r="B32" s="4" t="s">
        <v>1885</v>
      </c>
      <c r="C32" s="15"/>
      <c r="D32" s="1"/>
      <c r="E32" s="1"/>
      <c r="F32" s="1"/>
      <c r="G32" s="2">
        <v>35000.0</v>
      </c>
    </row>
    <row r="33" ht="15.75" customHeight="1">
      <c r="A33" s="1"/>
      <c r="B33" s="4" t="s">
        <v>1886</v>
      </c>
      <c r="C33" s="15"/>
      <c r="D33" s="1"/>
      <c r="E33" s="1"/>
      <c r="F33" s="1"/>
      <c r="G33" s="2">
        <v>235000.0</v>
      </c>
    </row>
    <row r="34" ht="15.75" customHeight="1">
      <c r="A34" s="1"/>
      <c r="B34" s="4" t="s">
        <v>203</v>
      </c>
      <c r="C34" s="15"/>
      <c r="D34" s="1"/>
      <c r="E34" s="1"/>
      <c r="F34" s="1"/>
      <c r="G34" s="2">
        <v>6000.0</v>
      </c>
    </row>
    <row r="35" ht="15.75" customHeight="1">
      <c r="A35" s="1"/>
      <c r="B35" s="4" t="s">
        <v>463</v>
      </c>
      <c r="C35" s="15"/>
      <c r="D35" s="1"/>
      <c r="E35" s="1"/>
      <c r="F35" s="1"/>
      <c r="G35" s="2">
        <v>10000.0</v>
      </c>
    </row>
    <row r="36" ht="15.75" customHeight="1">
      <c r="A36" s="1"/>
      <c r="B36" s="4" t="s">
        <v>1887</v>
      </c>
      <c r="C36" s="15"/>
      <c r="D36" s="1"/>
      <c r="E36" s="1"/>
      <c r="F36" s="1"/>
      <c r="G36" s="2">
        <v>1122.0</v>
      </c>
    </row>
    <row r="37" ht="15.75" customHeight="1">
      <c r="A37" s="1"/>
      <c r="B37" s="4" t="s">
        <v>1888</v>
      </c>
      <c r="C37" s="15"/>
      <c r="D37" s="1"/>
      <c r="E37" s="1"/>
      <c r="F37" s="1"/>
      <c r="G37" s="2">
        <v>5000.0</v>
      </c>
    </row>
    <row r="38" ht="15.75" customHeight="1">
      <c r="A38" s="1"/>
      <c r="B38" s="4" t="s">
        <v>1889</v>
      </c>
      <c r="C38" s="15"/>
      <c r="D38" s="1"/>
      <c r="E38" s="1"/>
      <c r="F38" s="1"/>
      <c r="G38" s="2">
        <v>5000.0</v>
      </c>
    </row>
    <row r="39" ht="15.75" customHeight="1">
      <c r="A39" s="1"/>
      <c r="B39" s="4" t="s">
        <v>1890</v>
      </c>
      <c r="C39" s="15"/>
      <c r="D39" s="1"/>
      <c r="E39" s="1"/>
      <c r="F39" s="1"/>
      <c r="G39" s="2">
        <v>66000.0</v>
      </c>
    </row>
    <row r="40" ht="15.75" customHeight="1">
      <c r="A40" s="1"/>
      <c r="B40" s="4" t="s">
        <v>1891</v>
      </c>
      <c r="C40" s="15"/>
      <c r="D40" s="1"/>
      <c r="E40" s="1"/>
      <c r="F40" s="1"/>
      <c r="G40" s="2">
        <v>125000.0</v>
      </c>
    </row>
    <row r="41" ht="15.75" customHeight="1">
      <c r="A41" s="1"/>
      <c r="B41" s="4" t="s">
        <v>1892</v>
      </c>
      <c r="C41" s="15"/>
      <c r="D41" s="1"/>
      <c r="E41" s="1"/>
      <c r="F41" s="1"/>
      <c r="G41" s="2">
        <v>37500.0</v>
      </c>
    </row>
    <row r="42" ht="15.75" customHeight="1">
      <c r="A42" s="1"/>
      <c r="B42" s="4" t="s">
        <v>1893</v>
      </c>
      <c r="C42" s="15"/>
      <c r="D42" s="1"/>
      <c r="E42" s="1"/>
      <c r="F42" s="1"/>
      <c r="G42" s="2">
        <v>65000.0</v>
      </c>
    </row>
    <row r="43" ht="15.75" customHeight="1">
      <c r="A43" s="1"/>
      <c r="B43" s="4" t="s">
        <v>324</v>
      </c>
      <c r="C43" s="15"/>
      <c r="D43" s="1"/>
      <c r="E43" s="1"/>
      <c r="F43" s="1"/>
      <c r="G43" s="2">
        <v>5000.0</v>
      </c>
    </row>
    <row r="44" ht="15.75" customHeight="1">
      <c r="A44" s="1"/>
      <c r="B44" s="1" t="s">
        <v>1894</v>
      </c>
      <c r="C44" s="1"/>
      <c r="D44" s="1"/>
      <c r="E44" s="1"/>
      <c r="F44" s="1"/>
      <c r="G44" s="13">
        <v>18000.0</v>
      </c>
    </row>
    <row r="45" ht="15.75" customHeight="1">
      <c r="A45" s="1"/>
      <c r="B45" s="1" t="s">
        <v>652</v>
      </c>
      <c r="C45" s="1"/>
      <c r="D45" s="1"/>
      <c r="E45" s="1"/>
      <c r="F45" s="1"/>
      <c r="G45" s="13">
        <v>8000.0</v>
      </c>
    </row>
    <row r="46" ht="15.75" customHeight="1">
      <c r="A46" s="1"/>
      <c r="B46" s="1" t="s">
        <v>234</v>
      </c>
      <c r="C46" s="1"/>
      <c r="D46" s="1"/>
      <c r="E46" s="1"/>
      <c r="F46" s="1"/>
      <c r="G46" s="13">
        <v>100000.0</v>
      </c>
      <c r="K46" s="67" t="s">
        <v>480</v>
      </c>
    </row>
    <row r="47" ht="15.75" customHeight="1">
      <c r="A47" s="1"/>
      <c r="B47" s="1" t="s">
        <v>1895</v>
      </c>
      <c r="C47" s="1"/>
      <c r="D47" s="1"/>
      <c r="E47" s="1"/>
      <c r="F47" s="1"/>
      <c r="G47" s="13">
        <v>65250.0</v>
      </c>
    </row>
    <row r="48" ht="15.75" customHeight="1">
      <c r="A48" s="1"/>
      <c r="B48" s="1" t="s">
        <v>1896</v>
      </c>
      <c r="C48" s="1"/>
      <c r="D48" s="1"/>
      <c r="E48" s="1"/>
      <c r="F48" s="1"/>
      <c r="G48" s="13">
        <v>65250.0</v>
      </c>
    </row>
    <row r="49" ht="15.75" customHeight="1">
      <c r="A49" s="1"/>
      <c r="B49" s="1" t="s">
        <v>1897</v>
      </c>
      <c r="C49" s="1"/>
      <c r="D49" s="1"/>
      <c r="E49" s="1"/>
      <c r="F49" s="1"/>
      <c r="G49" s="13">
        <v>290000.0</v>
      </c>
    </row>
    <row r="50" ht="15.75" customHeight="1">
      <c r="A50" s="1"/>
      <c r="B50" s="1" t="s">
        <v>1898</v>
      </c>
      <c r="C50" s="1"/>
      <c r="D50" s="1"/>
      <c r="E50" s="1"/>
      <c r="F50" s="1"/>
      <c r="G50" s="13">
        <v>2000.0</v>
      </c>
    </row>
    <row r="51" ht="15.75" customHeight="1">
      <c r="A51" s="1"/>
      <c r="B51" s="1" t="s">
        <v>1899</v>
      </c>
      <c r="C51" s="1"/>
      <c r="D51" s="1"/>
      <c r="E51" s="1"/>
      <c r="F51" s="1"/>
      <c r="G51" s="13">
        <v>70000.0</v>
      </c>
    </row>
    <row r="52" ht="15.75" customHeight="1">
      <c r="A52" s="1"/>
      <c r="B52" s="1" t="s">
        <v>1900</v>
      </c>
      <c r="C52" s="1"/>
      <c r="D52" s="1"/>
      <c r="E52" s="1"/>
      <c r="F52" s="1"/>
      <c r="G52" s="13">
        <v>5000.0</v>
      </c>
    </row>
    <row r="53" ht="15.75" customHeight="1">
      <c r="A53" s="1"/>
      <c r="B53" s="1" t="s">
        <v>1585</v>
      </c>
      <c r="C53" s="1"/>
      <c r="D53" s="1"/>
      <c r="E53" s="1"/>
      <c r="F53" s="1"/>
      <c r="G53" s="13"/>
    </row>
    <row r="54" ht="15.75" customHeight="1">
      <c r="A54" s="1"/>
      <c r="B54" s="1"/>
      <c r="C54" s="1"/>
      <c r="D54" s="1"/>
      <c r="E54" s="1"/>
      <c r="F54" s="1"/>
      <c r="G54" s="13"/>
    </row>
    <row r="55" ht="15.75" customHeight="1">
      <c r="A55" s="1"/>
      <c r="B55" s="43" t="s">
        <v>43</v>
      </c>
      <c r="C55" s="1"/>
      <c r="D55" s="1"/>
      <c r="E55" s="1"/>
      <c r="F55" s="1"/>
      <c r="G55" s="18">
        <f>SUM(G25:G52)</f>
        <v>1824872</v>
      </c>
    </row>
    <row r="56" ht="15.75" customHeight="1">
      <c r="A56" s="1"/>
      <c r="B56" s="19" t="s">
        <v>45</v>
      </c>
      <c r="C56" s="20"/>
      <c r="D56" s="20"/>
      <c r="E56" s="20"/>
      <c r="F56" s="20"/>
      <c r="G56" s="70">
        <f>SUM(G23+G55)</f>
        <v>2796772</v>
      </c>
    </row>
    <row r="57" ht="15.75" customHeight="1">
      <c r="A57" s="1"/>
      <c r="B57" s="4" t="s">
        <v>46</v>
      </c>
      <c r="C57" s="1"/>
      <c r="D57" s="1"/>
      <c r="E57" s="1"/>
      <c r="F57" s="1"/>
      <c r="G57" s="2"/>
    </row>
    <row r="58" ht="15.75" customHeight="1">
      <c r="A58" s="35" t="s">
        <v>1901</v>
      </c>
      <c r="B58" s="36"/>
      <c r="C58" s="37"/>
      <c r="D58" s="37"/>
      <c r="E58" s="37"/>
      <c r="F58" s="37"/>
      <c r="G58" s="71">
        <f>(G12-G56)</f>
        <v>-264372</v>
      </c>
    </row>
    <row r="59" ht="15.75" customHeight="1">
      <c r="A59" s="22" t="s">
        <v>254</v>
      </c>
      <c r="B59" s="43" t="s">
        <v>255</v>
      </c>
      <c r="C59" s="1"/>
      <c r="D59" s="1"/>
      <c r="E59" s="1"/>
      <c r="F59" s="1"/>
      <c r="G59" s="2"/>
    </row>
    <row r="60" ht="15.75" customHeight="1">
      <c r="A60" s="44"/>
      <c r="B60" s="1" t="s">
        <v>1902</v>
      </c>
      <c r="C60" s="1"/>
      <c r="D60" s="1"/>
      <c r="E60" s="1"/>
      <c r="F60" s="1"/>
      <c r="G60" s="13">
        <v>725700.0</v>
      </c>
    </row>
    <row r="61" ht="15.75" customHeight="1">
      <c r="A61" s="44"/>
      <c r="B61" s="1" t="s">
        <v>1903</v>
      </c>
      <c r="C61" s="1"/>
      <c r="D61" s="1"/>
      <c r="E61" s="1"/>
      <c r="F61" s="1"/>
      <c r="G61" s="13">
        <v>1000000.0</v>
      </c>
    </row>
    <row r="62" ht="15.75" customHeight="1">
      <c r="A62" s="44"/>
      <c r="B62" s="1" t="s">
        <v>1904</v>
      </c>
      <c r="C62" s="1"/>
      <c r="D62" s="1"/>
      <c r="E62" s="1"/>
      <c r="F62" s="1"/>
      <c r="G62" s="13">
        <v>60000.0</v>
      </c>
    </row>
    <row r="63" ht="15.75" customHeight="1">
      <c r="A63" s="44"/>
      <c r="B63" s="1" t="s">
        <v>1905</v>
      </c>
      <c r="C63" s="1"/>
      <c r="D63" s="1"/>
      <c r="E63" s="1"/>
      <c r="F63" s="1"/>
      <c r="G63" s="13">
        <v>425000.0</v>
      </c>
    </row>
    <row r="64" ht="15.75" customHeight="1">
      <c r="A64" s="44"/>
      <c r="B64" s="1"/>
      <c r="C64" s="1"/>
      <c r="D64" s="1"/>
      <c r="E64" s="1"/>
      <c r="F64" s="1"/>
      <c r="G64" s="13"/>
    </row>
    <row r="65" ht="15.75" customHeight="1">
      <c r="A65" s="44"/>
      <c r="B65" s="72" t="s">
        <v>51</v>
      </c>
      <c r="C65" s="27"/>
      <c r="D65" s="27"/>
      <c r="E65" s="27"/>
      <c r="F65" s="27"/>
      <c r="G65" s="73">
        <f>G60+G63+G61+G62</f>
        <v>2210700</v>
      </c>
      <c r="I65" s="67" t="s">
        <v>480</v>
      </c>
    </row>
    <row r="66" ht="15.75" customHeight="1">
      <c r="A66" s="44"/>
      <c r="B66" s="44"/>
      <c r="C66" s="45" t="s">
        <v>1906</v>
      </c>
      <c r="D66" s="46"/>
      <c r="E66" s="46"/>
      <c r="F66" s="46"/>
      <c r="G66" s="47">
        <f>G2+G58-G65</f>
        <v>7883379</v>
      </c>
    </row>
    <row r="67" ht="15.75" customHeight="1">
      <c r="A67" s="1"/>
      <c r="B67" s="32" t="s">
        <v>1907</v>
      </c>
    </row>
    <row r="68" ht="15.75" customHeight="1">
      <c r="A68" s="1"/>
      <c r="B68" s="1"/>
      <c r="C68" s="1" t="s">
        <v>1270</v>
      </c>
      <c r="D68" s="1"/>
      <c r="E68" s="1"/>
      <c r="F68" s="1"/>
      <c r="G68" s="2"/>
    </row>
    <row r="69" ht="15.75" customHeight="1">
      <c r="A69" s="1"/>
      <c r="B69" s="1"/>
      <c r="C69" s="1" t="s">
        <v>1583</v>
      </c>
      <c r="D69" s="1"/>
      <c r="E69" s="1"/>
      <c r="F69" s="1"/>
      <c r="G69" s="2">
        <v>405900.0</v>
      </c>
    </row>
    <row r="70" ht="15.75" customHeight="1">
      <c r="A70" s="1"/>
      <c r="B70" s="1"/>
      <c r="C70" s="43" t="s">
        <v>115</v>
      </c>
      <c r="D70" s="1"/>
      <c r="E70" s="1"/>
      <c r="F70" s="1"/>
      <c r="G70" s="2">
        <v>405900.0</v>
      </c>
    </row>
    <row r="71" ht="15.75" customHeight="1">
      <c r="A71" s="1"/>
      <c r="B71" s="1"/>
      <c r="C71" s="43"/>
      <c r="D71" s="1"/>
      <c r="E71" s="1"/>
      <c r="F71" s="1"/>
      <c r="G71" s="2" t="s">
        <v>480</v>
      </c>
    </row>
    <row r="72" ht="15.75" customHeight="1">
      <c r="A72" s="1"/>
      <c r="B72" s="43" t="s">
        <v>1825</v>
      </c>
      <c r="C72" s="43"/>
      <c r="D72" s="1"/>
      <c r="E72" s="1"/>
      <c r="F72" s="1"/>
      <c r="G72" s="2"/>
    </row>
    <row r="73" ht="15.75" customHeight="1">
      <c r="A73" s="1"/>
      <c r="B73" s="43" t="s">
        <v>1908</v>
      </c>
      <c r="C73" s="43"/>
      <c r="D73" s="1"/>
      <c r="E73" s="1"/>
      <c r="F73" s="1"/>
      <c r="G73" s="1"/>
    </row>
    <row r="74" ht="15.75" customHeight="1">
      <c r="A74" s="1"/>
      <c r="B74" s="33" t="s">
        <v>1909</v>
      </c>
      <c r="C74" s="1"/>
      <c r="D74" s="1"/>
      <c r="E74" s="1"/>
      <c r="F74" s="1"/>
      <c r="G74" s="2"/>
    </row>
    <row r="75" ht="15.75" customHeight="1">
      <c r="A75" s="1"/>
      <c r="B75" s="33"/>
      <c r="C75" s="1"/>
      <c r="D75" s="1"/>
      <c r="E75" s="1"/>
      <c r="F75" s="1"/>
      <c r="G75" s="2"/>
    </row>
    <row r="76" ht="15.75" customHeight="1">
      <c r="A76" s="1"/>
      <c r="B76" s="55" t="s">
        <v>531</v>
      </c>
      <c r="C76" s="56"/>
      <c r="D76" s="56"/>
      <c r="E76" s="56"/>
      <c r="F76" s="1"/>
      <c r="G76" s="2"/>
    </row>
    <row r="77" ht="15.75" customHeight="1">
      <c r="A77" s="1"/>
      <c r="B77" s="55"/>
      <c r="C77" s="56"/>
      <c r="D77" s="56"/>
      <c r="E77" s="56"/>
      <c r="F77" s="1"/>
      <c r="G77" s="2"/>
    </row>
    <row r="78" ht="15.75" customHeight="1">
      <c r="A78" s="1"/>
      <c r="B78" s="55" t="s">
        <v>1910</v>
      </c>
      <c r="C78" s="56"/>
      <c r="D78" s="56"/>
      <c r="E78" s="56"/>
      <c r="F78" s="1"/>
      <c r="G78" s="2"/>
    </row>
    <row r="79" ht="15.75" customHeight="1">
      <c r="A79" s="1"/>
      <c r="B79" s="55"/>
      <c r="C79" s="56"/>
      <c r="D79" s="56"/>
      <c r="E79" s="56"/>
      <c r="F79" s="1"/>
      <c r="G79" s="2"/>
    </row>
    <row r="80" ht="15.75" customHeight="1">
      <c r="A80" s="1"/>
      <c r="B80" s="55" t="s">
        <v>533</v>
      </c>
      <c r="F80" s="1"/>
      <c r="G80" s="2"/>
    </row>
    <row r="81" ht="15.75" customHeight="1">
      <c r="A81" s="1"/>
      <c r="B81" s="55"/>
      <c r="C81" s="55"/>
      <c r="D81" s="55"/>
      <c r="E81" s="55"/>
      <c r="F81" s="1"/>
      <c r="G81" s="2"/>
    </row>
    <row r="82" ht="15.75" customHeight="1">
      <c r="A82" s="1"/>
      <c r="B82" s="55" t="s">
        <v>1911</v>
      </c>
      <c r="C82" s="56"/>
      <c r="D82" s="57"/>
      <c r="E82" s="56"/>
      <c r="F82" s="1"/>
      <c r="G82" s="2"/>
    </row>
    <row r="83" ht="15.75" customHeight="1">
      <c r="A83" s="1"/>
      <c r="B83" s="55"/>
      <c r="C83" s="56"/>
      <c r="D83" s="57"/>
      <c r="E83" s="56"/>
      <c r="F83" s="1"/>
      <c r="G83" s="2"/>
    </row>
    <row r="84" ht="15.75" customHeight="1">
      <c r="A84" s="1"/>
      <c r="B84" s="55" t="s">
        <v>535</v>
      </c>
      <c r="C84" s="56"/>
      <c r="D84" s="57"/>
      <c r="E84" s="56"/>
      <c r="F84" s="1"/>
      <c r="G84" s="2"/>
    </row>
    <row r="85" ht="15.75" customHeight="1">
      <c r="A85" s="1"/>
      <c r="B85" s="55"/>
      <c r="C85" s="56"/>
      <c r="D85" s="57"/>
      <c r="E85" s="56"/>
      <c r="F85" s="1"/>
      <c r="G85" s="2"/>
    </row>
    <row r="86" ht="15.75" customHeight="1">
      <c r="B86" s="55" t="s">
        <v>536</v>
      </c>
      <c r="C86" s="56"/>
      <c r="D86" s="57"/>
      <c r="E86" s="5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1:D11"/>
    <mergeCell ref="B12:F12"/>
    <mergeCell ref="B67:G67"/>
    <mergeCell ref="B80:E80"/>
  </mergeCells>
  <printOptions/>
  <pageMargins bottom="0.75" footer="0.0" header="0.0" left="0.7" right="0.7" top="0.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2">
      <c r="A2" s="1" t="s">
        <v>721</v>
      </c>
      <c r="B2" s="3" t="s">
        <v>1912</v>
      </c>
      <c r="C2" s="1"/>
      <c r="D2" s="1"/>
      <c r="E2" s="1"/>
      <c r="F2" s="1"/>
      <c r="G2" s="2"/>
    </row>
    <row r="3">
      <c r="A3" s="1"/>
      <c r="B3" s="75" t="s">
        <v>1913</v>
      </c>
      <c r="G3" s="47">
        <v>7883379.0</v>
      </c>
    </row>
    <row r="4">
      <c r="A4" s="1"/>
      <c r="G4" s="2"/>
    </row>
    <row r="5">
      <c r="A5" s="6" t="s">
        <v>1914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28400.0</v>
      </c>
      <c r="G6" s="7">
        <v>38000.0</v>
      </c>
    </row>
    <row r="7">
      <c r="A7" s="1"/>
      <c r="B7" s="4" t="s">
        <v>64</v>
      </c>
      <c r="C7" s="1"/>
      <c r="D7" s="1"/>
      <c r="E7" s="1"/>
      <c r="F7" s="2">
        <v>268300.0</v>
      </c>
      <c r="G7" s="7">
        <v>97000.0</v>
      </c>
    </row>
    <row r="8">
      <c r="A8" s="1"/>
      <c r="B8" s="4" t="s">
        <v>65</v>
      </c>
      <c r="C8" s="1"/>
      <c r="D8" s="1"/>
      <c r="E8" s="1"/>
      <c r="F8" s="2">
        <v>318100.0</v>
      </c>
      <c r="G8" s="7">
        <v>72000.0</v>
      </c>
    </row>
    <row r="9">
      <c r="A9" s="1"/>
      <c r="B9" s="4" t="s">
        <v>66</v>
      </c>
      <c r="C9" s="1"/>
      <c r="D9" s="1"/>
      <c r="E9" s="1"/>
      <c r="F9" s="2">
        <v>468800.0</v>
      </c>
      <c r="G9" s="76">
        <v>199000.0</v>
      </c>
    </row>
    <row r="10">
      <c r="A10" s="1"/>
      <c r="B10" s="4" t="s">
        <v>67</v>
      </c>
      <c r="C10" s="1"/>
      <c r="D10" s="49" t="s">
        <v>8</v>
      </c>
      <c r="E10" s="49"/>
      <c r="F10" s="7">
        <v>615900.0</v>
      </c>
      <c r="G10" s="7">
        <v>230000.0</v>
      </c>
    </row>
    <row r="11">
      <c r="A11" s="1"/>
      <c r="B11" s="4" t="s">
        <v>1915</v>
      </c>
      <c r="C11" s="1"/>
      <c r="D11" s="49"/>
      <c r="E11" s="49"/>
      <c r="F11" s="7">
        <v>228000.0</v>
      </c>
      <c r="G11" s="7"/>
    </row>
    <row r="12">
      <c r="A12" s="1"/>
      <c r="B12" s="4"/>
      <c r="C12" s="50" t="s">
        <v>405</v>
      </c>
      <c r="E12" s="4"/>
      <c r="F12" s="2">
        <f>SUM(F6:F11)</f>
        <v>1927500</v>
      </c>
      <c r="G12" s="7">
        <f>SUM(G6:G10)</f>
        <v>636000</v>
      </c>
    </row>
    <row r="13">
      <c r="A13" s="1"/>
      <c r="B13" s="51" t="s">
        <v>9</v>
      </c>
      <c r="C13" s="52"/>
      <c r="D13" s="52"/>
      <c r="E13" s="52"/>
      <c r="F13" s="53"/>
      <c r="G13" s="68">
        <f>SUM(F12:G12)</f>
        <v>2563500</v>
      </c>
    </row>
    <row r="14">
      <c r="A14" s="6" t="s">
        <v>1916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1917</v>
      </c>
      <c r="C16" s="1"/>
      <c r="D16" s="1"/>
      <c r="E16" s="1"/>
      <c r="F16" s="1"/>
      <c r="G16" s="77">
        <v>128000.0</v>
      </c>
    </row>
    <row r="17">
      <c r="A17" s="1"/>
      <c r="B17" s="4" t="s">
        <v>1594</v>
      </c>
      <c r="C17" s="1"/>
      <c r="D17" s="1"/>
      <c r="E17" s="1"/>
      <c r="F17" s="1"/>
      <c r="G17" s="77">
        <v>100000.0</v>
      </c>
    </row>
    <row r="18">
      <c r="A18" s="1"/>
      <c r="B18" s="4" t="s">
        <v>13</v>
      </c>
      <c r="C18" s="1"/>
      <c r="D18" s="1"/>
      <c r="E18" s="1"/>
      <c r="F18" s="1"/>
      <c r="G18" s="13">
        <v>125000.0</v>
      </c>
    </row>
    <row r="19">
      <c r="A19" s="1"/>
      <c r="B19" s="4" t="s">
        <v>14</v>
      </c>
      <c r="C19" s="1"/>
      <c r="D19" s="1"/>
      <c r="E19" s="1"/>
      <c r="F19" s="1"/>
      <c r="G19" s="13">
        <v>125000.0</v>
      </c>
    </row>
    <row r="20">
      <c r="A20" s="1"/>
      <c r="B20" s="4" t="s">
        <v>15</v>
      </c>
      <c r="C20" s="1"/>
      <c r="D20" s="1"/>
      <c r="E20" s="1"/>
      <c r="F20" s="1"/>
      <c r="G20" s="77">
        <v>100000.0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77">
        <v>80000.0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77">
        <v>125000.0</v>
      </c>
    </row>
    <row r="23" ht="15.75" customHeight="1">
      <c r="A23" s="1"/>
      <c r="B23" s="4" t="s">
        <v>1836</v>
      </c>
      <c r="C23" s="1"/>
      <c r="D23" s="1"/>
      <c r="E23" s="1"/>
      <c r="F23" s="1"/>
      <c r="G23" s="77">
        <v>100000.0</v>
      </c>
      <c r="J23" s="67" t="s">
        <v>46</v>
      </c>
    </row>
    <row r="24" ht="15.75" customHeight="1">
      <c r="A24" s="1"/>
      <c r="B24" s="9" t="s">
        <v>18</v>
      </c>
      <c r="C24" s="10"/>
      <c r="D24" s="10"/>
      <c r="E24" s="10"/>
      <c r="F24" s="10"/>
      <c r="G24" s="69">
        <f>SUM(G16:G23)</f>
        <v>883000</v>
      </c>
    </row>
    <row r="25" ht="15.75" customHeight="1">
      <c r="A25" s="1"/>
      <c r="B25" s="12" t="s">
        <v>19</v>
      </c>
      <c r="C25" s="15"/>
      <c r="D25" s="1"/>
      <c r="E25" s="1"/>
      <c r="F25" s="1"/>
      <c r="G25" s="2"/>
    </row>
    <row r="26" ht="15.75" customHeight="1">
      <c r="A26" s="1"/>
      <c r="B26" s="4" t="s">
        <v>1918</v>
      </c>
      <c r="C26" s="15"/>
      <c r="D26" s="1"/>
      <c r="E26" s="1"/>
      <c r="F26" s="1"/>
      <c r="G26" s="2">
        <v>12800.0</v>
      </c>
    </row>
    <row r="27" ht="15.75" customHeight="1">
      <c r="A27" s="1"/>
      <c r="B27" s="4" t="s">
        <v>652</v>
      </c>
      <c r="C27" s="15"/>
      <c r="D27" s="1"/>
      <c r="E27" s="1"/>
      <c r="F27" s="1"/>
      <c r="G27" s="2">
        <v>8000.0</v>
      </c>
    </row>
    <row r="28" ht="15.75" customHeight="1">
      <c r="A28" s="1"/>
      <c r="B28" s="4" t="s">
        <v>1919</v>
      </c>
      <c r="C28" s="15"/>
      <c r="D28" s="1"/>
      <c r="E28" s="1"/>
      <c r="F28" s="1"/>
      <c r="G28" s="2">
        <v>2000.0</v>
      </c>
    </row>
    <row r="29" ht="15.75" customHeight="1">
      <c r="A29" s="1"/>
      <c r="B29" s="4" t="s">
        <v>1920</v>
      </c>
      <c r="C29" s="15"/>
      <c r="D29" s="1"/>
      <c r="E29" s="1"/>
      <c r="F29" s="1"/>
      <c r="G29" s="2">
        <v>5000.0</v>
      </c>
    </row>
    <row r="30" ht="15.75" customHeight="1">
      <c r="A30" s="1"/>
      <c r="B30" s="4" t="s">
        <v>1921</v>
      </c>
      <c r="C30" s="15"/>
      <c r="D30" s="1"/>
      <c r="E30" s="1"/>
      <c r="F30" s="1"/>
      <c r="G30" s="2">
        <v>5000.0</v>
      </c>
    </row>
    <row r="31" ht="15.75" customHeight="1">
      <c r="A31" s="1"/>
      <c r="B31" s="4" t="s">
        <v>1922</v>
      </c>
      <c r="C31" s="15"/>
      <c r="D31" s="1"/>
      <c r="E31" s="1"/>
      <c r="F31" s="1"/>
      <c r="G31" s="2">
        <v>25000.0</v>
      </c>
    </row>
    <row r="32" ht="15.75" customHeight="1">
      <c r="A32" s="1"/>
      <c r="B32" s="4" t="s">
        <v>1923</v>
      </c>
      <c r="C32" s="15"/>
      <c r="D32" s="1"/>
      <c r="E32" s="1"/>
      <c r="F32" s="1"/>
      <c r="G32" s="2">
        <v>258300.0</v>
      </c>
    </row>
    <row r="33" ht="15.75" customHeight="1">
      <c r="A33" s="1"/>
      <c r="B33" s="4" t="s">
        <v>1924</v>
      </c>
      <c r="C33" s="15"/>
      <c r="D33" s="1"/>
      <c r="E33" s="1"/>
      <c r="F33" s="1"/>
      <c r="G33" s="2">
        <v>65250.0</v>
      </c>
    </row>
    <row r="34" ht="15.75" customHeight="1">
      <c r="A34" s="1"/>
      <c r="B34" s="4" t="s">
        <v>463</v>
      </c>
      <c r="C34" s="15"/>
      <c r="D34" s="1"/>
      <c r="E34" s="1"/>
      <c r="F34" s="1"/>
      <c r="G34" s="2">
        <v>10000.0</v>
      </c>
    </row>
    <row r="35" ht="15.75" customHeight="1">
      <c r="A35" s="1"/>
      <c r="B35" s="4" t="s">
        <v>1925</v>
      </c>
      <c r="C35" s="15"/>
      <c r="D35" s="1"/>
      <c r="E35" s="1"/>
      <c r="F35" s="1"/>
      <c r="G35" s="2">
        <v>28000.0</v>
      </c>
    </row>
    <row r="36" ht="15.75" customHeight="1">
      <c r="A36" s="1"/>
      <c r="B36" s="4" t="s">
        <v>1926</v>
      </c>
      <c r="C36" s="15"/>
      <c r="D36" s="1"/>
      <c r="E36" s="1"/>
      <c r="F36" s="1"/>
      <c r="G36" s="2">
        <v>5000.0</v>
      </c>
    </row>
    <row r="37" ht="15.75" customHeight="1">
      <c r="A37" s="1"/>
      <c r="B37" s="4" t="s">
        <v>1927</v>
      </c>
      <c r="C37" s="15"/>
      <c r="D37" s="1"/>
      <c r="E37" s="1"/>
      <c r="F37" s="1"/>
      <c r="G37" s="2">
        <v>100000.0</v>
      </c>
    </row>
    <row r="38" ht="15.75" customHeight="1">
      <c r="A38" s="1"/>
      <c r="B38" s="4" t="s">
        <v>1928</v>
      </c>
      <c r="C38" s="15"/>
      <c r="D38" s="1"/>
      <c r="E38" s="1"/>
      <c r="F38" s="1"/>
      <c r="G38" s="2">
        <v>55000.0</v>
      </c>
    </row>
    <row r="39" ht="15.75" customHeight="1">
      <c r="A39" s="1"/>
      <c r="B39" s="4" t="s">
        <v>1337</v>
      </c>
      <c r="C39" s="15"/>
      <c r="D39" s="1"/>
      <c r="E39" s="1"/>
      <c r="F39" s="1"/>
      <c r="G39" s="2">
        <v>50000.0</v>
      </c>
    </row>
    <row r="40" ht="15.75" customHeight="1">
      <c r="A40" s="1"/>
      <c r="B40" s="4" t="s">
        <v>1929</v>
      </c>
      <c r="C40" s="15"/>
      <c r="D40" s="1"/>
      <c r="E40" s="1"/>
      <c r="F40" s="1"/>
      <c r="G40" s="2">
        <v>15000.0</v>
      </c>
    </row>
    <row r="41" ht="15.75" customHeight="1">
      <c r="A41" s="1"/>
      <c r="B41" s="4" t="s">
        <v>1930</v>
      </c>
      <c r="C41" s="15"/>
      <c r="D41" s="1"/>
      <c r="E41" s="1"/>
      <c r="F41" s="1"/>
      <c r="G41" s="2">
        <v>15000.0</v>
      </c>
      <c r="J41" s="67" t="s">
        <v>480</v>
      </c>
    </row>
    <row r="42" ht="15.75" customHeight="1">
      <c r="A42" s="1"/>
      <c r="B42" s="4" t="s">
        <v>1931</v>
      </c>
      <c r="C42" s="15"/>
      <c r="D42" s="1"/>
      <c r="E42" s="1"/>
      <c r="F42" s="1"/>
      <c r="G42" s="2">
        <v>1000.0</v>
      </c>
    </row>
    <row r="43" ht="15.75" customHeight="1">
      <c r="A43" s="1"/>
      <c r="B43" s="4" t="s">
        <v>652</v>
      </c>
      <c r="C43" s="15"/>
      <c r="D43" s="1"/>
      <c r="E43" s="1"/>
      <c r="F43" s="1"/>
      <c r="G43" s="2">
        <v>8000.0</v>
      </c>
    </row>
    <row r="44" ht="15.75" customHeight="1">
      <c r="A44" s="1"/>
      <c r="B44" s="4" t="s">
        <v>1932</v>
      </c>
      <c r="C44" s="15"/>
      <c r="D44" s="1"/>
      <c r="E44" s="1"/>
      <c r="F44" s="1"/>
      <c r="G44" s="2">
        <v>2000.0</v>
      </c>
    </row>
    <row r="45" ht="15.75" customHeight="1">
      <c r="A45" s="1"/>
      <c r="B45" s="4" t="s">
        <v>891</v>
      </c>
      <c r="C45" s="15"/>
      <c r="D45" s="1"/>
      <c r="E45" s="1"/>
      <c r="F45" s="1"/>
      <c r="G45" s="2">
        <v>1000.0</v>
      </c>
    </row>
    <row r="46" ht="15.75" customHeight="1">
      <c r="A46" s="1"/>
      <c r="B46" s="1" t="s">
        <v>1933</v>
      </c>
      <c r="C46" s="1"/>
      <c r="D46" s="1"/>
      <c r="E46" s="1"/>
      <c r="F46" s="1"/>
      <c r="G46" s="13">
        <v>50000.0</v>
      </c>
    </row>
    <row r="47" ht="15.75" customHeight="1">
      <c r="A47" s="1"/>
      <c r="B47" s="1" t="s">
        <v>1934</v>
      </c>
      <c r="C47" s="1"/>
      <c r="D47" s="1"/>
      <c r="E47" s="1"/>
      <c r="F47" s="1"/>
      <c r="G47" s="13">
        <v>66000.0</v>
      </c>
    </row>
    <row r="48" ht="15.75" customHeight="1">
      <c r="A48" s="1"/>
      <c r="B48" s="1" t="s">
        <v>1935</v>
      </c>
      <c r="C48" s="1"/>
      <c r="D48" s="1"/>
      <c r="E48" s="1"/>
      <c r="F48" s="1"/>
      <c r="G48" s="13">
        <v>17080.0</v>
      </c>
    </row>
    <row r="49" ht="15.75" customHeight="1">
      <c r="A49" s="1"/>
      <c r="B49" s="1" t="s">
        <v>1936</v>
      </c>
      <c r="C49" s="1"/>
      <c r="D49" s="1"/>
      <c r="E49" s="1"/>
      <c r="F49" s="1"/>
      <c r="G49" s="13">
        <v>125000.0</v>
      </c>
    </row>
    <row r="50" ht="15.75" customHeight="1">
      <c r="A50" s="1"/>
      <c r="B50" s="1" t="s">
        <v>1937</v>
      </c>
      <c r="C50" s="1"/>
      <c r="D50" s="1"/>
      <c r="E50" s="1"/>
      <c r="F50" s="1"/>
      <c r="G50" s="13">
        <v>18805.0</v>
      </c>
    </row>
    <row r="51" ht="15.75" customHeight="1">
      <c r="A51" s="1"/>
      <c r="B51" s="1" t="s">
        <v>1938</v>
      </c>
      <c r="C51" s="1"/>
      <c r="D51" s="1"/>
      <c r="E51" s="1"/>
      <c r="F51" s="1"/>
      <c r="G51" s="13">
        <v>20000.0</v>
      </c>
    </row>
    <row r="52" ht="15.75" customHeight="1">
      <c r="A52" s="1"/>
      <c r="B52" s="1" t="s">
        <v>1939</v>
      </c>
      <c r="C52" s="1"/>
      <c r="D52" s="1"/>
      <c r="E52" s="1"/>
      <c r="F52" s="1"/>
      <c r="G52" s="13">
        <v>301700.0</v>
      </c>
    </row>
    <row r="53" ht="15.75" customHeight="1">
      <c r="A53" s="1"/>
      <c r="B53" s="1" t="s">
        <v>1940</v>
      </c>
      <c r="C53" s="1"/>
      <c r="D53" s="1"/>
      <c r="E53" s="1"/>
      <c r="F53" s="1"/>
      <c r="G53" s="13">
        <v>10000.0</v>
      </c>
    </row>
    <row r="54" ht="15.75" customHeight="1">
      <c r="A54" s="1"/>
      <c r="B54" s="1"/>
      <c r="C54" s="1"/>
      <c r="D54" s="1"/>
      <c r="E54" s="1"/>
      <c r="F54" s="1"/>
      <c r="G54" s="13"/>
    </row>
    <row r="55" ht="15.75" customHeight="1">
      <c r="A55" s="1"/>
      <c r="B55" s="1"/>
      <c r="C55" s="1"/>
      <c r="D55" s="1"/>
      <c r="E55" s="1"/>
      <c r="F55" s="1"/>
      <c r="G55" s="13"/>
      <c r="O55" s="67" t="s">
        <v>480</v>
      </c>
    </row>
    <row r="56" ht="15.75" customHeight="1">
      <c r="A56" s="1"/>
      <c r="B56" s="43" t="s">
        <v>43</v>
      </c>
      <c r="C56" s="1"/>
      <c r="D56" s="1"/>
      <c r="E56" s="1"/>
      <c r="F56" s="1"/>
      <c r="G56" s="18">
        <f>SUM(G26:G54)</f>
        <v>1279935</v>
      </c>
    </row>
    <row r="57" ht="15.75" customHeight="1">
      <c r="A57" s="1"/>
      <c r="B57" s="19" t="s">
        <v>45</v>
      </c>
      <c r="C57" s="20"/>
      <c r="D57" s="20"/>
      <c r="E57" s="20"/>
      <c r="F57" s="20"/>
      <c r="G57" s="70">
        <f>SUM(G24+G56)</f>
        <v>2162935</v>
      </c>
    </row>
    <row r="58" ht="15.75" customHeight="1">
      <c r="A58" s="1"/>
      <c r="B58" s="4" t="s">
        <v>46</v>
      </c>
      <c r="C58" s="1"/>
      <c r="D58" s="1"/>
      <c r="E58" s="1"/>
      <c r="F58" s="1"/>
      <c r="G58" s="2"/>
    </row>
    <row r="59" ht="15.75" customHeight="1">
      <c r="A59" s="35" t="s">
        <v>1941</v>
      </c>
      <c r="B59" s="36"/>
      <c r="C59" s="37"/>
      <c r="D59" s="37"/>
      <c r="E59" s="37"/>
      <c r="F59" s="37"/>
      <c r="G59" s="71">
        <f>(G13-G57)</f>
        <v>400565</v>
      </c>
    </row>
    <row r="60" ht="15.75" customHeight="1">
      <c r="A60" s="22" t="s">
        <v>254</v>
      </c>
      <c r="B60" s="43" t="s">
        <v>255</v>
      </c>
      <c r="C60" s="1"/>
      <c r="D60" s="1"/>
      <c r="E60" s="1"/>
      <c r="F60" s="1"/>
      <c r="G60" s="2"/>
      <c r="N60" s="67" t="s">
        <v>480</v>
      </c>
    </row>
    <row r="61" ht="15.75" customHeight="1">
      <c r="A61" s="22"/>
      <c r="B61" s="43"/>
      <c r="C61" s="1"/>
      <c r="D61" s="1"/>
      <c r="E61" s="1"/>
      <c r="F61" s="1"/>
      <c r="G61" s="2"/>
    </row>
    <row r="62" ht="15.75" customHeight="1">
      <c r="A62" s="44"/>
      <c r="B62" s="72" t="s">
        <v>51</v>
      </c>
      <c r="C62" s="27"/>
      <c r="D62" s="27"/>
      <c r="E62" s="27"/>
      <c r="F62" s="27"/>
      <c r="G62" s="73"/>
    </row>
    <row r="63" ht="15.75" customHeight="1">
      <c r="A63" s="44"/>
      <c r="B63" s="44"/>
      <c r="C63" s="45" t="s">
        <v>1942</v>
      </c>
      <c r="D63" s="46"/>
      <c r="E63" s="46"/>
      <c r="F63" s="46"/>
      <c r="G63" s="47">
        <f>G3+G59-G62</f>
        <v>8283944</v>
      </c>
    </row>
    <row r="64" ht="15.75" customHeight="1">
      <c r="A64" s="1"/>
      <c r="B64" s="32" t="s">
        <v>1907</v>
      </c>
    </row>
    <row r="65" ht="15.75" customHeight="1">
      <c r="A65" s="1"/>
      <c r="B65" s="1"/>
      <c r="C65" s="1" t="s">
        <v>1270</v>
      </c>
      <c r="D65" s="1"/>
      <c r="E65" s="1"/>
      <c r="F65" s="1"/>
      <c r="G65" s="2"/>
    </row>
    <row r="66" ht="15.75" customHeight="1">
      <c r="A66" s="1"/>
      <c r="B66" s="1"/>
      <c r="C66" s="1" t="s">
        <v>1943</v>
      </c>
      <c r="D66" s="1"/>
      <c r="E66" s="1"/>
      <c r="F66" s="1"/>
      <c r="G66" s="2">
        <v>587900.0</v>
      </c>
    </row>
    <row r="67" ht="15.75" customHeight="1">
      <c r="A67" s="1"/>
      <c r="B67" s="1"/>
      <c r="C67" s="43" t="s">
        <v>115</v>
      </c>
      <c r="D67" s="1"/>
      <c r="E67" s="1"/>
      <c r="F67" s="1"/>
      <c r="G67" s="2">
        <v>587900.0</v>
      </c>
    </row>
    <row r="68" ht="15.75" customHeight="1">
      <c r="A68" s="1"/>
      <c r="B68" s="1"/>
      <c r="C68" s="43"/>
      <c r="D68" s="1"/>
      <c r="E68" s="1"/>
      <c r="F68" s="1"/>
      <c r="G68" s="2" t="s">
        <v>480</v>
      </c>
    </row>
    <row r="69" ht="15.75" customHeight="1">
      <c r="A69" s="1"/>
      <c r="B69" s="43" t="s">
        <v>1825</v>
      </c>
      <c r="C69" s="43"/>
      <c r="D69" s="1"/>
      <c r="E69" s="1"/>
      <c r="F69" s="1"/>
      <c r="G69" s="2"/>
    </row>
    <row r="70" ht="15.75" customHeight="1">
      <c r="A70" s="1"/>
      <c r="B70" s="43" t="s">
        <v>1908</v>
      </c>
      <c r="C70" s="43"/>
      <c r="D70" s="1"/>
      <c r="E70" s="1"/>
      <c r="F70" s="1"/>
      <c r="G70" s="1"/>
    </row>
    <row r="71" ht="15.75" customHeight="1">
      <c r="A71" s="1"/>
      <c r="B71" s="33" t="s">
        <v>1944</v>
      </c>
      <c r="C71" s="1"/>
      <c r="D71" s="1"/>
      <c r="E71" s="1"/>
      <c r="F71" s="1"/>
      <c r="G71" s="2"/>
    </row>
    <row r="72" ht="15.75" customHeight="1">
      <c r="A72" s="1"/>
      <c r="B72" s="33"/>
      <c r="C72" s="1"/>
      <c r="D72" s="1"/>
      <c r="E72" s="1"/>
      <c r="F72" s="1"/>
      <c r="G72" s="2"/>
    </row>
    <row r="73" ht="15.75" customHeight="1">
      <c r="A73" s="1"/>
      <c r="B73" s="55" t="s">
        <v>531</v>
      </c>
      <c r="C73" s="56"/>
      <c r="D73" s="56"/>
      <c r="E73" s="56"/>
      <c r="F73" s="1"/>
      <c r="G73" s="2"/>
    </row>
    <row r="74" ht="15.75" customHeight="1">
      <c r="A74" s="1"/>
      <c r="B74" s="55"/>
      <c r="C74" s="56"/>
      <c r="D74" s="56"/>
      <c r="E74" s="56"/>
      <c r="F74" s="1"/>
      <c r="G74" s="2"/>
    </row>
    <row r="75" ht="15.75" customHeight="1">
      <c r="A75" s="1"/>
      <c r="B75" s="55" t="s">
        <v>1945</v>
      </c>
      <c r="C75" s="56"/>
      <c r="D75" s="56"/>
      <c r="E75" s="56"/>
      <c r="F75" s="1"/>
      <c r="G75" s="2"/>
    </row>
    <row r="76" ht="15.75" customHeight="1">
      <c r="A76" s="1"/>
      <c r="B76" s="55"/>
      <c r="C76" s="56"/>
      <c r="D76" s="56"/>
      <c r="E76" s="56"/>
      <c r="F76" s="1"/>
      <c r="G76" s="2"/>
    </row>
    <row r="77" ht="15.75" customHeight="1">
      <c r="A77" s="1"/>
      <c r="B77" s="55" t="s">
        <v>533</v>
      </c>
      <c r="F77" s="1"/>
      <c r="G77" s="2"/>
    </row>
    <row r="78" ht="15.75" customHeight="1">
      <c r="A78" s="1"/>
      <c r="B78" s="55"/>
      <c r="C78" s="55"/>
      <c r="D78" s="55"/>
      <c r="E78" s="55"/>
      <c r="F78" s="1"/>
      <c r="G78" s="2"/>
    </row>
    <row r="79" ht="15.75" customHeight="1">
      <c r="A79" s="1"/>
      <c r="B79" s="55" t="s">
        <v>1946</v>
      </c>
      <c r="C79" s="56"/>
      <c r="D79" s="57"/>
      <c r="E79" s="56"/>
      <c r="F79" s="1"/>
      <c r="G79" s="2"/>
    </row>
    <row r="80" ht="15.75" customHeight="1">
      <c r="A80" s="1"/>
      <c r="B80" s="55"/>
      <c r="C80" s="56"/>
      <c r="D80" s="57"/>
      <c r="E80" s="56"/>
      <c r="F80" s="1"/>
      <c r="G80" s="2"/>
    </row>
    <row r="81" ht="15.75" customHeight="1">
      <c r="A81" s="1"/>
      <c r="B81" s="55" t="s">
        <v>535</v>
      </c>
      <c r="C81" s="56"/>
      <c r="D81" s="57"/>
      <c r="E81" s="56"/>
      <c r="F81" s="1"/>
      <c r="G81" s="2"/>
    </row>
    <row r="82" ht="15.75" customHeight="1">
      <c r="A82" s="1"/>
      <c r="B82" s="55"/>
      <c r="C82" s="56"/>
      <c r="D82" s="57"/>
      <c r="E82" s="56"/>
      <c r="F82" s="1"/>
      <c r="G82" s="2"/>
    </row>
    <row r="83" ht="15.75" customHeight="1">
      <c r="B83" s="55" t="s">
        <v>536</v>
      </c>
      <c r="C83" s="56"/>
      <c r="D83" s="57"/>
      <c r="E83" s="57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2:D12"/>
    <mergeCell ref="B13:F13"/>
    <mergeCell ref="B64:G64"/>
    <mergeCell ref="B77:E77"/>
  </mergeCells>
  <printOptions/>
  <pageMargins bottom="0.75" footer="0.0" header="0.0" left="0.7" right="0.7" top="0.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0"/>
    <col customWidth="1" min="8" max="26" width="10.71"/>
  </cols>
  <sheetData>
    <row r="2">
      <c r="A2" s="1" t="s">
        <v>721</v>
      </c>
      <c r="B2" s="3" t="s">
        <v>1947</v>
      </c>
      <c r="C2" s="1"/>
      <c r="D2" s="1"/>
      <c r="E2" s="1"/>
      <c r="F2" s="1"/>
      <c r="G2" s="2"/>
    </row>
    <row r="3">
      <c r="A3" s="1"/>
      <c r="B3" s="75" t="s">
        <v>1948</v>
      </c>
      <c r="G3" s="47">
        <v>7883379.0</v>
      </c>
      <c r="H3" s="67" t="s">
        <v>480</v>
      </c>
    </row>
    <row r="4">
      <c r="A4" s="1"/>
      <c r="G4" s="2"/>
    </row>
    <row r="5">
      <c r="A5" s="6" t="s">
        <v>1949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635700.0</v>
      </c>
      <c r="G6" s="7">
        <v>265000.0</v>
      </c>
    </row>
    <row r="7">
      <c r="A7" s="1"/>
      <c r="B7" s="4" t="s">
        <v>64</v>
      </c>
      <c r="C7" s="1"/>
      <c r="D7" s="1"/>
      <c r="E7" s="1"/>
      <c r="F7" s="2">
        <v>496100.0</v>
      </c>
      <c r="G7" s="7">
        <v>192000.0</v>
      </c>
    </row>
    <row r="8">
      <c r="A8" s="1"/>
      <c r="B8" s="4" t="s">
        <v>65</v>
      </c>
      <c r="C8" s="1"/>
      <c r="D8" s="1"/>
      <c r="E8" s="1"/>
      <c r="F8" s="2">
        <v>511900.0</v>
      </c>
      <c r="G8" s="7">
        <v>163000.0</v>
      </c>
    </row>
    <row r="9">
      <c r="A9" s="1"/>
      <c r="B9" s="4" t="s">
        <v>66</v>
      </c>
      <c r="C9" s="1"/>
      <c r="D9" s="1"/>
      <c r="E9" s="1"/>
      <c r="F9" s="2">
        <v>439500.0</v>
      </c>
      <c r="G9" s="76">
        <v>188000.0</v>
      </c>
    </row>
    <row r="10">
      <c r="A10" s="1"/>
      <c r="B10" s="4" t="s">
        <v>67</v>
      </c>
      <c r="C10" s="1"/>
      <c r="D10" s="49" t="s">
        <v>8</v>
      </c>
      <c r="E10" s="49"/>
      <c r="F10" s="7">
        <v>189700.0</v>
      </c>
      <c r="G10" s="7">
        <v>78000.0</v>
      </c>
    </row>
    <row r="11">
      <c r="A11" s="1"/>
      <c r="B11" s="4" t="s">
        <v>1950</v>
      </c>
      <c r="C11" s="1"/>
      <c r="D11" s="49"/>
      <c r="E11" s="49"/>
      <c r="F11" s="7">
        <v>400000.0</v>
      </c>
      <c r="G11" s="7"/>
    </row>
    <row r="12">
      <c r="A12" s="1"/>
      <c r="B12" s="4"/>
      <c r="C12" s="50" t="s">
        <v>405</v>
      </c>
      <c r="E12" s="4"/>
      <c r="F12" s="2">
        <f>SUM(F6:F11)</f>
        <v>2672900</v>
      </c>
      <c r="G12" s="7">
        <f>SUM(G6:G10)</f>
        <v>886000</v>
      </c>
    </row>
    <row r="13">
      <c r="A13" s="1"/>
      <c r="B13" s="51" t="s">
        <v>9</v>
      </c>
      <c r="C13" s="52"/>
      <c r="D13" s="52"/>
      <c r="E13" s="52"/>
      <c r="F13" s="53"/>
      <c r="G13" s="68">
        <f>SUM(F12:G12)</f>
        <v>3558900</v>
      </c>
    </row>
    <row r="14">
      <c r="A14" s="6" t="s">
        <v>1951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1952</v>
      </c>
      <c r="C16" s="1"/>
      <c r="D16" s="1"/>
      <c r="E16" s="1"/>
      <c r="F16" s="1"/>
      <c r="G16" s="77">
        <v>240000.0</v>
      </c>
    </row>
    <row r="17">
      <c r="A17" s="1"/>
      <c r="B17" s="4" t="s">
        <v>1594</v>
      </c>
      <c r="C17" s="1"/>
      <c r="D17" s="1"/>
      <c r="E17" s="1"/>
      <c r="F17" s="1"/>
      <c r="G17" s="77">
        <v>100000.0</v>
      </c>
    </row>
    <row r="18">
      <c r="A18" s="1"/>
      <c r="B18" s="4" t="s">
        <v>13</v>
      </c>
      <c r="C18" s="1"/>
      <c r="D18" s="1"/>
      <c r="E18" s="1"/>
      <c r="F18" s="1"/>
      <c r="G18" s="13">
        <v>125000.0</v>
      </c>
    </row>
    <row r="19">
      <c r="A19" s="1"/>
      <c r="B19" s="4" t="s">
        <v>14</v>
      </c>
      <c r="C19" s="1"/>
      <c r="D19" s="1"/>
      <c r="E19" s="1"/>
      <c r="F19" s="1"/>
      <c r="G19" s="13">
        <v>125000.0</v>
      </c>
    </row>
    <row r="20">
      <c r="A20" s="1"/>
      <c r="B20" s="4" t="s">
        <v>15</v>
      </c>
      <c r="C20" s="1"/>
      <c r="D20" s="1"/>
      <c r="E20" s="1"/>
      <c r="F20" s="1"/>
      <c r="G20" s="77">
        <v>100000.0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77">
        <v>80000.0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77">
        <v>125000.0</v>
      </c>
    </row>
    <row r="23" ht="15.75" customHeight="1">
      <c r="A23" s="1"/>
      <c r="B23" s="4" t="s">
        <v>1836</v>
      </c>
      <c r="C23" s="1"/>
      <c r="D23" s="1"/>
      <c r="E23" s="1"/>
      <c r="F23" s="1"/>
      <c r="G23" s="77">
        <v>100000.0</v>
      </c>
    </row>
    <row r="24" ht="15.75" customHeight="1">
      <c r="A24" s="1"/>
      <c r="B24" s="4" t="s">
        <v>1953</v>
      </c>
      <c r="C24" s="1"/>
      <c r="D24" s="1"/>
      <c r="E24" s="1"/>
      <c r="F24" s="1"/>
      <c r="G24" s="77">
        <v>50000.0</v>
      </c>
    </row>
    <row r="25" ht="15.75" customHeight="1">
      <c r="A25" s="1"/>
      <c r="B25" s="9" t="s">
        <v>18</v>
      </c>
      <c r="C25" s="10"/>
      <c r="D25" s="10"/>
      <c r="E25" s="10"/>
      <c r="F25" s="10"/>
      <c r="G25" s="69">
        <f>SUM(G16:G24)</f>
        <v>1045000</v>
      </c>
    </row>
    <row r="26" ht="15.75" customHeight="1">
      <c r="A26" s="1"/>
      <c r="B26" s="12" t="s">
        <v>19</v>
      </c>
      <c r="C26" s="15"/>
      <c r="D26" s="1"/>
      <c r="E26" s="1"/>
      <c r="F26" s="1"/>
      <c r="G26" s="2"/>
    </row>
    <row r="27" ht="15.75" customHeight="1">
      <c r="A27" s="1"/>
      <c r="B27" s="4" t="s">
        <v>1954</v>
      </c>
      <c r="C27" s="15"/>
      <c r="D27" s="1"/>
      <c r="E27" s="1"/>
      <c r="F27" s="1"/>
      <c r="G27" s="2">
        <v>100000.0</v>
      </c>
    </row>
    <row r="28" ht="15.75" customHeight="1">
      <c r="A28" s="1"/>
      <c r="B28" s="4" t="s">
        <v>1955</v>
      </c>
      <c r="C28" s="15"/>
      <c r="D28" s="1"/>
      <c r="E28" s="1"/>
      <c r="F28" s="1"/>
      <c r="G28" s="2">
        <v>10000.0</v>
      </c>
    </row>
    <row r="29" ht="15.75" customHeight="1">
      <c r="A29" s="1"/>
      <c r="B29" s="4" t="s">
        <v>203</v>
      </c>
      <c r="C29" s="15"/>
      <c r="D29" s="1"/>
      <c r="E29" s="1"/>
      <c r="F29" s="1"/>
      <c r="G29" s="2">
        <v>5500.0</v>
      </c>
    </row>
    <row r="30" ht="15.75" customHeight="1">
      <c r="A30" s="1"/>
      <c r="B30" s="4" t="s">
        <v>1956</v>
      </c>
      <c r="C30" s="15"/>
      <c r="D30" s="1"/>
      <c r="E30" s="1"/>
      <c r="F30" s="1"/>
      <c r="G30" s="2">
        <v>2500.0</v>
      </c>
    </row>
    <row r="31" ht="15.75" customHeight="1">
      <c r="A31" s="1"/>
      <c r="B31" s="4" t="s">
        <v>245</v>
      </c>
      <c r="C31" s="15"/>
      <c r="D31" s="1"/>
      <c r="E31" s="1"/>
      <c r="F31" s="1"/>
      <c r="G31" s="2">
        <v>6000.0</v>
      </c>
    </row>
    <row r="32" ht="15.75" customHeight="1">
      <c r="A32" s="1"/>
      <c r="B32" s="4" t="s">
        <v>1957</v>
      </c>
      <c r="C32" s="15"/>
      <c r="D32" s="1"/>
      <c r="E32" s="1"/>
      <c r="F32" s="1"/>
      <c r="G32" s="2">
        <v>45000.0</v>
      </c>
    </row>
    <row r="33" ht="15.75" customHeight="1">
      <c r="A33" s="1"/>
      <c r="B33" s="4" t="s">
        <v>1958</v>
      </c>
      <c r="C33" s="15"/>
      <c r="D33" s="1"/>
      <c r="E33" s="1"/>
      <c r="F33" s="1"/>
      <c r="G33" s="2">
        <v>12500.0</v>
      </c>
    </row>
    <row r="34" ht="15.75" customHeight="1">
      <c r="A34" s="1"/>
      <c r="B34" s="4" t="s">
        <v>1959</v>
      </c>
      <c r="C34" s="15"/>
      <c r="D34" s="1"/>
      <c r="E34" s="1"/>
      <c r="F34" s="1"/>
      <c r="G34" s="2">
        <v>350000.0</v>
      </c>
    </row>
    <row r="35" ht="15.75" customHeight="1">
      <c r="A35" s="1"/>
      <c r="B35" s="4" t="s">
        <v>1960</v>
      </c>
      <c r="C35" s="15"/>
      <c r="D35" s="1"/>
      <c r="E35" s="1"/>
      <c r="F35" s="1"/>
      <c r="G35" s="2">
        <v>368200.0</v>
      </c>
    </row>
    <row r="36" ht="15.75" customHeight="1">
      <c r="A36" s="1"/>
      <c r="B36" s="4" t="s">
        <v>1961</v>
      </c>
      <c r="C36" s="15"/>
      <c r="D36" s="1"/>
      <c r="E36" s="1"/>
      <c r="F36" s="1"/>
      <c r="G36" s="2">
        <v>3000.0</v>
      </c>
    </row>
    <row r="37" ht="15.75" customHeight="1">
      <c r="A37" s="1"/>
      <c r="B37" s="4" t="s">
        <v>1962</v>
      </c>
      <c r="C37" s="15"/>
      <c r="D37" s="78"/>
      <c r="E37" s="1" t="s">
        <v>1585</v>
      </c>
      <c r="F37" s="1"/>
      <c r="G37" s="79">
        <v>15000.0</v>
      </c>
    </row>
    <row r="38" ht="15.75" customHeight="1">
      <c r="A38" s="1"/>
      <c r="B38" s="4" t="s">
        <v>1090</v>
      </c>
      <c r="C38" s="15"/>
      <c r="D38" s="1"/>
      <c r="E38" s="1"/>
      <c r="F38" s="1"/>
      <c r="G38" s="2">
        <v>2000.0</v>
      </c>
    </row>
    <row r="39" ht="15.75" customHeight="1">
      <c r="A39" s="1"/>
      <c r="B39" s="4" t="s">
        <v>1963</v>
      </c>
      <c r="C39" s="15"/>
      <c r="D39" s="1"/>
      <c r="E39" s="1"/>
      <c r="F39" s="1"/>
      <c r="G39" s="2">
        <v>1000.0</v>
      </c>
    </row>
    <row r="40" ht="15.75" customHeight="1">
      <c r="A40" s="1"/>
      <c r="B40" s="4" t="s">
        <v>1964</v>
      </c>
      <c r="C40" s="15"/>
      <c r="D40" s="1"/>
      <c r="E40" s="1"/>
      <c r="F40" s="1"/>
      <c r="G40" s="2">
        <v>30000.0</v>
      </c>
    </row>
    <row r="41" ht="15.75" customHeight="1">
      <c r="A41" s="1"/>
      <c r="B41" s="4" t="s">
        <v>690</v>
      </c>
      <c r="C41" s="15"/>
      <c r="D41" s="1"/>
      <c r="E41" s="1"/>
      <c r="F41" s="1"/>
      <c r="G41" s="2">
        <v>5000.0</v>
      </c>
    </row>
    <row r="42" ht="15.75" customHeight="1">
      <c r="A42" s="1"/>
      <c r="B42" s="4" t="s">
        <v>1965</v>
      </c>
      <c r="C42" s="15"/>
      <c r="D42" s="1"/>
      <c r="E42" s="1"/>
      <c r="F42" s="1"/>
      <c r="G42" s="2">
        <v>30000.0</v>
      </c>
    </row>
    <row r="43" ht="15.75" customHeight="1">
      <c r="A43" s="1"/>
      <c r="B43" s="4" t="s">
        <v>1966</v>
      </c>
      <c r="C43" s="15"/>
      <c r="D43" s="1"/>
      <c r="E43" s="1"/>
      <c r="F43" s="1"/>
      <c r="G43" s="2">
        <v>52500.0</v>
      </c>
    </row>
    <row r="44" ht="15.75" customHeight="1">
      <c r="A44" s="1"/>
      <c r="B44" s="4" t="s">
        <v>652</v>
      </c>
      <c r="C44" s="15"/>
      <c r="D44" s="1"/>
      <c r="E44" s="1"/>
      <c r="F44" s="1"/>
      <c r="G44" s="2">
        <v>8000.0</v>
      </c>
    </row>
    <row r="45" ht="15.75" customHeight="1">
      <c r="A45" s="1"/>
      <c r="B45" s="4" t="s">
        <v>1967</v>
      </c>
      <c r="C45" s="15"/>
      <c r="D45" s="1"/>
      <c r="E45" s="1"/>
      <c r="F45" s="1"/>
      <c r="G45" s="2">
        <v>500.0</v>
      </c>
    </row>
    <row r="46" ht="15.75" customHeight="1">
      <c r="A46" s="1"/>
      <c r="B46" s="4" t="s">
        <v>1968</v>
      </c>
      <c r="C46" s="15"/>
      <c r="D46" s="1"/>
      <c r="E46" s="1"/>
      <c r="F46" s="1"/>
      <c r="G46" s="2">
        <v>55000.0</v>
      </c>
    </row>
    <row r="47" ht="15.75" customHeight="1">
      <c r="A47" s="1"/>
      <c r="B47" s="1" t="s">
        <v>1969</v>
      </c>
      <c r="C47" s="1"/>
      <c r="D47" s="1"/>
      <c r="E47" s="1"/>
      <c r="F47" s="1"/>
      <c r="G47" s="13">
        <v>98370.0</v>
      </c>
    </row>
    <row r="48" ht="15.75" customHeight="1">
      <c r="A48" s="1"/>
      <c r="B48" s="1" t="s">
        <v>1970</v>
      </c>
      <c r="C48" s="1"/>
      <c r="D48" s="1"/>
      <c r="E48" s="1"/>
      <c r="F48" s="1"/>
      <c r="G48" s="13">
        <v>500.0</v>
      </c>
    </row>
    <row r="49" ht="15.75" customHeight="1">
      <c r="A49" s="1"/>
      <c r="B49" s="1" t="s">
        <v>830</v>
      </c>
      <c r="C49" s="1"/>
      <c r="D49" s="1"/>
      <c r="E49" s="1"/>
      <c r="F49" s="1"/>
      <c r="G49" s="13">
        <v>2000.0</v>
      </c>
    </row>
    <row r="50" ht="15.75" customHeight="1">
      <c r="A50" s="1"/>
      <c r="B50" s="1" t="s">
        <v>1971</v>
      </c>
      <c r="C50" s="1"/>
      <c r="D50" s="1"/>
      <c r="E50" s="1"/>
      <c r="F50" s="1"/>
      <c r="G50" s="13">
        <v>10000.0</v>
      </c>
    </row>
    <row r="51" ht="15.75" customHeight="1">
      <c r="A51" s="1"/>
      <c r="B51" s="1" t="s">
        <v>1972</v>
      </c>
      <c r="C51" s="1"/>
      <c r="D51" s="1"/>
      <c r="E51" s="1"/>
      <c r="F51" s="1"/>
      <c r="G51" s="13">
        <v>125000.0</v>
      </c>
    </row>
    <row r="52" ht="15.75" customHeight="1">
      <c r="A52" s="1"/>
      <c r="B52" s="1" t="s">
        <v>463</v>
      </c>
      <c r="C52" s="1"/>
      <c r="D52" s="1"/>
      <c r="E52" s="1"/>
      <c r="F52" s="1"/>
      <c r="G52" s="13">
        <v>10000.0</v>
      </c>
    </row>
    <row r="53" ht="15.75" customHeight="1">
      <c r="A53" s="1"/>
      <c r="B53" s="1" t="s">
        <v>1933</v>
      </c>
      <c r="C53" s="1"/>
      <c r="D53" s="1"/>
      <c r="E53" s="1"/>
      <c r="F53" s="1"/>
      <c r="G53" s="13">
        <v>50000.0</v>
      </c>
    </row>
    <row r="54" ht="15.75" customHeight="1">
      <c r="A54" s="1"/>
      <c r="B54" s="43" t="s">
        <v>43</v>
      </c>
      <c r="C54" s="1"/>
      <c r="D54" s="1"/>
      <c r="E54" s="1"/>
      <c r="F54" s="1"/>
      <c r="G54" s="18">
        <f>SUM(G27:G53)</f>
        <v>1397570</v>
      </c>
    </row>
    <row r="55" ht="15.75" customHeight="1">
      <c r="A55" s="1"/>
      <c r="B55" s="19" t="s">
        <v>45</v>
      </c>
      <c r="C55" s="20"/>
      <c r="D55" s="20"/>
      <c r="E55" s="20"/>
      <c r="F55" s="20"/>
      <c r="G55" s="70">
        <f>SUM(G25+G54)</f>
        <v>2442570</v>
      </c>
    </row>
    <row r="56" ht="15.75" customHeight="1">
      <c r="A56" s="1"/>
      <c r="B56" s="4" t="s">
        <v>46</v>
      </c>
      <c r="C56" s="1"/>
      <c r="D56" s="1"/>
      <c r="E56" s="1"/>
      <c r="F56" s="1"/>
      <c r="G56" s="2"/>
    </row>
    <row r="57" ht="15.75" customHeight="1">
      <c r="A57" s="35" t="s">
        <v>1973</v>
      </c>
      <c r="B57" s="36"/>
      <c r="C57" s="37"/>
      <c r="D57" s="37"/>
      <c r="E57" s="37"/>
      <c r="F57" s="37"/>
      <c r="G57" s="71">
        <f>(G13-G55)</f>
        <v>1116330</v>
      </c>
    </row>
    <row r="58" ht="15.75" customHeight="1">
      <c r="A58" s="22" t="s">
        <v>254</v>
      </c>
      <c r="B58" s="43" t="s">
        <v>255</v>
      </c>
      <c r="C58" s="1"/>
      <c r="D58" s="1"/>
      <c r="E58" s="1"/>
      <c r="F58" s="1"/>
      <c r="G58" s="2"/>
    </row>
    <row r="59" ht="15.75" customHeight="1">
      <c r="A59" s="22"/>
      <c r="B59" s="43"/>
      <c r="C59" s="1"/>
      <c r="D59" s="1"/>
      <c r="E59" s="1"/>
      <c r="F59" s="1"/>
      <c r="G59" s="2"/>
    </row>
    <row r="60" ht="15.75" customHeight="1">
      <c r="A60" s="44"/>
      <c r="B60" s="72" t="s">
        <v>51</v>
      </c>
      <c r="C60" s="27"/>
      <c r="D60" s="27"/>
      <c r="E60" s="27"/>
      <c r="F60" s="27"/>
      <c r="G60" s="73"/>
    </row>
    <row r="61" ht="15.75" customHeight="1">
      <c r="A61" s="44"/>
      <c r="B61" s="44"/>
      <c r="C61" s="45" t="s">
        <v>1974</v>
      </c>
      <c r="D61" s="46"/>
      <c r="E61" s="46"/>
      <c r="F61" s="46"/>
      <c r="G61" s="47">
        <f>G3+G57-G60</f>
        <v>8999709</v>
      </c>
    </row>
    <row r="62" ht="15.75" customHeight="1">
      <c r="A62" s="1"/>
      <c r="B62" s="32" t="s">
        <v>1975</v>
      </c>
    </row>
    <row r="63" ht="15.75" customHeight="1">
      <c r="A63" s="1"/>
      <c r="B63" s="1"/>
      <c r="C63" s="1" t="s">
        <v>1270</v>
      </c>
      <c r="D63" s="1"/>
      <c r="E63" s="1"/>
      <c r="F63" s="1"/>
      <c r="G63" s="2"/>
    </row>
    <row r="64" ht="15.75" customHeight="1">
      <c r="A64" s="1"/>
      <c r="B64" s="1"/>
      <c r="C64" s="1" t="s">
        <v>1583</v>
      </c>
      <c r="D64" s="1"/>
      <c r="E64" s="1"/>
      <c r="F64" s="1"/>
      <c r="G64" s="2">
        <v>300700.0</v>
      </c>
    </row>
    <row r="65" ht="15.75" customHeight="1">
      <c r="A65" s="1"/>
      <c r="B65" s="1"/>
      <c r="C65" s="43" t="s">
        <v>115</v>
      </c>
      <c r="D65" s="1"/>
      <c r="E65" s="1"/>
      <c r="F65" s="1"/>
      <c r="G65" s="2">
        <v>300700.0</v>
      </c>
    </row>
    <row r="66" ht="15.75" customHeight="1">
      <c r="A66" s="1"/>
      <c r="B66" s="1"/>
      <c r="C66" s="43"/>
      <c r="D66" s="1"/>
      <c r="E66" s="1"/>
      <c r="F66" s="1"/>
      <c r="G66" s="2" t="s">
        <v>480</v>
      </c>
    </row>
    <row r="67" ht="15.75" customHeight="1">
      <c r="A67" s="1"/>
      <c r="B67" s="43" t="s">
        <v>1825</v>
      </c>
      <c r="C67" s="43"/>
      <c r="D67" s="1"/>
      <c r="E67" s="1"/>
      <c r="F67" s="1"/>
      <c r="G67" s="2"/>
    </row>
    <row r="68" ht="15.75" customHeight="1">
      <c r="A68" s="1"/>
      <c r="B68" s="43" t="s">
        <v>1908</v>
      </c>
      <c r="C68" s="43"/>
      <c r="D68" s="1"/>
      <c r="E68" s="1"/>
      <c r="F68" s="1"/>
      <c r="G68" s="1"/>
    </row>
    <row r="69" ht="15.75" customHeight="1">
      <c r="A69" s="1"/>
      <c r="B69" s="33" t="s">
        <v>1976</v>
      </c>
      <c r="C69" s="1"/>
      <c r="D69" s="1"/>
      <c r="E69" s="1"/>
      <c r="F69" s="1"/>
      <c r="G69" s="2"/>
    </row>
    <row r="70" ht="15.75" customHeight="1">
      <c r="A70" s="1"/>
      <c r="B70" s="33"/>
      <c r="C70" s="1"/>
      <c r="D70" s="1"/>
      <c r="E70" s="1"/>
      <c r="F70" s="1"/>
      <c r="G70" s="2"/>
    </row>
    <row r="71" ht="15.75" customHeight="1">
      <c r="A71" s="1"/>
      <c r="B71" s="55" t="s">
        <v>531</v>
      </c>
      <c r="C71" s="56"/>
      <c r="D71" s="56"/>
      <c r="E71" s="56"/>
      <c r="F71" s="1"/>
      <c r="G71" s="2"/>
    </row>
    <row r="72" ht="15.75" customHeight="1">
      <c r="A72" s="1"/>
      <c r="B72" s="55"/>
      <c r="C72" s="56"/>
      <c r="D72" s="56"/>
      <c r="E72" s="56"/>
      <c r="F72" s="1"/>
      <c r="G72" s="2"/>
    </row>
    <row r="73" ht="15.75" customHeight="1">
      <c r="A73" s="1"/>
      <c r="B73" s="55" t="s">
        <v>1977</v>
      </c>
      <c r="C73" s="56"/>
      <c r="D73" s="56"/>
      <c r="E73" s="56"/>
      <c r="F73" s="1"/>
      <c r="G73" s="2"/>
    </row>
    <row r="74" ht="15.75" customHeight="1">
      <c r="A74" s="1"/>
      <c r="B74" s="55"/>
      <c r="C74" s="56"/>
      <c r="D74" s="56"/>
      <c r="E74" s="56"/>
      <c r="F74" s="1"/>
      <c r="G74" s="2"/>
    </row>
    <row r="75" ht="15.75" customHeight="1">
      <c r="A75" s="1"/>
      <c r="B75" s="55" t="s">
        <v>533</v>
      </c>
      <c r="F75" s="1"/>
      <c r="G75" s="2"/>
    </row>
    <row r="76" ht="15.75" customHeight="1">
      <c r="A76" s="1"/>
      <c r="B76" s="55"/>
      <c r="C76" s="55"/>
      <c r="D76" s="55"/>
      <c r="E76" s="55"/>
      <c r="F76" s="1"/>
      <c r="G76" s="2"/>
    </row>
    <row r="77" ht="15.75" customHeight="1">
      <c r="A77" s="1"/>
      <c r="B77" s="55" t="s">
        <v>1978</v>
      </c>
      <c r="C77" s="56"/>
      <c r="D77" s="57"/>
      <c r="E77" s="56"/>
      <c r="F77" s="1"/>
      <c r="G77" s="2"/>
    </row>
    <row r="78" ht="15.75" customHeight="1">
      <c r="A78" s="1"/>
      <c r="B78" s="55"/>
      <c r="C78" s="56"/>
      <c r="D78" s="57"/>
      <c r="E78" s="56"/>
      <c r="F78" s="1"/>
      <c r="G78" s="2"/>
    </row>
    <row r="79" ht="15.75" customHeight="1">
      <c r="A79" s="1"/>
      <c r="B79" s="55" t="s">
        <v>535</v>
      </c>
      <c r="C79" s="56"/>
      <c r="D79" s="57"/>
      <c r="E79" s="56"/>
      <c r="F79" s="1"/>
      <c r="G79" s="2"/>
    </row>
    <row r="80" ht="15.75" customHeight="1">
      <c r="A80" s="1"/>
      <c r="B80" s="55"/>
      <c r="C80" s="56"/>
      <c r="D80" s="57"/>
      <c r="E80" s="56"/>
      <c r="F80" s="1"/>
      <c r="G80" s="2"/>
    </row>
    <row r="81" ht="15.75" customHeight="1">
      <c r="B81" s="55" t="s">
        <v>536</v>
      </c>
      <c r="C81" s="56"/>
      <c r="D81" s="57"/>
      <c r="E81" s="57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2:D12"/>
    <mergeCell ref="B13:F13"/>
    <mergeCell ref="B62:G62"/>
    <mergeCell ref="B75:E75"/>
  </mergeCells>
  <printOptions/>
  <pageMargins bottom="0.75" footer="0.0" header="0.0" left="0.7" right="0.7" top="0.7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5" width="10.71"/>
    <col customWidth="1" min="6" max="6" width="14.57"/>
    <col customWidth="1" min="7" max="7" width="19.71"/>
    <col customWidth="1" min="8" max="26" width="10.71"/>
  </cols>
  <sheetData>
    <row r="2">
      <c r="A2" s="1" t="s">
        <v>721</v>
      </c>
      <c r="B2" s="3" t="s">
        <v>1979</v>
      </c>
      <c r="C2" s="1"/>
      <c r="D2" s="1"/>
      <c r="E2" s="1"/>
      <c r="F2" s="1"/>
      <c r="G2" s="2"/>
    </row>
    <row r="3">
      <c r="A3" s="1"/>
      <c r="B3" s="75" t="s">
        <v>1980</v>
      </c>
      <c r="G3" s="47">
        <v>8999709.0</v>
      </c>
    </row>
    <row r="4">
      <c r="A4" s="1"/>
      <c r="G4" s="2"/>
    </row>
    <row r="5">
      <c r="A5" s="6" t="s">
        <v>1981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85100.0</v>
      </c>
      <c r="G6" s="7">
        <v>58000.0</v>
      </c>
    </row>
    <row r="7">
      <c r="A7" s="1"/>
      <c r="B7" s="4" t="s">
        <v>64</v>
      </c>
      <c r="C7" s="1"/>
      <c r="D7" s="1"/>
      <c r="E7" s="1"/>
      <c r="F7" s="2">
        <v>414400.0</v>
      </c>
      <c r="G7" s="7">
        <v>201000.0</v>
      </c>
    </row>
    <row r="8">
      <c r="A8" s="1"/>
      <c r="B8" s="4" t="s">
        <v>65</v>
      </c>
      <c r="C8" s="1"/>
      <c r="D8" s="1"/>
      <c r="E8" s="1"/>
      <c r="F8" s="2">
        <v>325300.0</v>
      </c>
      <c r="G8" s="7">
        <v>79000.0</v>
      </c>
    </row>
    <row r="9">
      <c r="A9" s="1"/>
      <c r="B9" s="4" t="s">
        <v>66</v>
      </c>
      <c r="C9" s="1"/>
      <c r="D9" s="1"/>
      <c r="E9" s="1"/>
      <c r="F9" s="2">
        <v>546800.0</v>
      </c>
      <c r="G9" s="76">
        <v>168000.0</v>
      </c>
    </row>
    <row r="10">
      <c r="A10" s="1"/>
      <c r="B10" s="4" t="s">
        <v>67</v>
      </c>
      <c r="C10" s="1"/>
      <c r="D10" s="49" t="s">
        <v>8</v>
      </c>
      <c r="E10" s="49"/>
      <c r="F10" s="7">
        <v>642300.0</v>
      </c>
      <c r="G10" s="7">
        <v>140000.0</v>
      </c>
    </row>
    <row r="11">
      <c r="A11" s="1"/>
      <c r="B11" s="4" t="s">
        <v>1982</v>
      </c>
      <c r="C11" s="1"/>
      <c r="D11" s="49"/>
      <c r="E11" s="49"/>
      <c r="F11" s="7">
        <v>296000.0</v>
      </c>
      <c r="G11" s="7"/>
    </row>
    <row r="12">
      <c r="A12" s="1"/>
      <c r="B12" s="4"/>
      <c r="C12" s="50" t="s">
        <v>405</v>
      </c>
      <c r="E12" s="4"/>
      <c r="F12" s="2">
        <f>SUM(F6:F11)</f>
        <v>2309900</v>
      </c>
      <c r="G12" s="7">
        <f>SUM(G6:G10)</f>
        <v>646000</v>
      </c>
    </row>
    <row r="13">
      <c r="A13" s="1"/>
      <c r="B13" s="51" t="s">
        <v>9</v>
      </c>
      <c r="C13" s="52"/>
      <c r="D13" s="52"/>
      <c r="E13" s="52"/>
      <c r="F13" s="53"/>
      <c r="G13" s="68">
        <f>SUM(F12:G12)</f>
        <v>2955900</v>
      </c>
    </row>
    <row r="14">
      <c r="A14" s="6" t="s">
        <v>1983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1984</v>
      </c>
      <c r="C16" s="1"/>
      <c r="D16" s="1"/>
      <c r="E16" s="1"/>
      <c r="F16" s="1"/>
      <c r="G16" s="77">
        <v>296000.0</v>
      </c>
    </row>
    <row r="17">
      <c r="A17" s="1"/>
      <c r="B17" s="4" t="s">
        <v>1594</v>
      </c>
      <c r="C17" s="1"/>
      <c r="D17" s="1"/>
      <c r="E17" s="1"/>
      <c r="F17" s="1"/>
      <c r="G17" s="77">
        <v>100000.0</v>
      </c>
    </row>
    <row r="18">
      <c r="A18" s="1"/>
      <c r="B18" s="4" t="s">
        <v>13</v>
      </c>
      <c r="C18" s="1"/>
      <c r="D18" s="1"/>
      <c r="E18" s="1"/>
      <c r="F18" s="1"/>
      <c r="G18" s="13">
        <v>125000.0</v>
      </c>
    </row>
    <row r="19">
      <c r="A19" s="1"/>
      <c r="B19" s="4" t="s">
        <v>14</v>
      </c>
      <c r="C19" s="1"/>
      <c r="D19" s="1"/>
      <c r="E19" s="1"/>
      <c r="F19" s="1"/>
      <c r="G19" s="13">
        <v>125000.0</v>
      </c>
    </row>
    <row r="20">
      <c r="A20" s="1"/>
      <c r="B20" s="4" t="s">
        <v>15</v>
      </c>
      <c r="C20" s="1"/>
      <c r="D20" s="1"/>
      <c r="E20" s="1"/>
      <c r="F20" s="1"/>
      <c r="G20" s="77">
        <v>100000.0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77">
        <v>80000.0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77">
        <v>125000.0</v>
      </c>
    </row>
    <row r="23" ht="15.75" customHeight="1">
      <c r="A23" s="1"/>
      <c r="B23" s="4" t="s">
        <v>1836</v>
      </c>
      <c r="C23" s="1"/>
      <c r="D23" s="1"/>
      <c r="E23" s="1"/>
      <c r="F23" s="1"/>
      <c r="G23" s="77">
        <v>100000.0</v>
      </c>
    </row>
    <row r="24" ht="15.75" customHeight="1">
      <c r="A24" s="1"/>
      <c r="B24" s="4" t="s">
        <v>1953</v>
      </c>
      <c r="C24" s="1"/>
      <c r="D24" s="1"/>
      <c r="E24" s="1"/>
      <c r="F24" s="1"/>
      <c r="G24" s="77">
        <v>100000.0</v>
      </c>
    </row>
    <row r="25" ht="15.75" customHeight="1">
      <c r="A25" s="1"/>
      <c r="B25" s="9" t="s">
        <v>18</v>
      </c>
      <c r="C25" s="10"/>
      <c r="D25" s="10"/>
      <c r="E25" s="10"/>
      <c r="F25" s="10"/>
      <c r="G25" s="69">
        <f>SUM(G16:G24)</f>
        <v>1151000</v>
      </c>
    </row>
    <row r="26" ht="15.75" customHeight="1">
      <c r="A26" s="1"/>
      <c r="B26" s="12" t="s">
        <v>19</v>
      </c>
      <c r="C26" s="15"/>
      <c r="D26" s="1"/>
      <c r="E26" s="1"/>
      <c r="F26" s="1"/>
      <c r="G26" s="2"/>
    </row>
    <row r="27" ht="15.75" customHeight="1">
      <c r="A27" s="1"/>
      <c r="B27" s="4" t="s">
        <v>1985</v>
      </c>
      <c r="C27" s="15"/>
      <c r="D27" s="1"/>
      <c r="E27" s="1"/>
      <c r="F27" s="1"/>
      <c r="G27" s="2">
        <v>38350.0</v>
      </c>
    </row>
    <row r="28" ht="15.75" customHeight="1">
      <c r="A28" s="1"/>
      <c r="B28" s="4" t="s">
        <v>1986</v>
      </c>
      <c r="C28" s="15"/>
      <c r="D28" s="1"/>
      <c r="E28" s="1"/>
      <c r="F28" s="1"/>
      <c r="G28" s="2">
        <v>18805.0</v>
      </c>
    </row>
    <row r="29" ht="15.75" customHeight="1">
      <c r="A29" s="1"/>
      <c r="B29" s="4" t="s">
        <v>1987</v>
      </c>
      <c r="C29" s="15"/>
      <c r="D29" s="1"/>
      <c r="E29" s="1"/>
      <c r="F29" s="1"/>
      <c r="G29" s="2">
        <v>15000.0</v>
      </c>
    </row>
    <row r="30" ht="15.75" customHeight="1">
      <c r="A30" s="1"/>
      <c r="B30" s="4" t="s">
        <v>1988</v>
      </c>
      <c r="C30" s="15"/>
      <c r="D30" s="1"/>
      <c r="E30" s="1"/>
      <c r="F30" s="1"/>
      <c r="G30" s="2">
        <v>75000.0</v>
      </c>
    </row>
    <row r="31" ht="15.75" customHeight="1">
      <c r="A31" s="1"/>
      <c r="B31" s="4" t="s">
        <v>1989</v>
      </c>
      <c r="C31" s="15"/>
      <c r="D31" s="1"/>
      <c r="E31" s="1"/>
      <c r="F31" s="1"/>
      <c r="G31" s="2">
        <v>130500.0</v>
      </c>
    </row>
    <row r="32" ht="15.75" customHeight="1">
      <c r="A32" s="1"/>
      <c r="B32" s="4" t="s">
        <v>1990</v>
      </c>
      <c r="C32" s="15"/>
      <c r="D32" s="1"/>
      <c r="E32" s="1"/>
      <c r="F32" s="1"/>
      <c r="G32" s="2">
        <v>1000.0</v>
      </c>
    </row>
    <row r="33" ht="15.75" customHeight="1">
      <c r="A33" s="1"/>
      <c r="B33" s="4" t="s">
        <v>1987</v>
      </c>
      <c r="C33" s="15"/>
      <c r="D33" s="1"/>
      <c r="E33" s="1"/>
      <c r="F33" s="1"/>
      <c r="G33" s="2">
        <v>10000.0</v>
      </c>
    </row>
    <row r="34" ht="15.75" customHeight="1">
      <c r="A34" s="1"/>
      <c r="B34" s="4" t="s">
        <v>1991</v>
      </c>
      <c r="C34" s="15"/>
      <c r="D34" s="1"/>
      <c r="E34" s="1"/>
      <c r="F34" s="1"/>
      <c r="G34" s="2">
        <v>8000.0</v>
      </c>
    </row>
    <row r="35" ht="15.75" customHeight="1">
      <c r="A35" s="1"/>
      <c r="B35" s="4" t="s">
        <v>1992</v>
      </c>
      <c r="C35" s="15"/>
      <c r="D35" s="1"/>
      <c r="E35" s="1"/>
      <c r="F35" s="1"/>
      <c r="G35" s="2">
        <v>1000.0</v>
      </c>
    </row>
    <row r="36" ht="15.75" customHeight="1">
      <c r="A36" s="1"/>
      <c r="B36" s="4" t="s">
        <v>1993</v>
      </c>
      <c r="C36" s="15"/>
      <c r="D36" s="1"/>
      <c r="E36" s="1"/>
      <c r="F36" s="1"/>
      <c r="G36" s="2">
        <v>1000.0</v>
      </c>
    </row>
    <row r="37" ht="15.75" customHeight="1">
      <c r="A37" s="1"/>
      <c r="B37" s="4" t="s">
        <v>652</v>
      </c>
      <c r="C37" s="15"/>
      <c r="D37" s="78"/>
      <c r="E37" s="1"/>
      <c r="F37" s="1"/>
      <c r="G37" s="79">
        <v>8000.0</v>
      </c>
    </row>
    <row r="38" ht="15.75" customHeight="1">
      <c r="A38" s="1"/>
      <c r="B38" s="4" t="s">
        <v>324</v>
      </c>
      <c r="C38" s="15"/>
      <c r="D38" s="1"/>
      <c r="E38" s="1"/>
      <c r="F38" s="1"/>
      <c r="G38" s="2">
        <v>1600.0</v>
      </c>
    </row>
    <row r="39" ht="15.75" customHeight="1">
      <c r="A39" s="1"/>
      <c r="B39" s="4" t="s">
        <v>203</v>
      </c>
      <c r="C39" s="15"/>
      <c r="D39" s="1"/>
      <c r="E39" s="1"/>
      <c r="F39" s="1"/>
      <c r="G39" s="2">
        <v>5500.0</v>
      </c>
    </row>
    <row r="40" ht="15.75" customHeight="1">
      <c r="A40" s="1"/>
      <c r="B40" s="4" t="s">
        <v>1994</v>
      </c>
      <c r="C40" s="15"/>
      <c r="D40" s="1"/>
      <c r="E40" s="1"/>
      <c r="F40" s="1"/>
      <c r="G40" s="2">
        <v>50000.0</v>
      </c>
    </row>
    <row r="41" ht="15.75" customHeight="1">
      <c r="A41" s="1"/>
      <c r="B41" s="4" t="s">
        <v>1995</v>
      </c>
      <c r="C41" s="15"/>
      <c r="D41" s="1"/>
      <c r="E41" s="1"/>
      <c r="F41" s="1"/>
      <c r="G41" s="2">
        <v>5000.0</v>
      </c>
    </row>
    <row r="42" ht="15.75" customHeight="1">
      <c r="A42" s="1"/>
      <c r="B42" s="4" t="s">
        <v>1996</v>
      </c>
      <c r="C42" s="15"/>
      <c r="D42" s="1"/>
      <c r="E42" s="1"/>
      <c r="F42" s="1"/>
      <c r="G42" s="2">
        <v>6500.0</v>
      </c>
    </row>
    <row r="43" ht="15.75" customHeight="1">
      <c r="A43" s="1"/>
      <c r="B43" s="4" t="s">
        <v>1781</v>
      </c>
      <c r="C43" s="15"/>
      <c r="D43" s="1"/>
      <c r="E43" s="1"/>
      <c r="F43" s="1"/>
      <c r="G43" s="2">
        <v>100000.0</v>
      </c>
    </row>
    <row r="44" ht="15.75" customHeight="1">
      <c r="A44" s="1"/>
      <c r="B44" s="4" t="s">
        <v>1997</v>
      </c>
      <c r="C44" s="15"/>
      <c r="D44" s="1"/>
      <c r="E44" s="1"/>
      <c r="F44" s="1"/>
      <c r="G44" s="2">
        <v>33000.0</v>
      </c>
    </row>
    <row r="45" ht="15.75" customHeight="1">
      <c r="A45" s="1"/>
      <c r="B45" s="4" t="s">
        <v>1998</v>
      </c>
      <c r="C45" s="15"/>
      <c r="D45" s="1"/>
      <c r="E45" s="1"/>
      <c r="F45" s="1"/>
      <c r="G45" s="2">
        <v>180000.0</v>
      </c>
    </row>
    <row r="46" ht="15.75" customHeight="1">
      <c r="A46" s="1"/>
      <c r="B46" s="4" t="s">
        <v>1999</v>
      </c>
      <c r="C46" s="15"/>
      <c r="D46" s="1"/>
      <c r="E46" s="1"/>
      <c r="F46" s="1"/>
      <c r="G46" s="2">
        <v>65250.0</v>
      </c>
    </row>
    <row r="47" ht="15.75" customHeight="1">
      <c r="A47" s="1"/>
      <c r="B47" s="1" t="s">
        <v>652</v>
      </c>
      <c r="C47" s="1"/>
      <c r="D47" s="1"/>
      <c r="E47" s="1"/>
      <c r="F47" s="1"/>
      <c r="G47" s="13">
        <v>8000.0</v>
      </c>
    </row>
    <row r="48" ht="15.75" customHeight="1">
      <c r="A48" s="1"/>
      <c r="B48" s="1" t="s">
        <v>2000</v>
      </c>
      <c r="C48" s="1"/>
      <c r="D48" s="1"/>
      <c r="E48" s="1"/>
      <c r="F48" s="1"/>
      <c r="G48" s="13">
        <v>10000.0</v>
      </c>
    </row>
    <row r="49" ht="15.75" customHeight="1">
      <c r="A49" s="1"/>
      <c r="B49" s="1" t="s">
        <v>2001</v>
      </c>
      <c r="C49" s="1"/>
      <c r="D49" s="1"/>
      <c r="E49" s="1"/>
      <c r="F49" s="1"/>
      <c r="G49" s="13">
        <v>2000.0</v>
      </c>
    </row>
    <row r="50" ht="15.75" customHeight="1">
      <c r="A50" s="1"/>
      <c r="B50" s="1" t="s">
        <v>2002</v>
      </c>
      <c r="C50" s="1"/>
      <c r="D50" s="1"/>
      <c r="E50" s="1"/>
      <c r="F50" s="1"/>
      <c r="G50" s="13">
        <v>4000.0</v>
      </c>
    </row>
    <row r="51" ht="15.75" customHeight="1">
      <c r="A51" s="1"/>
      <c r="B51" s="1" t="s">
        <v>2003</v>
      </c>
      <c r="C51" s="1"/>
      <c r="D51" s="1"/>
      <c r="E51" s="1"/>
      <c r="F51" s="1"/>
      <c r="G51" s="13">
        <v>939936.0</v>
      </c>
    </row>
    <row r="52" ht="15.75" customHeight="1">
      <c r="A52" s="1"/>
      <c r="B52" s="1"/>
      <c r="C52" s="1"/>
      <c r="D52" s="1"/>
      <c r="E52" s="1"/>
      <c r="F52" s="1"/>
      <c r="G52" s="13"/>
    </row>
    <row r="53" ht="15.75" customHeight="1">
      <c r="A53" s="1"/>
      <c r="B53" s="1"/>
      <c r="C53" s="1"/>
      <c r="D53" s="1"/>
      <c r="E53" s="1"/>
      <c r="F53" s="1"/>
      <c r="G53" s="13"/>
    </row>
    <row r="54" ht="15.75" customHeight="1">
      <c r="A54" s="1"/>
      <c r="B54" s="43" t="s">
        <v>43</v>
      </c>
      <c r="C54" s="1"/>
      <c r="D54" s="1"/>
      <c r="E54" s="1"/>
      <c r="F54" s="1"/>
      <c r="G54" s="18">
        <f>SUM(G27:G53)</f>
        <v>1717441</v>
      </c>
    </row>
    <row r="55" ht="15.75" customHeight="1">
      <c r="A55" s="1"/>
      <c r="B55" s="19" t="s">
        <v>45</v>
      </c>
      <c r="C55" s="20"/>
      <c r="D55" s="20"/>
      <c r="E55" s="20"/>
      <c r="F55" s="20"/>
      <c r="G55" s="70">
        <f>SUM(G25+G54)</f>
        <v>2868441</v>
      </c>
    </row>
    <row r="56" ht="15.75" customHeight="1">
      <c r="A56" s="1"/>
      <c r="B56" s="4" t="s">
        <v>46</v>
      </c>
      <c r="C56" s="1"/>
      <c r="D56" s="1"/>
      <c r="E56" s="1"/>
      <c r="F56" s="1"/>
      <c r="G56" s="2"/>
    </row>
    <row r="57" ht="15.75" customHeight="1">
      <c r="A57" s="35" t="s">
        <v>2004</v>
      </c>
      <c r="B57" s="36"/>
      <c r="C57" s="37"/>
      <c r="D57" s="37"/>
      <c r="E57" s="37"/>
      <c r="F57" s="37"/>
      <c r="G57" s="71">
        <f>(G13-G55)</f>
        <v>87459</v>
      </c>
    </row>
    <row r="58" ht="15.75" customHeight="1">
      <c r="A58" s="22" t="s">
        <v>254</v>
      </c>
      <c r="B58" s="43" t="s">
        <v>255</v>
      </c>
      <c r="C58" s="1"/>
      <c r="D58" s="1"/>
      <c r="E58" s="1"/>
      <c r="F58" s="1"/>
      <c r="G58" s="2"/>
    </row>
    <row r="59" ht="15.75" customHeight="1">
      <c r="A59" s="22"/>
      <c r="B59" s="43" t="s">
        <v>2005</v>
      </c>
      <c r="C59" s="1"/>
      <c r="D59" s="1"/>
      <c r="E59" s="1"/>
      <c r="F59" s="1"/>
      <c r="G59" s="2">
        <v>1000000.0</v>
      </c>
    </row>
    <row r="60" ht="15.75" customHeight="1">
      <c r="A60" s="44"/>
      <c r="B60" s="72" t="s">
        <v>51</v>
      </c>
      <c r="C60" s="27"/>
      <c r="D60" s="27"/>
      <c r="E60" s="27"/>
      <c r="F60" s="27"/>
      <c r="G60" s="73">
        <v>1000000.0</v>
      </c>
    </row>
    <row r="61" ht="15.75" customHeight="1">
      <c r="A61" s="44"/>
      <c r="B61" s="44"/>
      <c r="C61" s="45" t="s">
        <v>2006</v>
      </c>
      <c r="D61" s="46"/>
      <c r="E61" s="46"/>
      <c r="F61" s="46"/>
      <c r="G61" s="47">
        <f>G3+G57-G60</f>
        <v>8087168</v>
      </c>
    </row>
    <row r="62" ht="15.75" customHeight="1">
      <c r="A62" s="1"/>
      <c r="B62" s="32" t="s">
        <v>2007</v>
      </c>
    </row>
    <row r="63" ht="15.75" customHeight="1">
      <c r="A63" s="1"/>
      <c r="B63" s="1"/>
      <c r="C63" s="1" t="s">
        <v>1115</v>
      </c>
      <c r="D63" s="1"/>
      <c r="E63" s="1"/>
      <c r="F63" s="1"/>
      <c r="G63" s="2">
        <v>10700.0</v>
      </c>
    </row>
    <row r="64" ht="15.75" customHeight="1">
      <c r="A64" s="1"/>
      <c r="B64" s="1"/>
      <c r="C64" s="1" t="s">
        <v>1271</v>
      </c>
      <c r="D64" s="1"/>
      <c r="E64" s="1"/>
      <c r="F64" s="1"/>
      <c r="G64" s="2">
        <v>599600.0</v>
      </c>
    </row>
    <row r="65" ht="15.75" customHeight="1">
      <c r="A65" s="1"/>
      <c r="B65" s="1"/>
      <c r="C65" s="43" t="s">
        <v>115</v>
      </c>
      <c r="D65" s="1"/>
      <c r="E65" s="1"/>
      <c r="F65" s="1"/>
      <c r="G65" s="2">
        <v>610300.0</v>
      </c>
    </row>
    <row r="66" ht="15.75" customHeight="1">
      <c r="A66" s="1"/>
      <c r="B66" s="1"/>
      <c r="C66" s="43"/>
      <c r="D66" s="1"/>
      <c r="E66" s="1"/>
      <c r="F66" s="1"/>
      <c r="G66" s="2" t="s">
        <v>480</v>
      </c>
    </row>
    <row r="67" ht="15.75" customHeight="1">
      <c r="A67" s="1"/>
      <c r="B67" s="43" t="s">
        <v>1825</v>
      </c>
      <c r="C67" s="43"/>
      <c r="D67" s="1"/>
      <c r="E67" s="1"/>
      <c r="F67" s="1"/>
      <c r="G67" s="2"/>
    </row>
    <row r="68" ht="15.75" customHeight="1">
      <c r="A68" s="1"/>
      <c r="B68" s="43" t="s">
        <v>1908</v>
      </c>
      <c r="C68" s="43"/>
      <c r="D68" s="1"/>
      <c r="E68" s="1"/>
      <c r="F68" s="1"/>
      <c r="G68" s="1"/>
    </row>
    <row r="69" ht="15.75" customHeight="1">
      <c r="A69" s="1"/>
      <c r="B69" s="33" t="s">
        <v>2008</v>
      </c>
      <c r="C69" s="1"/>
      <c r="D69" s="1"/>
      <c r="E69" s="1"/>
      <c r="F69" s="1"/>
      <c r="G69" s="2"/>
    </row>
    <row r="70" ht="15.75" customHeight="1">
      <c r="A70" s="1"/>
      <c r="B70" s="33"/>
      <c r="C70" s="1"/>
      <c r="D70" s="1"/>
      <c r="E70" s="1"/>
      <c r="F70" s="1"/>
      <c r="G70" s="2"/>
    </row>
    <row r="71" ht="15.75" customHeight="1">
      <c r="A71" s="1"/>
      <c r="B71" s="55" t="s">
        <v>531</v>
      </c>
      <c r="C71" s="56"/>
      <c r="D71" s="56"/>
      <c r="E71" s="56"/>
      <c r="F71" s="1"/>
      <c r="G71" s="2"/>
    </row>
    <row r="72" ht="15.75" customHeight="1">
      <c r="A72" s="1"/>
      <c r="B72" s="55"/>
      <c r="C72" s="56"/>
      <c r="D72" s="56"/>
      <c r="E72" s="56"/>
      <c r="F72" s="1"/>
      <c r="G72" s="2"/>
    </row>
    <row r="73" ht="15.75" customHeight="1">
      <c r="A73" s="1"/>
      <c r="B73" s="55" t="s">
        <v>2009</v>
      </c>
      <c r="C73" s="56"/>
      <c r="D73" s="56"/>
      <c r="E73" s="56"/>
      <c r="F73" s="1"/>
      <c r="G73" s="2"/>
    </row>
    <row r="74" ht="15.75" customHeight="1">
      <c r="A74" s="1"/>
      <c r="B74" s="55"/>
      <c r="C74" s="56"/>
      <c r="D74" s="56"/>
      <c r="E74" s="56"/>
      <c r="F74" s="1"/>
      <c r="G74" s="2"/>
    </row>
    <row r="75" ht="15.75" customHeight="1">
      <c r="A75" s="1"/>
      <c r="B75" s="55" t="s">
        <v>533</v>
      </c>
      <c r="F75" s="1"/>
      <c r="G75" s="2"/>
    </row>
    <row r="76" ht="15.75" customHeight="1">
      <c r="A76" s="1"/>
      <c r="B76" s="55"/>
      <c r="C76" s="55"/>
      <c r="D76" s="55"/>
      <c r="E76" s="55"/>
      <c r="F76" s="1"/>
      <c r="G76" s="2"/>
    </row>
    <row r="77" ht="15.75" customHeight="1">
      <c r="A77" s="1"/>
      <c r="B77" s="55" t="s">
        <v>2010</v>
      </c>
      <c r="C77" s="56"/>
      <c r="D77" s="57"/>
      <c r="E77" s="56"/>
      <c r="F77" s="1"/>
      <c r="G77" s="2"/>
    </row>
    <row r="78" ht="15.75" customHeight="1">
      <c r="A78" s="1"/>
      <c r="B78" s="55"/>
      <c r="C78" s="56"/>
      <c r="D78" s="57"/>
      <c r="E78" s="56"/>
      <c r="F78" s="1"/>
      <c r="G78" s="2"/>
    </row>
    <row r="79" ht="15.75" customHeight="1">
      <c r="A79" s="1"/>
      <c r="B79" s="55" t="s">
        <v>535</v>
      </c>
      <c r="C79" s="56"/>
      <c r="D79" s="57"/>
      <c r="E79" s="56"/>
      <c r="F79" s="1"/>
      <c r="G79" s="2"/>
    </row>
    <row r="80" ht="15.75" customHeight="1">
      <c r="A80" s="1"/>
      <c r="B80" s="55"/>
      <c r="C80" s="56"/>
      <c r="D80" s="57"/>
      <c r="E80" s="56"/>
      <c r="F80" s="1"/>
      <c r="G80" s="2"/>
    </row>
    <row r="81" ht="15.75" customHeight="1">
      <c r="B81" s="55" t="s">
        <v>536</v>
      </c>
      <c r="C81" s="56"/>
      <c r="D81" s="57"/>
      <c r="E81" s="57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2:D12"/>
    <mergeCell ref="B13:F13"/>
    <mergeCell ref="B62:G62"/>
    <mergeCell ref="B75:E75"/>
  </mergeCells>
  <printOptions/>
  <pageMargins bottom="0.75" footer="0.0" header="0.0" left="0.25" right="0.25" top="0.7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3" width="10.71"/>
    <col customWidth="1" min="4" max="4" width="11.43"/>
    <col customWidth="1" min="5" max="5" width="13.43"/>
    <col customWidth="1" min="6" max="6" width="14.43"/>
    <col customWidth="1" min="7" max="7" width="16.43"/>
    <col customWidth="1" min="8" max="8" width="5.86"/>
    <col customWidth="1" hidden="1" min="9" max="9" width="11.43"/>
    <col customWidth="1" min="10" max="26" width="10.71"/>
  </cols>
  <sheetData>
    <row r="2">
      <c r="A2" s="1" t="s">
        <v>721</v>
      </c>
      <c r="B2" s="3" t="s">
        <v>2011</v>
      </c>
      <c r="C2" s="1"/>
      <c r="D2" s="1"/>
      <c r="E2" s="1"/>
      <c r="F2" s="1"/>
      <c r="G2" s="2"/>
    </row>
    <row r="3">
      <c r="A3" s="1"/>
      <c r="B3" s="75" t="s">
        <v>2012</v>
      </c>
      <c r="G3" s="47">
        <v>8087168.0</v>
      </c>
    </row>
    <row r="4">
      <c r="A4" s="1"/>
      <c r="G4" s="2"/>
    </row>
    <row r="5">
      <c r="A5" s="6" t="s">
        <v>2013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515700.0</v>
      </c>
      <c r="G6" s="7">
        <v>106000.0</v>
      </c>
    </row>
    <row r="7">
      <c r="A7" s="1"/>
      <c r="B7" s="4" t="s">
        <v>64</v>
      </c>
      <c r="C7" s="1"/>
      <c r="D7" s="1"/>
      <c r="E7" s="1"/>
      <c r="F7" s="2">
        <v>480000.0</v>
      </c>
      <c r="G7" s="7">
        <v>42000.0</v>
      </c>
    </row>
    <row r="8">
      <c r="A8" s="1"/>
      <c r="B8" s="4" t="s">
        <v>65</v>
      </c>
      <c r="C8" s="1"/>
      <c r="D8" s="1"/>
      <c r="E8" s="1"/>
      <c r="F8" s="2">
        <v>290600.0</v>
      </c>
      <c r="G8" s="7">
        <v>132000.0</v>
      </c>
    </row>
    <row r="9">
      <c r="A9" s="1"/>
      <c r="B9" s="4" t="s">
        <v>66</v>
      </c>
      <c r="C9" s="1"/>
      <c r="D9" s="1"/>
      <c r="E9" s="1"/>
      <c r="F9" s="2">
        <v>422900.0</v>
      </c>
      <c r="G9" s="76">
        <v>153000.0</v>
      </c>
    </row>
    <row r="10">
      <c r="A10" s="1"/>
      <c r="B10" s="4" t="s">
        <v>67</v>
      </c>
      <c r="C10" s="1"/>
      <c r="D10" s="49" t="s">
        <v>8</v>
      </c>
      <c r="E10" s="49"/>
      <c r="F10" s="7">
        <v>61000.0</v>
      </c>
      <c r="G10" s="7">
        <v>60000.0</v>
      </c>
      <c r="H10" s="67" t="s">
        <v>1585</v>
      </c>
    </row>
    <row r="11">
      <c r="A11" s="1"/>
      <c r="B11" s="4" t="s">
        <v>2014</v>
      </c>
      <c r="C11" s="1"/>
      <c r="D11" s="49"/>
      <c r="E11" s="49"/>
      <c r="F11" s="7">
        <v>450000.0</v>
      </c>
      <c r="G11" s="7" t="s">
        <v>1585</v>
      </c>
    </row>
    <row r="12">
      <c r="A12" s="1"/>
      <c r="B12" s="4"/>
      <c r="C12" s="50" t="s">
        <v>405</v>
      </c>
      <c r="E12" s="4"/>
      <c r="F12" s="2">
        <f>SUM(F6:F11)</f>
        <v>2220200</v>
      </c>
      <c r="G12" s="7">
        <f>SUM(G6:G10)</f>
        <v>493000</v>
      </c>
    </row>
    <row r="13">
      <c r="A13" s="1"/>
      <c r="B13" s="51" t="s">
        <v>9</v>
      </c>
      <c r="C13" s="52"/>
      <c r="D13" s="52"/>
      <c r="E13" s="52"/>
      <c r="F13" s="53"/>
      <c r="G13" s="68">
        <f>SUM(F12:G12)</f>
        <v>2713200</v>
      </c>
    </row>
    <row r="14">
      <c r="A14" s="6" t="s">
        <v>2015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2016</v>
      </c>
      <c r="C16" s="1"/>
      <c r="D16" s="1"/>
      <c r="E16" s="1"/>
      <c r="F16" s="1"/>
      <c r="G16" s="77">
        <v>270000.0</v>
      </c>
    </row>
    <row r="17">
      <c r="A17" s="1"/>
      <c r="B17" s="4" t="s">
        <v>1594</v>
      </c>
      <c r="C17" s="1"/>
      <c r="D17" s="1"/>
      <c r="E17" s="1"/>
      <c r="F17" s="1"/>
      <c r="G17" s="77">
        <v>100000.0</v>
      </c>
    </row>
    <row r="18">
      <c r="A18" s="1"/>
      <c r="B18" s="4" t="s">
        <v>13</v>
      </c>
      <c r="C18" s="1"/>
      <c r="D18" s="1"/>
      <c r="E18" s="1"/>
      <c r="F18" s="1"/>
      <c r="G18" s="13">
        <v>125000.0</v>
      </c>
    </row>
    <row r="19">
      <c r="A19" s="1"/>
      <c r="B19" s="4" t="s">
        <v>14</v>
      </c>
      <c r="C19" s="1"/>
      <c r="D19" s="1"/>
      <c r="E19" s="1"/>
      <c r="F19" s="1"/>
      <c r="G19" s="13">
        <v>125000.0</v>
      </c>
    </row>
    <row r="20">
      <c r="A20" s="1"/>
      <c r="B20" s="4" t="s">
        <v>15</v>
      </c>
      <c r="C20" s="1"/>
      <c r="D20" s="1"/>
      <c r="E20" s="1"/>
      <c r="F20" s="1"/>
      <c r="G20" s="77">
        <v>100000.0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77">
        <v>80000.0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77">
        <v>125000.0</v>
      </c>
    </row>
    <row r="23" ht="15.75" customHeight="1">
      <c r="A23" s="1"/>
      <c r="B23" s="4" t="s">
        <v>1836</v>
      </c>
      <c r="C23" s="1"/>
      <c r="D23" s="1"/>
      <c r="E23" s="1"/>
      <c r="F23" s="1"/>
      <c r="G23" s="77">
        <v>100000.0</v>
      </c>
    </row>
    <row r="24" ht="15.75" customHeight="1">
      <c r="A24" s="1"/>
      <c r="B24" s="4" t="s">
        <v>1953</v>
      </c>
      <c r="C24" s="1"/>
      <c r="D24" s="1"/>
      <c r="E24" s="1"/>
      <c r="F24" s="1"/>
      <c r="G24" s="77">
        <v>100000.0</v>
      </c>
    </row>
    <row r="25" ht="15.75" customHeight="1">
      <c r="A25" s="1"/>
      <c r="B25" s="9" t="s">
        <v>18</v>
      </c>
      <c r="C25" s="10"/>
      <c r="D25" s="10"/>
      <c r="E25" s="10"/>
      <c r="F25" s="10"/>
      <c r="G25" s="69">
        <f>SUM(G16:G24)</f>
        <v>1125000</v>
      </c>
    </row>
    <row r="26" ht="15.75" customHeight="1">
      <c r="A26" s="1"/>
      <c r="B26" s="12" t="s">
        <v>19</v>
      </c>
      <c r="C26" s="15"/>
      <c r="D26" s="1"/>
      <c r="E26" s="1"/>
      <c r="F26" s="1"/>
      <c r="G26" s="2"/>
    </row>
    <row r="27" ht="15.75" customHeight="1">
      <c r="A27" s="1"/>
      <c r="B27" s="4" t="s">
        <v>2017</v>
      </c>
      <c r="C27" s="15"/>
      <c r="D27" s="1"/>
      <c r="E27" s="1"/>
      <c r="F27" s="1"/>
      <c r="G27" s="2">
        <v>65250.0</v>
      </c>
    </row>
    <row r="28" ht="15.75" customHeight="1">
      <c r="A28" s="1"/>
      <c r="B28" s="4" t="s">
        <v>2018</v>
      </c>
      <c r="C28" s="15"/>
      <c r="D28" s="1"/>
      <c r="E28" s="1"/>
      <c r="F28" s="1"/>
      <c r="G28" s="2">
        <v>2000.0</v>
      </c>
    </row>
    <row r="29" ht="15.75" customHeight="1">
      <c r="A29" s="1"/>
      <c r="B29" s="4" t="s">
        <v>2019</v>
      </c>
      <c r="C29" s="15"/>
      <c r="D29" s="1"/>
      <c r="E29" s="1"/>
      <c r="F29" s="1"/>
      <c r="G29" s="2">
        <v>187500.0</v>
      </c>
    </row>
    <row r="30" ht="15.75" customHeight="1">
      <c r="A30" s="1"/>
      <c r="B30" s="4" t="s">
        <v>2020</v>
      </c>
      <c r="C30" s="15"/>
      <c r="D30" s="1"/>
      <c r="E30" s="1"/>
      <c r="F30" s="1"/>
      <c r="G30" s="2">
        <v>1786.0</v>
      </c>
    </row>
    <row r="31" ht="15.75" customHeight="1">
      <c r="A31" s="1"/>
      <c r="B31" s="4" t="s">
        <v>652</v>
      </c>
      <c r="C31" s="15"/>
      <c r="D31" s="1"/>
      <c r="E31" s="1"/>
      <c r="F31" s="1"/>
      <c r="G31" s="2">
        <v>8000.0</v>
      </c>
    </row>
    <row r="32" ht="15.75" customHeight="1">
      <c r="A32" s="1"/>
      <c r="B32" s="4" t="s">
        <v>2021</v>
      </c>
      <c r="C32" s="15"/>
      <c r="D32" s="1"/>
      <c r="E32" s="1"/>
      <c r="F32" s="1"/>
      <c r="G32" s="2">
        <v>10000.0</v>
      </c>
    </row>
    <row r="33" ht="15.75" customHeight="1">
      <c r="A33" s="1"/>
      <c r="B33" s="4" t="s">
        <v>2022</v>
      </c>
      <c r="C33" s="15"/>
      <c r="D33" s="1"/>
      <c r="E33" s="1"/>
      <c r="F33" s="1"/>
      <c r="G33" s="2">
        <v>14500.0</v>
      </c>
    </row>
    <row r="34" ht="15.75" customHeight="1">
      <c r="A34" s="1"/>
      <c r="B34" s="4" t="s">
        <v>2023</v>
      </c>
      <c r="C34" s="15"/>
      <c r="D34" s="1"/>
      <c r="E34" s="1"/>
      <c r="F34" s="1"/>
      <c r="G34" s="2">
        <v>220736.0</v>
      </c>
    </row>
    <row r="35" ht="15.75" customHeight="1">
      <c r="A35" s="1"/>
      <c r="B35" s="4" t="s">
        <v>2024</v>
      </c>
      <c r="C35" s="15"/>
      <c r="D35" s="1"/>
      <c r="E35" s="1"/>
      <c r="F35" s="1"/>
      <c r="G35" s="2">
        <v>3000.0</v>
      </c>
    </row>
    <row r="36" ht="15.75" customHeight="1">
      <c r="A36" s="1"/>
      <c r="B36" s="4" t="s">
        <v>2025</v>
      </c>
      <c r="C36" s="15"/>
      <c r="D36" s="1"/>
      <c r="E36" s="1"/>
      <c r="F36" s="1"/>
      <c r="G36" s="2">
        <v>30000.0</v>
      </c>
    </row>
    <row r="37" ht="15.75" customHeight="1">
      <c r="A37" s="1"/>
      <c r="B37" s="4" t="s">
        <v>463</v>
      </c>
      <c r="C37" s="15"/>
      <c r="D37" s="1"/>
      <c r="E37" s="1"/>
      <c r="F37" s="1"/>
      <c r="G37" s="2">
        <v>10000.0</v>
      </c>
    </row>
    <row r="38" ht="15.75" customHeight="1">
      <c r="A38" s="1"/>
      <c r="B38" s="4" t="s">
        <v>2026</v>
      </c>
      <c r="C38" s="15"/>
      <c r="D38" s="78"/>
      <c r="E38" s="1"/>
      <c r="F38" s="1"/>
      <c r="G38" s="79">
        <v>10000.0</v>
      </c>
    </row>
    <row r="39" ht="15.75" customHeight="1">
      <c r="A39" s="1"/>
      <c r="B39" s="4" t="s">
        <v>2027</v>
      </c>
      <c r="C39" s="15"/>
      <c r="D39" s="1"/>
      <c r="E39" s="1"/>
      <c r="F39" s="1"/>
      <c r="G39" s="2">
        <v>50000.0</v>
      </c>
    </row>
    <row r="40" ht="15.75" customHeight="1">
      <c r="A40" s="1"/>
      <c r="B40" s="4" t="s">
        <v>2028</v>
      </c>
      <c r="C40" s="15"/>
      <c r="D40" s="1"/>
      <c r="E40" s="1"/>
      <c r="F40" s="1"/>
      <c r="G40" s="2">
        <v>5000.0</v>
      </c>
      <c r="O40" s="67" t="s">
        <v>480</v>
      </c>
    </row>
    <row r="41" ht="15.75" customHeight="1">
      <c r="A41" s="1"/>
      <c r="B41" s="4" t="s">
        <v>2029</v>
      </c>
      <c r="C41" s="15"/>
      <c r="D41" s="1"/>
      <c r="E41" s="1"/>
      <c r="F41" s="1"/>
      <c r="G41" s="2">
        <v>60000.0</v>
      </c>
    </row>
    <row r="42" ht="15.75" customHeight="1">
      <c r="A42" s="1"/>
      <c r="B42" s="4" t="s">
        <v>324</v>
      </c>
      <c r="C42" s="15"/>
      <c r="D42" s="1"/>
      <c r="E42" s="1"/>
      <c r="F42" s="1"/>
      <c r="G42" s="2">
        <v>5000.0</v>
      </c>
    </row>
    <row r="43" ht="15.75" customHeight="1">
      <c r="A43" s="1"/>
      <c r="B43" s="4" t="s">
        <v>2030</v>
      </c>
      <c r="C43" s="15"/>
      <c r="D43" s="1"/>
      <c r="E43" s="1"/>
      <c r="F43" s="1"/>
      <c r="G43" s="2">
        <v>40000.0</v>
      </c>
    </row>
    <row r="44" ht="15.75" customHeight="1">
      <c r="A44" s="1"/>
      <c r="B44" s="4" t="s">
        <v>2031</v>
      </c>
      <c r="C44" s="15"/>
      <c r="D44" s="1"/>
      <c r="E44" s="1"/>
      <c r="F44" s="1"/>
      <c r="G44" s="2">
        <v>17500.0</v>
      </c>
    </row>
    <row r="45" ht="15.75" customHeight="1">
      <c r="A45" s="1"/>
      <c r="B45" s="4" t="s">
        <v>2032</v>
      </c>
      <c r="C45" s="15"/>
      <c r="D45" s="1"/>
      <c r="E45" s="1"/>
      <c r="F45" s="1"/>
      <c r="G45" s="2">
        <v>3300.0</v>
      </c>
    </row>
    <row r="46" ht="15.75" customHeight="1">
      <c r="A46" s="1"/>
      <c r="B46" s="4" t="s">
        <v>79</v>
      </c>
      <c r="C46" s="15"/>
      <c r="D46" s="1"/>
      <c r="E46" s="1"/>
      <c r="F46" s="1"/>
      <c r="G46" s="2">
        <v>2500.0</v>
      </c>
    </row>
    <row r="47" ht="15.75" customHeight="1">
      <c r="A47" s="1"/>
      <c r="B47" s="4" t="s">
        <v>2033</v>
      </c>
      <c r="C47" s="15"/>
      <c r="D47" s="1"/>
      <c r="E47" s="1"/>
      <c r="F47" s="1"/>
      <c r="G47" s="2">
        <v>1612.0</v>
      </c>
    </row>
    <row r="48" ht="15.75" customHeight="1">
      <c r="A48" s="1"/>
      <c r="B48" s="4" t="s">
        <v>2034</v>
      </c>
      <c r="C48" s="15"/>
      <c r="D48" s="1"/>
      <c r="E48" s="1"/>
      <c r="F48" s="1"/>
      <c r="G48" s="2">
        <v>6825.0</v>
      </c>
    </row>
    <row r="49" ht="15.75" customHeight="1">
      <c r="A49" s="1"/>
      <c r="B49" s="4" t="s">
        <v>2035</v>
      </c>
      <c r="C49" s="15"/>
      <c r="D49" s="1"/>
      <c r="E49" s="1"/>
      <c r="F49" s="1"/>
      <c r="G49" s="2">
        <v>98600.0</v>
      </c>
      <c r="L49" s="67" t="s">
        <v>480</v>
      </c>
    </row>
    <row r="50" ht="15.75" customHeight="1">
      <c r="A50" s="1"/>
      <c r="B50" s="4" t="s">
        <v>2036</v>
      </c>
      <c r="C50" s="15"/>
      <c r="D50" s="1"/>
      <c r="E50" s="1"/>
      <c r="F50" s="1"/>
      <c r="G50" s="2">
        <v>4833.0</v>
      </c>
      <c r="M50" s="67" t="s">
        <v>480</v>
      </c>
    </row>
    <row r="51" ht="15.75" customHeight="1">
      <c r="A51" s="1"/>
      <c r="B51" s="1" t="s">
        <v>2037</v>
      </c>
      <c r="C51" s="1"/>
      <c r="D51" s="1"/>
      <c r="E51" s="1"/>
      <c r="F51" s="1"/>
      <c r="G51" s="13">
        <v>58500.0</v>
      </c>
    </row>
    <row r="52" ht="15.75" customHeight="1">
      <c r="A52" s="1"/>
      <c r="B52" s="1" t="s">
        <v>2038</v>
      </c>
      <c r="C52" s="1"/>
      <c r="D52" s="1"/>
      <c r="E52" s="1"/>
      <c r="F52" s="1"/>
      <c r="G52" s="13">
        <v>50000.0</v>
      </c>
    </row>
    <row r="53" ht="15.75" customHeight="1">
      <c r="A53" s="1"/>
      <c r="B53" s="1" t="s">
        <v>2039</v>
      </c>
      <c r="C53" s="1"/>
      <c r="D53" s="1"/>
      <c r="E53" s="1"/>
      <c r="F53" s="1"/>
      <c r="G53" s="13">
        <v>10000.0</v>
      </c>
    </row>
    <row r="54" ht="15.75" customHeight="1">
      <c r="A54" s="1"/>
      <c r="B54" s="1" t="s">
        <v>203</v>
      </c>
      <c r="C54" s="1"/>
      <c r="D54" s="1"/>
      <c r="E54" s="1"/>
      <c r="F54" s="1"/>
      <c r="G54" s="13">
        <v>5500.0</v>
      </c>
    </row>
    <row r="55" ht="15.75" customHeight="1">
      <c r="A55" s="1"/>
      <c r="B55" s="1" t="s">
        <v>2040</v>
      </c>
      <c r="C55" s="1"/>
      <c r="D55" s="1"/>
      <c r="E55" s="1"/>
      <c r="F55" s="1"/>
      <c r="G55" s="13">
        <v>360000.0</v>
      </c>
    </row>
    <row r="56" ht="15.75" customHeight="1">
      <c r="A56" s="1"/>
      <c r="B56" s="1" t="s">
        <v>2041</v>
      </c>
      <c r="C56" s="1"/>
      <c r="D56" s="1"/>
      <c r="E56" s="1"/>
      <c r="F56" s="1"/>
      <c r="G56" s="13">
        <v>81575.0</v>
      </c>
    </row>
    <row r="57" ht="15.75" customHeight="1">
      <c r="A57" s="1"/>
      <c r="B57" s="1" t="s">
        <v>2042</v>
      </c>
      <c r="C57" s="1"/>
      <c r="D57" s="1"/>
      <c r="E57" s="1"/>
      <c r="F57" s="1"/>
      <c r="G57" s="13">
        <v>350000.0</v>
      </c>
    </row>
    <row r="58" ht="15.75" customHeight="1">
      <c r="A58" s="1"/>
      <c r="B58" s="1" t="s">
        <v>2043</v>
      </c>
      <c r="C58" s="1"/>
      <c r="D58" s="1"/>
      <c r="E58" s="1"/>
      <c r="F58" s="1"/>
      <c r="G58" s="13">
        <v>3000.0</v>
      </c>
    </row>
    <row r="59" ht="15.75" customHeight="1">
      <c r="A59" s="1"/>
      <c r="B59" s="1" t="s">
        <v>2044</v>
      </c>
      <c r="C59" s="1"/>
      <c r="D59" s="1"/>
      <c r="E59" s="1"/>
      <c r="F59" s="1"/>
      <c r="G59" s="13">
        <v>90000.0</v>
      </c>
    </row>
    <row r="60" ht="15.75" customHeight="1">
      <c r="A60" s="1"/>
      <c r="B60" s="1" t="s">
        <v>2045</v>
      </c>
      <c r="C60" s="1"/>
      <c r="D60" s="1"/>
      <c r="E60" s="1"/>
      <c r="F60" s="1"/>
      <c r="G60" s="13">
        <v>15000.0</v>
      </c>
    </row>
    <row r="61" ht="15.75" customHeight="1">
      <c r="A61" s="1"/>
      <c r="B61" s="1" t="s">
        <v>2046</v>
      </c>
      <c r="C61" s="1"/>
      <c r="D61" s="1"/>
      <c r="E61" s="1"/>
      <c r="F61" s="1"/>
      <c r="G61" s="13">
        <v>30000.0</v>
      </c>
    </row>
    <row r="62" ht="15.75" customHeight="1">
      <c r="A62" s="1"/>
      <c r="B62" s="1" t="s">
        <v>2047</v>
      </c>
      <c r="C62" s="1"/>
      <c r="D62" s="1"/>
      <c r="E62" s="1"/>
      <c r="F62" s="1"/>
      <c r="G62" s="13">
        <v>147000.0</v>
      </c>
    </row>
    <row r="63" ht="15.75" customHeight="1">
      <c r="A63" s="1"/>
      <c r="B63" s="1" t="s">
        <v>2048</v>
      </c>
      <c r="C63" s="1"/>
      <c r="D63" s="1"/>
      <c r="E63" s="1"/>
      <c r="F63" s="1"/>
      <c r="G63" s="13">
        <v>5200.0</v>
      </c>
    </row>
    <row r="64" ht="15.75" customHeight="1">
      <c r="A64" s="1"/>
      <c r="B64" s="1" t="s">
        <v>2049</v>
      </c>
      <c r="C64" s="1"/>
      <c r="D64" s="1"/>
      <c r="E64" s="1"/>
      <c r="F64" s="1"/>
      <c r="G64" s="13">
        <v>1000.0</v>
      </c>
      <c r="K64" s="67" t="s">
        <v>1585</v>
      </c>
    </row>
    <row r="65" ht="15.75" customHeight="1">
      <c r="A65" s="1"/>
      <c r="B65" s="43" t="s">
        <v>43</v>
      </c>
      <c r="C65" s="1"/>
      <c r="D65" s="1"/>
      <c r="E65" s="1"/>
      <c r="F65" s="1"/>
      <c r="G65" s="18">
        <f>SUM(G27:G64)</f>
        <v>2064717</v>
      </c>
      <c r="K65" s="67" t="s">
        <v>480</v>
      </c>
    </row>
    <row r="66" ht="15.75" customHeight="1">
      <c r="A66" s="1"/>
      <c r="B66" s="19" t="s">
        <v>45</v>
      </c>
      <c r="C66" s="20"/>
      <c r="D66" s="20"/>
      <c r="E66" s="20"/>
      <c r="F66" s="20"/>
      <c r="G66" s="70">
        <f>SUM(G25+G65)</f>
        <v>3189717</v>
      </c>
    </row>
    <row r="67" ht="15.75" customHeight="1">
      <c r="A67" s="1"/>
      <c r="B67" s="4" t="s">
        <v>46</v>
      </c>
      <c r="C67" s="1"/>
      <c r="D67" s="1"/>
      <c r="E67" s="1"/>
      <c r="F67" s="1"/>
      <c r="G67" s="2"/>
    </row>
    <row r="68" ht="15.75" customHeight="1">
      <c r="A68" s="35" t="s">
        <v>2050</v>
      </c>
      <c r="B68" s="36"/>
      <c r="C68" s="37"/>
      <c r="D68" s="37"/>
      <c r="E68" s="37"/>
      <c r="F68" s="37"/>
      <c r="G68" s="71">
        <f>(G13-G66)</f>
        <v>-476517</v>
      </c>
    </row>
    <row r="69" ht="15.75" customHeight="1">
      <c r="A69" s="22" t="s">
        <v>2051</v>
      </c>
      <c r="B69" s="43" t="s">
        <v>255</v>
      </c>
      <c r="C69" s="1"/>
      <c r="D69" s="1"/>
      <c r="E69" s="1"/>
      <c r="F69" s="1"/>
      <c r="G69" s="2"/>
    </row>
    <row r="70" ht="15.75" customHeight="1">
      <c r="A70" s="22"/>
      <c r="B70" s="43"/>
      <c r="C70" s="1"/>
      <c r="D70" s="1"/>
      <c r="E70" s="1"/>
      <c r="F70" s="1"/>
      <c r="G70" s="2"/>
    </row>
    <row r="71" ht="15.75" customHeight="1">
      <c r="A71" s="44"/>
      <c r="B71" s="72" t="s">
        <v>51</v>
      </c>
      <c r="C71" s="27"/>
      <c r="D71" s="27"/>
      <c r="E71" s="27"/>
      <c r="F71" s="27"/>
      <c r="G71" s="73"/>
    </row>
    <row r="72" ht="15.75" customHeight="1">
      <c r="A72" s="44"/>
      <c r="B72" s="44"/>
      <c r="C72" s="45" t="s">
        <v>2052</v>
      </c>
      <c r="D72" s="46"/>
      <c r="E72" s="46"/>
      <c r="F72" s="46"/>
      <c r="G72" s="47">
        <f>G3+G68-G71</f>
        <v>7610651</v>
      </c>
    </row>
    <row r="73" ht="15.75" customHeight="1">
      <c r="A73" s="1"/>
      <c r="B73" s="32" t="s">
        <v>2053</v>
      </c>
      <c r="L73" s="67" t="s">
        <v>480</v>
      </c>
    </row>
    <row r="74" ht="15.75" customHeight="1">
      <c r="A74" s="1"/>
      <c r="B74" s="1" t="s">
        <v>2054</v>
      </c>
      <c r="C74" s="1" t="s">
        <v>1115</v>
      </c>
      <c r="D74" s="1"/>
      <c r="E74" s="1"/>
      <c r="F74" s="1"/>
      <c r="G74" s="2">
        <v>8700.0</v>
      </c>
    </row>
    <row r="75" ht="15.75" customHeight="1">
      <c r="A75" s="1"/>
      <c r="B75" s="1"/>
      <c r="C75" s="1" t="s">
        <v>1174</v>
      </c>
      <c r="D75" s="1"/>
      <c r="E75" s="1"/>
      <c r="F75" s="1"/>
      <c r="G75" s="2">
        <v>538400.0</v>
      </c>
      <c r="L75" s="67" t="s">
        <v>480</v>
      </c>
    </row>
    <row r="76" ht="15.75" customHeight="1">
      <c r="A76" s="1"/>
      <c r="B76" s="1"/>
      <c r="C76" s="43" t="s">
        <v>115</v>
      </c>
      <c r="D76" s="1"/>
      <c r="E76" s="1"/>
      <c r="F76" s="1"/>
      <c r="G76" s="2">
        <v>547100.0</v>
      </c>
    </row>
    <row r="77" ht="15.75" customHeight="1">
      <c r="A77" s="1"/>
      <c r="B77" s="1"/>
      <c r="C77" s="43"/>
      <c r="D77" s="1"/>
      <c r="E77" s="1"/>
      <c r="F77" s="1"/>
      <c r="G77" s="2" t="s">
        <v>480</v>
      </c>
    </row>
    <row r="78" ht="15.75" customHeight="1">
      <c r="A78" s="1"/>
      <c r="B78" s="43" t="s">
        <v>1825</v>
      </c>
      <c r="C78" s="43"/>
      <c r="D78" s="1"/>
      <c r="E78" s="1"/>
      <c r="F78" s="1"/>
      <c r="G78" s="2"/>
    </row>
    <row r="79" ht="15.75" customHeight="1">
      <c r="A79" s="1"/>
      <c r="B79" s="43" t="s">
        <v>2055</v>
      </c>
      <c r="C79" s="43"/>
      <c r="D79" s="1"/>
      <c r="E79" s="1"/>
      <c r="F79" s="1"/>
      <c r="G79" s="1"/>
    </row>
    <row r="80" ht="15.75" customHeight="1">
      <c r="A80" s="1"/>
      <c r="B80" s="33" t="s">
        <v>2056</v>
      </c>
      <c r="C80" s="1"/>
      <c r="D80" s="1"/>
      <c r="E80" s="1"/>
      <c r="F80" s="1"/>
      <c r="G80" s="2"/>
    </row>
    <row r="81" ht="15.75" customHeight="1">
      <c r="A81" s="1"/>
      <c r="B81" s="33"/>
      <c r="C81" s="1"/>
      <c r="D81" s="1"/>
      <c r="E81" s="1"/>
      <c r="F81" s="1"/>
      <c r="G81" s="2"/>
    </row>
    <row r="82" ht="15.75" customHeight="1">
      <c r="A82" s="1"/>
      <c r="B82" s="55" t="s">
        <v>531</v>
      </c>
      <c r="C82" s="56"/>
      <c r="D82" s="56"/>
      <c r="E82" s="56"/>
      <c r="F82" s="1"/>
      <c r="G82" s="2"/>
    </row>
    <row r="83" ht="15.75" customHeight="1">
      <c r="A83" s="1"/>
      <c r="B83" s="55"/>
      <c r="C83" s="56"/>
      <c r="D83" s="56"/>
      <c r="E83" s="56"/>
      <c r="F83" s="1"/>
      <c r="G83" s="2"/>
    </row>
    <row r="84" ht="15.75" customHeight="1">
      <c r="A84" s="1"/>
      <c r="B84" s="55" t="s">
        <v>2057</v>
      </c>
      <c r="C84" s="56"/>
      <c r="D84" s="56"/>
      <c r="E84" s="56"/>
      <c r="F84" s="1"/>
      <c r="G84" s="2"/>
    </row>
    <row r="85" ht="15.75" customHeight="1">
      <c r="A85" s="1"/>
      <c r="B85" s="55"/>
      <c r="C85" s="56"/>
      <c r="D85" s="56"/>
      <c r="E85" s="56"/>
      <c r="F85" s="1"/>
      <c r="G85" s="2"/>
    </row>
    <row r="86" ht="15.75" customHeight="1">
      <c r="A86" s="1"/>
      <c r="B86" s="55" t="s">
        <v>533</v>
      </c>
      <c r="F86" s="1"/>
      <c r="G86" s="2"/>
    </row>
    <row r="87" ht="15.75" customHeight="1">
      <c r="A87" s="1"/>
      <c r="B87" s="55"/>
      <c r="C87" s="55"/>
      <c r="D87" s="55"/>
      <c r="E87" s="55"/>
      <c r="F87" s="1"/>
      <c r="G87" s="2"/>
    </row>
    <row r="88" ht="15.75" customHeight="1">
      <c r="A88" s="1"/>
      <c r="B88" s="55" t="s">
        <v>2058</v>
      </c>
      <c r="C88" s="56"/>
      <c r="D88" s="57"/>
      <c r="E88" s="56"/>
      <c r="F88" s="1"/>
      <c r="G88" s="2"/>
    </row>
    <row r="89" ht="15.75" customHeight="1">
      <c r="A89" s="1"/>
      <c r="B89" s="55"/>
      <c r="C89" s="56"/>
      <c r="D89" s="57"/>
      <c r="E89" s="56"/>
      <c r="F89" s="1"/>
      <c r="G89" s="2"/>
    </row>
    <row r="90" ht="15.75" customHeight="1">
      <c r="A90" s="1"/>
      <c r="B90" s="55" t="s">
        <v>535</v>
      </c>
      <c r="C90" s="56"/>
      <c r="D90" s="57"/>
      <c r="E90" s="56"/>
      <c r="F90" s="1"/>
      <c r="G90" s="2"/>
    </row>
    <row r="91" ht="15.75" customHeight="1">
      <c r="A91" s="1"/>
      <c r="B91" s="55"/>
      <c r="C91" s="56"/>
      <c r="D91" s="57"/>
      <c r="E91" s="56"/>
      <c r="F91" s="1"/>
      <c r="G91" s="2"/>
    </row>
    <row r="92" ht="15.75" customHeight="1">
      <c r="B92" s="55" t="s">
        <v>536</v>
      </c>
      <c r="C92" s="56"/>
      <c r="D92" s="57"/>
      <c r="E92" s="57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2:D12"/>
    <mergeCell ref="B13:F13"/>
    <mergeCell ref="B73:G73"/>
    <mergeCell ref="B86:E86"/>
  </mergeCells>
  <printOptions/>
  <pageMargins bottom="0.75" footer="0.0" header="0.0" left="0.7" right="0.7" top="0.7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0"/>
    <col customWidth="1" min="8" max="26" width="10.71"/>
  </cols>
  <sheetData>
    <row r="2">
      <c r="A2" s="1" t="s">
        <v>721</v>
      </c>
      <c r="B2" s="3" t="s">
        <v>2059</v>
      </c>
      <c r="C2" s="1"/>
      <c r="D2" s="1"/>
      <c r="E2" s="1"/>
      <c r="F2" s="1"/>
      <c r="G2" s="2"/>
    </row>
    <row r="3">
      <c r="A3" s="1"/>
      <c r="B3" s="75" t="s">
        <v>2060</v>
      </c>
      <c r="G3" s="47">
        <v>7969237.0</v>
      </c>
    </row>
    <row r="4">
      <c r="A4" s="1"/>
      <c r="G4" s="2"/>
    </row>
    <row r="5">
      <c r="A5" s="6" t="s">
        <v>2061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133700.0</v>
      </c>
      <c r="G6" s="7">
        <v>53000.0</v>
      </c>
    </row>
    <row r="7">
      <c r="A7" s="1"/>
      <c r="B7" s="4" t="s">
        <v>64</v>
      </c>
      <c r="C7" s="1"/>
      <c r="D7" s="1"/>
      <c r="E7" s="1"/>
      <c r="F7" s="2">
        <v>465200.0</v>
      </c>
      <c r="G7" s="7">
        <v>147000.0</v>
      </c>
    </row>
    <row r="8">
      <c r="A8" s="1"/>
      <c r="B8" s="4" t="s">
        <v>65</v>
      </c>
      <c r="C8" s="1"/>
      <c r="D8" s="1"/>
      <c r="E8" s="1"/>
      <c r="F8" s="2">
        <v>457300.0</v>
      </c>
      <c r="G8" s="7">
        <v>150000.0</v>
      </c>
    </row>
    <row r="9">
      <c r="A9" s="1"/>
      <c r="B9" s="4" t="s">
        <v>66</v>
      </c>
      <c r="C9" s="1"/>
      <c r="D9" s="1"/>
      <c r="E9" s="1"/>
      <c r="F9" s="2">
        <v>287700.0</v>
      </c>
      <c r="G9" s="76">
        <v>118000.0</v>
      </c>
    </row>
    <row r="10">
      <c r="A10" s="1"/>
      <c r="B10" s="4" t="s">
        <v>67</v>
      </c>
      <c r="C10" s="1"/>
      <c r="D10" s="49" t="s">
        <v>8</v>
      </c>
      <c r="E10" s="49"/>
      <c r="F10" s="7">
        <v>409400.0</v>
      </c>
      <c r="G10" s="7">
        <v>69000.0</v>
      </c>
    </row>
    <row r="11">
      <c r="A11" s="1"/>
      <c r="B11" s="4" t="s">
        <v>2062</v>
      </c>
      <c r="C11" s="1"/>
      <c r="D11" s="49"/>
      <c r="E11" s="49"/>
      <c r="F11" s="7">
        <v>430000.0</v>
      </c>
      <c r="G11" s="7" t="s">
        <v>1585</v>
      </c>
    </row>
    <row r="12">
      <c r="A12" s="1"/>
      <c r="B12" s="4"/>
      <c r="C12" s="50" t="s">
        <v>405</v>
      </c>
      <c r="E12" s="4"/>
      <c r="F12" s="2">
        <f>SUM(F6:F11)</f>
        <v>2183300</v>
      </c>
      <c r="G12" s="7">
        <f>SUM(G6:G10)</f>
        <v>537000</v>
      </c>
    </row>
    <row r="13">
      <c r="A13" s="1"/>
      <c r="B13" s="51" t="s">
        <v>9</v>
      </c>
      <c r="C13" s="52"/>
      <c r="D13" s="52"/>
      <c r="E13" s="52"/>
      <c r="F13" s="53"/>
      <c r="G13" s="68">
        <f>SUM(F12:G12)</f>
        <v>2720300</v>
      </c>
    </row>
    <row r="14">
      <c r="A14" s="6" t="s">
        <v>2063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2016</v>
      </c>
      <c r="C16" s="1"/>
      <c r="D16" s="1"/>
      <c r="E16" s="1"/>
      <c r="F16" s="1"/>
      <c r="G16" s="77">
        <v>258000.0</v>
      </c>
    </row>
    <row r="17">
      <c r="A17" s="1"/>
      <c r="B17" s="4" t="s">
        <v>1594</v>
      </c>
      <c r="C17" s="1"/>
      <c r="D17" s="1"/>
      <c r="E17" s="1"/>
      <c r="F17" s="1"/>
      <c r="G17" s="77">
        <v>100000.0</v>
      </c>
    </row>
    <row r="18">
      <c r="A18" s="1"/>
      <c r="B18" s="4" t="s">
        <v>13</v>
      </c>
      <c r="C18" s="1"/>
      <c r="D18" s="1"/>
      <c r="E18" s="1"/>
      <c r="F18" s="1"/>
      <c r="G18" s="13">
        <v>125000.0</v>
      </c>
    </row>
    <row r="19">
      <c r="A19" s="1"/>
      <c r="B19" s="4" t="s">
        <v>14</v>
      </c>
      <c r="C19" s="1"/>
      <c r="D19" s="1"/>
      <c r="E19" s="1"/>
      <c r="F19" s="1"/>
      <c r="G19" s="13">
        <v>125000.0</v>
      </c>
    </row>
    <row r="20">
      <c r="A20" s="1"/>
      <c r="B20" s="4" t="s">
        <v>15</v>
      </c>
      <c r="C20" s="1"/>
      <c r="D20" s="1"/>
      <c r="E20" s="1"/>
      <c r="F20" s="1"/>
      <c r="G20" s="77">
        <v>100000.0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77">
        <v>80000.0</v>
      </c>
    </row>
    <row r="22" ht="15.75" customHeight="1">
      <c r="A22" s="1"/>
      <c r="B22" s="4" t="s">
        <v>17</v>
      </c>
      <c r="C22" s="1"/>
      <c r="D22" s="1"/>
      <c r="E22" s="1"/>
      <c r="F22" s="1"/>
      <c r="G22" s="77">
        <v>125000.0</v>
      </c>
    </row>
    <row r="23" ht="15.75" customHeight="1">
      <c r="A23" s="1"/>
      <c r="B23" s="4" t="s">
        <v>1836</v>
      </c>
      <c r="C23" s="1"/>
      <c r="D23" s="1"/>
      <c r="E23" s="1"/>
      <c r="F23" s="1"/>
      <c r="G23" s="77">
        <v>100000.0</v>
      </c>
    </row>
    <row r="24" ht="15.75" customHeight="1">
      <c r="A24" s="1"/>
      <c r="B24" s="4" t="s">
        <v>1953</v>
      </c>
      <c r="C24" s="1"/>
      <c r="D24" s="1"/>
      <c r="E24" s="1"/>
      <c r="F24" s="1"/>
      <c r="G24" s="77">
        <v>100000.0</v>
      </c>
    </row>
    <row r="25" ht="15.75" customHeight="1">
      <c r="A25" s="1"/>
      <c r="B25" s="9" t="s">
        <v>18</v>
      </c>
      <c r="C25" s="10"/>
      <c r="D25" s="10"/>
      <c r="E25" s="10"/>
      <c r="F25" s="10"/>
      <c r="G25" s="69">
        <f>SUM(G16:G24)</f>
        <v>1113000</v>
      </c>
    </row>
    <row r="26" ht="15.75" customHeight="1">
      <c r="A26" s="1"/>
      <c r="B26" s="12" t="s">
        <v>19</v>
      </c>
      <c r="C26" s="15"/>
      <c r="D26" s="1"/>
      <c r="E26" s="1"/>
      <c r="F26" s="1"/>
      <c r="G26" s="2"/>
    </row>
    <row r="27" ht="15.75" customHeight="1">
      <c r="A27" s="1"/>
      <c r="B27" s="4" t="s">
        <v>2064</v>
      </c>
      <c r="C27" s="15"/>
      <c r="D27" s="1"/>
      <c r="E27" s="1"/>
      <c r="F27" s="1"/>
      <c r="G27" s="2">
        <v>20000.0</v>
      </c>
    </row>
    <row r="28" ht="15.75" customHeight="1">
      <c r="A28" s="1"/>
      <c r="B28" s="4" t="s">
        <v>2065</v>
      </c>
      <c r="C28" s="15"/>
      <c r="D28" s="1"/>
      <c r="E28" s="1"/>
      <c r="F28" s="1"/>
      <c r="G28" s="2">
        <v>18806.0</v>
      </c>
    </row>
    <row r="29" ht="15.75" customHeight="1">
      <c r="A29" s="1"/>
      <c r="B29" s="4" t="s">
        <v>2066</v>
      </c>
      <c r="C29" s="15"/>
      <c r="D29" s="1"/>
      <c r="E29" s="1"/>
      <c r="F29" s="1"/>
      <c r="G29" s="2">
        <v>6000.0</v>
      </c>
    </row>
    <row r="30" ht="15.75" customHeight="1">
      <c r="A30" s="1"/>
      <c r="B30" s="4" t="s">
        <v>2067</v>
      </c>
      <c r="C30" s="15"/>
      <c r="D30" s="1"/>
      <c r="E30" s="1"/>
      <c r="F30" s="1"/>
      <c r="G30" s="2">
        <v>105000.0</v>
      </c>
    </row>
    <row r="31" ht="15.75" customHeight="1">
      <c r="A31" s="1"/>
      <c r="B31" s="4" t="s">
        <v>2068</v>
      </c>
      <c r="C31" s="15"/>
      <c r="D31" s="1"/>
      <c r="E31" s="1"/>
      <c r="F31" s="1"/>
      <c r="G31" s="2">
        <v>12000.0</v>
      </c>
    </row>
    <row r="32" ht="15.75" customHeight="1">
      <c r="A32" s="1"/>
      <c r="B32" s="4" t="s">
        <v>2069</v>
      </c>
      <c r="C32" s="15"/>
      <c r="D32" s="1"/>
      <c r="E32" s="1"/>
      <c r="F32" s="1"/>
      <c r="G32" s="2">
        <v>10000.0</v>
      </c>
    </row>
    <row r="33" ht="15.75" customHeight="1">
      <c r="A33" s="1"/>
      <c r="B33" s="4" t="s">
        <v>2070</v>
      </c>
      <c r="C33" s="15"/>
      <c r="D33" s="1"/>
      <c r="E33" s="1"/>
      <c r="F33" s="1"/>
      <c r="G33" s="2">
        <v>70000.0</v>
      </c>
    </row>
    <row r="34" ht="15.75" customHeight="1">
      <c r="A34" s="1"/>
      <c r="B34" s="4" t="s">
        <v>2071</v>
      </c>
      <c r="C34" s="15"/>
      <c r="D34" s="1"/>
      <c r="E34" s="1"/>
      <c r="F34" s="1"/>
      <c r="G34" s="2">
        <v>8705.0</v>
      </c>
    </row>
    <row r="35" ht="15.75" customHeight="1">
      <c r="A35" s="1"/>
      <c r="B35" s="4" t="s">
        <v>2072</v>
      </c>
      <c r="C35" s="15"/>
      <c r="D35" s="1"/>
      <c r="E35" s="1"/>
      <c r="F35" s="1"/>
      <c r="G35" s="2">
        <v>300000.0</v>
      </c>
    </row>
    <row r="36" ht="15.75" customHeight="1">
      <c r="A36" s="1"/>
      <c r="B36" s="4" t="s">
        <v>2073</v>
      </c>
      <c r="C36" s="15"/>
      <c r="D36" s="1"/>
      <c r="E36" s="1"/>
      <c r="F36" s="1"/>
      <c r="G36" s="2">
        <v>100000.0</v>
      </c>
    </row>
    <row r="37" ht="15.75" customHeight="1">
      <c r="A37" s="1"/>
      <c r="B37" s="4" t="s">
        <v>203</v>
      </c>
      <c r="C37" s="15"/>
      <c r="D37" s="78"/>
      <c r="E37" s="1"/>
      <c r="F37" s="1"/>
      <c r="G37" s="79">
        <v>5500.0</v>
      </c>
    </row>
    <row r="38" ht="15.75" customHeight="1">
      <c r="A38" s="1"/>
      <c r="B38" s="4" t="s">
        <v>2028</v>
      </c>
      <c r="C38" s="15"/>
      <c r="D38" s="1"/>
      <c r="E38" s="1"/>
      <c r="F38" s="1"/>
      <c r="G38" s="2">
        <v>5000.0</v>
      </c>
    </row>
    <row r="39" ht="15.75" customHeight="1">
      <c r="A39" s="1"/>
      <c r="B39" s="4" t="s">
        <v>2074</v>
      </c>
      <c r="C39" s="15"/>
      <c r="D39" s="1"/>
      <c r="E39" s="1"/>
      <c r="F39" s="1"/>
      <c r="G39" s="2">
        <v>112300.0</v>
      </c>
    </row>
    <row r="40" ht="15.75" customHeight="1">
      <c r="A40" s="1"/>
      <c r="B40" s="4" t="s">
        <v>2075</v>
      </c>
      <c r="C40" s="15"/>
      <c r="D40" s="1"/>
      <c r="E40" s="1"/>
      <c r="F40" s="1"/>
      <c r="G40" s="2">
        <v>10000.0</v>
      </c>
    </row>
    <row r="41" ht="15.75" customHeight="1">
      <c r="A41" s="1"/>
      <c r="B41" s="4" t="s">
        <v>2076</v>
      </c>
      <c r="C41" s="15"/>
      <c r="D41" s="1"/>
      <c r="E41" s="1"/>
      <c r="F41" s="1"/>
      <c r="G41" s="2">
        <v>8000.0</v>
      </c>
    </row>
    <row r="42" ht="15.75" customHeight="1">
      <c r="A42" s="1"/>
      <c r="B42" s="4" t="s">
        <v>2077</v>
      </c>
      <c r="C42" s="15"/>
      <c r="D42" s="1"/>
      <c r="E42" s="1"/>
      <c r="F42" s="1"/>
      <c r="G42" s="2">
        <v>11514.0</v>
      </c>
    </row>
    <row r="43" ht="15.75" customHeight="1">
      <c r="A43" s="1"/>
      <c r="B43" s="4" t="s">
        <v>2078</v>
      </c>
      <c r="C43" s="15"/>
      <c r="D43" s="1"/>
      <c r="E43" s="1"/>
      <c r="F43" s="1"/>
      <c r="G43" s="2">
        <v>65250.0</v>
      </c>
    </row>
    <row r="44" ht="15.75" customHeight="1">
      <c r="A44" s="1"/>
      <c r="B44" s="4" t="s">
        <v>2079</v>
      </c>
      <c r="C44" s="15"/>
      <c r="D44" s="1"/>
      <c r="E44" s="1"/>
      <c r="F44" s="1"/>
      <c r="G44" s="2">
        <v>69000.0</v>
      </c>
    </row>
    <row r="45" ht="15.75" customHeight="1">
      <c r="A45" s="1"/>
      <c r="B45" s="4" t="s">
        <v>2080</v>
      </c>
      <c r="C45" s="15"/>
      <c r="D45" s="1"/>
      <c r="E45" s="1"/>
      <c r="F45" s="1"/>
      <c r="G45" s="2">
        <v>125000.0</v>
      </c>
    </row>
    <row r="46" ht="15.75" customHeight="1">
      <c r="A46" s="1"/>
      <c r="B46" s="4" t="s">
        <v>2081</v>
      </c>
      <c r="C46" s="15"/>
      <c r="D46" s="1"/>
      <c r="E46" s="1"/>
      <c r="F46" s="1"/>
      <c r="G46" s="2">
        <v>5195.0</v>
      </c>
    </row>
    <row r="47" ht="15.75" customHeight="1">
      <c r="A47" s="1"/>
      <c r="B47" s="1" t="s">
        <v>2082</v>
      </c>
      <c r="C47" s="1"/>
      <c r="D47" s="1"/>
      <c r="E47" s="1"/>
      <c r="F47" s="1"/>
      <c r="G47" s="13">
        <v>6501.0</v>
      </c>
    </row>
    <row r="48" ht="15.75" customHeight="1">
      <c r="A48" s="1"/>
      <c r="B48" s="1" t="s">
        <v>2083</v>
      </c>
      <c r="C48" s="1"/>
      <c r="D48" s="1"/>
      <c r="E48" s="1"/>
      <c r="F48" s="1"/>
      <c r="G48" s="13">
        <v>10515.0</v>
      </c>
    </row>
    <row r="49" ht="15.75" customHeight="1">
      <c r="A49" s="1"/>
      <c r="B49" s="1" t="s">
        <v>2084</v>
      </c>
      <c r="C49" s="1"/>
      <c r="D49" s="1"/>
      <c r="E49" s="1"/>
      <c r="F49" s="1"/>
      <c r="G49" s="13">
        <v>50000.0</v>
      </c>
    </row>
    <row r="50" ht="15.75" customHeight="1">
      <c r="A50" s="1"/>
      <c r="B50" s="1" t="s">
        <v>2085</v>
      </c>
      <c r="C50" s="1"/>
      <c r="D50" s="1"/>
      <c r="E50" s="1"/>
      <c r="F50" s="1"/>
      <c r="G50" s="13">
        <v>8360.0</v>
      </c>
    </row>
    <row r="51" ht="15.75" customHeight="1">
      <c r="A51" s="1"/>
      <c r="B51" s="1" t="s">
        <v>2086</v>
      </c>
      <c r="C51" s="1"/>
      <c r="D51" s="1"/>
      <c r="E51" s="1"/>
      <c r="F51" s="1"/>
      <c r="G51" s="13">
        <v>12000.0</v>
      </c>
    </row>
    <row r="52" ht="15.75" customHeight="1">
      <c r="A52" s="1"/>
      <c r="B52" s="1" t="s">
        <v>2087</v>
      </c>
      <c r="C52" s="1"/>
      <c r="D52" s="1"/>
      <c r="E52" s="1"/>
      <c r="F52" s="1"/>
      <c r="G52" s="13">
        <v>10000.0</v>
      </c>
      <c r="I52" s="67" t="s">
        <v>480</v>
      </c>
    </row>
    <row r="53" ht="15.75" customHeight="1">
      <c r="A53" s="1"/>
      <c r="B53" s="1" t="s">
        <v>2088</v>
      </c>
      <c r="C53" s="1"/>
      <c r="D53" s="1"/>
      <c r="E53" s="1"/>
      <c r="F53" s="1"/>
      <c r="G53" s="13">
        <v>8000.0</v>
      </c>
    </row>
    <row r="54" ht="15.75" customHeight="1">
      <c r="A54" s="1"/>
      <c r="B54" s="1" t="s">
        <v>2089</v>
      </c>
      <c r="C54" s="1"/>
      <c r="D54" s="1"/>
      <c r="E54" s="1"/>
      <c r="F54" s="1"/>
      <c r="G54" s="13">
        <v>8000.0</v>
      </c>
    </row>
    <row r="55" ht="15.75" customHeight="1">
      <c r="A55" s="1"/>
      <c r="B55" s="1" t="s">
        <v>2090</v>
      </c>
      <c r="C55" s="1"/>
      <c r="D55" s="1"/>
      <c r="E55" s="1"/>
      <c r="F55" s="1"/>
      <c r="G55" s="13">
        <v>75000.0</v>
      </c>
    </row>
    <row r="56" ht="15.75" customHeight="1">
      <c r="A56" s="1"/>
      <c r="B56" s="1" t="s">
        <v>2091</v>
      </c>
      <c r="C56" s="1"/>
      <c r="D56" s="1"/>
      <c r="E56" s="1"/>
      <c r="F56" s="1"/>
      <c r="G56" s="13">
        <v>6647.0</v>
      </c>
    </row>
    <row r="57" ht="15.75" customHeight="1">
      <c r="A57" s="1"/>
      <c r="B57" s="1" t="s">
        <v>2092</v>
      </c>
      <c r="C57" s="1"/>
      <c r="D57" s="1"/>
      <c r="E57" s="1"/>
      <c r="F57" s="1"/>
      <c r="G57" s="13">
        <v>2000.0</v>
      </c>
    </row>
    <row r="58" ht="15.75" customHeight="1">
      <c r="A58" s="1"/>
      <c r="B58" s="1" t="s">
        <v>2093</v>
      </c>
      <c r="C58" s="1"/>
      <c r="D58" s="1"/>
      <c r="E58" s="1"/>
      <c r="F58" s="1"/>
      <c r="G58" s="13">
        <v>4500.0</v>
      </c>
    </row>
    <row r="59" ht="15.75" customHeight="1">
      <c r="A59" s="1"/>
      <c r="B59" s="1" t="s">
        <v>2094</v>
      </c>
      <c r="C59" s="1"/>
      <c r="D59" s="1"/>
      <c r="E59" s="1"/>
      <c r="F59" s="1"/>
      <c r="G59" s="13">
        <v>3572.0</v>
      </c>
    </row>
    <row r="60" ht="15.75" customHeight="1">
      <c r="A60" s="1"/>
      <c r="B60" s="1" t="s">
        <v>1292</v>
      </c>
      <c r="C60" s="1"/>
      <c r="D60" s="1"/>
      <c r="E60" s="1"/>
      <c r="F60" s="1"/>
      <c r="G60" s="13">
        <v>100000.0</v>
      </c>
    </row>
    <row r="61" ht="15.75" customHeight="1">
      <c r="A61" s="1"/>
      <c r="B61" s="1" t="s">
        <v>2095</v>
      </c>
      <c r="C61" s="1"/>
      <c r="D61" s="1"/>
      <c r="E61" s="1"/>
      <c r="F61" s="1"/>
      <c r="G61" s="13">
        <v>8000.0</v>
      </c>
    </row>
    <row r="62" ht="15.75" customHeight="1">
      <c r="A62" s="1"/>
      <c r="B62" s="1" t="s">
        <v>2096</v>
      </c>
      <c r="C62" s="1"/>
      <c r="D62" s="1"/>
      <c r="E62" s="1"/>
      <c r="F62" s="1"/>
      <c r="G62" s="13">
        <v>2000.0</v>
      </c>
    </row>
    <row r="63" ht="15.75" customHeight="1">
      <c r="A63" s="1"/>
      <c r="B63" s="1" t="s">
        <v>2097</v>
      </c>
      <c r="C63" s="1"/>
      <c r="D63" s="1"/>
      <c r="E63" s="1"/>
      <c r="F63" s="1"/>
      <c r="G63" s="13">
        <v>7267.0</v>
      </c>
    </row>
    <row r="64" ht="15.75" customHeight="1">
      <c r="A64" s="1"/>
      <c r="B64" s="43" t="s">
        <v>43</v>
      </c>
      <c r="C64" s="1"/>
      <c r="D64" s="1"/>
      <c r="E64" s="1"/>
      <c r="F64" s="1"/>
      <c r="G64" s="18">
        <f>SUM(G27:G63)</f>
        <v>1389632</v>
      </c>
    </row>
    <row r="65" ht="15.75" customHeight="1">
      <c r="A65" s="1"/>
      <c r="B65" s="19" t="s">
        <v>45</v>
      </c>
      <c r="C65" s="20"/>
      <c r="D65" s="20"/>
      <c r="E65" s="20"/>
      <c r="F65" s="20"/>
      <c r="G65" s="70">
        <f>SUM(G25+G64)</f>
        <v>2502632</v>
      </c>
    </row>
    <row r="66" ht="15.75" customHeight="1">
      <c r="A66" s="1"/>
      <c r="B66" s="4" t="s">
        <v>46</v>
      </c>
      <c r="C66" s="1"/>
      <c r="D66" s="1"/>
      <c r="E66" s="1"/>
      <c r="F66" s="1"/>
      <c r="G66" s="2"/>
    </row>
    <row r="67" ht="15.75" customHeight="1">
      <c r="A67" s="35" t="s">
        <v>2098</v>
      </c>
      <c r="B67" s="36"/>
      <c r="C67" s="37"/>
      <c r="D67" s="37"/>
      <c r="E67" s="37"/>
      <c r="F67" s="37"/>
      <c r="G67" s="71">
        <f>(G13-G65)</f>
        <v>217668</v>
      </c>
    </row>
    <row r="68" ht="15.75" customHeight="1">
      <c r="A68" s="22" t="s">
        <v>254</v>
      </c>
      <c r="B68" s="43" t="s">
        <v>255</v>
      </c>
      <c r="C68" s="1"/>
      <c r="D68" s="1"/>
      <c r="E68" s="1"/>
      <c r="F68" s="1"/>
      <c r="G68" s="2"/>
    </row>
    <row r="69" ht="15.75" customHeight="1">
      <c r="A69" s="22"/>
      <c r="B69" s="43"/>
      <c r="C69" s="1"/>
      <c r="D69" s="1"/>
      <c r="E69" s="1"/>
      <c r="F69" s="1"/>
      <c r="G69" s="2"/>
    </row>
    <row r="70" ht="15.75" customHeight="1">
      <c r="A70" s="44"/>
      <c r="B70" s="72" t="s">
        <v>51</v>
      </c>
      <c r="C70" s="27"/>
      <c r="D70" s="27"/>
      <c r="E70" s="27"/>
      <c r="F70" s="27"/>
      <c r="G70" s="73"/>
    </row>
    <row r="71" ht="15.75" customHeight="1">
      <c r="A71" s="44"/>
      <c r="B71" s="44"/>
      <c r="C71" s="45" t="s">
        <v>2099</v>
      </c>
      <c r="D71" s="46"/>
      <c r="E71" s="46"/>
      <c r="F71" s="46"/>
      <c r="G71" s="47">
        <f>G3+G67-G70</f>
        <v>8186905</v>
      </c>
    </row>
    <row r="72" ht="15.75" customHeight="1">
      <c r="A72" s="1"/>
      <c r="B72" s="32" t="s">
        <v>2100</v>
      </c>
    </row>
    <row r="73" ht="15.75" customHeight="1">
      <c r="A73" s="1"/>
      <c r="B73" s="1"/>
      <c r="C73" s="1" t="s">
        <v>1115</v>
      </c>
      <c r="D73" s="1"/>
      <c r="E73" s="1"/>
      <c r="F73" s="1"/>
      <c r="G73" s="2">
        <v>2000.0</v>
      </c>
    </row>
    <row r="74" ht="15.75" customHeight="1">
      <c r="A74" s="1"/>
      <c r="B74" s="1"/>
      <c r="C74" s="1" t="s">
        <v>1221</v>
      </c>
      <c r="D74" s="1"/>
      <c r="E74" s="1"/>
      <c r="F74" s="1"/>
      <c r="G74" s="2">
        <v>449900.0</v>
      </c>
    </row>
    <row r="75" ht="15.75" customHeight="1">
      <c r="A75" s="1"/>
      <c r="B75" s="1"/>
      <c r="C75" s="43" t="s">
        <v>115</v>
      </c>
      <c r="D75" s="1"/>
      <c r="E75" s="1"/>
      <c r="F75" s="1"/>
      <c r="G75" s="2">
        <v>451900.0</v>
      </c>
    </row>
    <row r="76" ht="15.75" customHeight="1">
      <c r="A76" s="1"/>
      <c r="B76" s="1"/>
      <c r="C76" s="43"/>
      <c r="D76" s="1"/>
      <c r="E76" s="1"/>
      <c r="F76" s="1"/>
      <c r="G76" s="2" t="s">
        <v>480</v>
      </c>
    </row>
    <row r="77" ht="15.75" customHeight="1">
      <c r="A77" s="1"/>
      <c r="B77" s="43" t="s">
        <v>1825</v>
      </c>
      <c r="C77" s="43"/>
      <c r="D77" s="1"/>
      <c r="E77" s="1"/>
      <c r="F77" s="1"/>
      <c r="G77" s="2"/>
    </row>
    <row r="78" ht="15.75" customHeight="1">
      <c r="A78" s="1"/>
      <c r="B78" s="43" t="s">
        <v>2055</v>
      </c>
      <c r="C78" s="43"/>
      <c r="D78" s="1"/>
      <c r="E78" s="1"/>
      <c r="F78" s="1"/>
      <c r="G78" s="1"/>
    </row>
    <row r="79" ht="15.75" customHeight="1">
      <c r="A79" s="1"/>
      <c r="B79" s="33" t="s">
        <v>2101</v>
      </c>
      <c r="C79" s="1"/>
      <c r="D79" s="1"/>
      <c r="E79" s="1"/>
      <c r="F79" s="1"/>
      <c r="G79" s="2"/>
    </row>
    <row r="80" ht="15.75" customHeight="1">
      <c r="A80" s="1"/>
      <c r="B80" s="33"/>
      <c r="C80" s="1"/>
      <c r="D80" s="1"/>
      <c r="E80" s="1"/>
      <c r="F80" s="1"/>
      <c r="G80" s="2"/>
    </row>
    <row r="81" ht="15.75" customHeight="1">
      <c r="A81" s="1"/>
      <c r="B81" s="55" t="s">
        <v>531</v>
      </c>
      <c r="C81" s="56"/>
      <c r="D81" s="56"/>
      <c r="E81" s="56"/>
      <c r="F81" s="1"/>
      <c r="G81" s="2"/>
    </row>
    <row r="82" ht="15.75" customHeight="1">
      <c r="A82" s="1"/>
      <c r="B82" s="55"/>
      <c r="C82" s="56"/>
      <c r="D82" s="56"/>
      <c r="E82" s="56"/>
      <c r="F82" s="1"/>
      <c r="G82" s="2"/>
    </row>
    <row r="83" ht="15.75" customHeight="1">
      <c r="A83" s="1"/>
      <c r="B83" s="55" t="s">
        <v>2102</v>
      </c>
      <c r="C83" s="56"/>
      <c r="D83" s="56"/>
      <c r="E83" s="56"/>
      <c r="F83" s="1"/>
      <c r="G83" s="2"/>
    </row>
    <row r="84" ht="15.75" customHeight="1">
      <c r="A84" s="1"/>
      <c r="B84" s="55"/>
      <c r="C84" s="56"/>
      <c r="D84" s="56"/>
      <c r="E84" s="56"/>
      <c r="F84" s="1"/>
      <c r="G84" s="2"/>
    </row>
    <row r="85" ht="15.75" customHeight="1">
      <c r="A85" s="1"/>
      <c r="B85" s="55" t="s">
        <v>533</v>
      </c>
      <c r="F85" s="1"/>
      <c r="G85" s="2"/>
    </row>
    <row r="86" ht="15.75" customHeight="1">
      <c r="A86" s="1"/>
      <c r="B86" s="55"/>
      <c r="C86" s="55"/>
      <c r="D86" s="55"/>
      <c r="E86" s="55"/>
      <c r="F86" s="1"/>
      <c r="G86" s="2"/>
    </row>
    <row r="87" ht="15.75" customHeight="1">
      <c r="A87" s="1"/>
      <c r="B87" s="55" t="s">
        <v>2103</v>
      </c>
      <c r="C87" s="56"/>
      <c r="D87" s="57"/>
      <c r="E87" s="56"/>
      <c r="F87" s="1"/>
      <c r="G87" s="2"/>
    </row>
    <row r="88" ht="15.75" customHeight="1">
      <c r="A88" s="1"/>
      <c r="B88" s="55"/>
      <c r="C88" s="56"/>
      <c r="D88" s="57"/>
      <c r="E88" s="56"/>
      <c r="F88" s="1"/>
      <c r="G88" s="2"/>
    </row>
    <row r="89" ht="15.75" customHeight="1">
      <c r="A89" s="1"/>
      <c r="B89" s="55" t="s">
        <v>535</v>
      </c>
      <c r="C89" s="56"/>
      <c r="D89" s="57"/>
      <c r="E89" s="56"/>
      <c r="F89" s="1"/>
      <c r="G89" s="2"/>
    </row>
    <row r="90" ht="15.75" customHeight="1">
      <c r="A90" s="1"/>
      <c r="B90" s="55"/>
      <c r="C90" s="56"/>
      <c r="D90" s="57"/>
      <c r="E90" s="56"/>
      <c r="F90" s="1"/>
      <c r="G90" s="2"/>
    </row>
    <row r="91" ht="15.75" customHeight="1">
      <c r="B91" s="55" t="s">
        <v>536</v>
      </c>
      <c r="C91" s="56"/>
      <c r="D91" s="57"/>
      <c r="E91" s="57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2:D12"/>
    <mergeCell ref="B13:F13"/>
    <mergeCell ref="B72:G72"/>
    <mergeCell ref="B85:E85"/>
  </mergeCells>
  <printOptions/>
  <pageMargins bottom="0.75" footer="0.0" header="0.0" left="0.7" right="0.7" top="0.7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1.43"/>
    <col customWidth="1" min="3" max="6" width="10.71"/>
    <col customWidth="1" min="7" max="7" width="15.0"/>
    <col customWidth="1" min="8" max="26" width="10.71"/>
  </cols>
  <sheetData>
    <row r="3">
      <c r="A3" s="1" t="s">
        <v>721</v>
      </c>
      <c r="B3" s="3" t="s">
        <v>2012</v>
      </c>
      <c r="C3" s="1"/>
      <c r="D3" s="1"/>
      <c r="E3" s="1"/>
      <c r="F3" s="1"/>
      <c r="G3" s="2"/>
    </row>
    <row r="4">
      <c r="A4" s="1"/>
      <c r="B4" s="75" t="s">
        <v>2104</v>
      </c>
      <c r="G4" s="47">
        <v>8186905.0</v>
      </c>
    </row>
    <row r="5">
      <c r="A5" s="1"/>
      <c r="G5" s="2"/>
    </row>
    <row r="6">
      <c r="A6" s="6" t="s">
        <v>2105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173350.0</v>
      </c>
      <c r="G7" s="7">
        <v>42000.0</v>
      </c>
    </row>
    <row r="8">
      <c r="A8" s="1"/>
      <c r="B8" s="4" t="s">
        <v>64</v>
      </c>
      <c r="C8" s="1"/>
      <c r="D8" s="1"/>
      <c r="E8" s="1"/>
      <c r="F8" s="2">
        <v>527900.0</v>
      </c>
      <c r="G8" s="7">
        <v>142000.0</v>
      </c>
    </row>
    <row r="9">
      <c r="A9" s="1"/>
      <c r="B9" s="4" t="s">
        <v>65</v>
      </c>
      <c r="C9" s="1"/>
      <c r="D9" s="1"/>
      <c r="E9" s="1"/>
      <c r="F9" s="2">
        <v>493500.0</v>
      </c>
      <c r="G9" s="7">
        <v>126000.0</v>
      </c>
    </row>
    <row r="10">
      <c r="A10" s="1"/>
      <c r="B10" s="4" t="s">
        <v>66</v>
      </c>
      <c r="C10" s="1"/>
      <c r="D10" s="1"/>
      <c r="E10" s="1"/>
      <c r="F10" s="2">
        <v>542600.0</v>
      </c>
      <c r="G10" s="76">
        <v>131000.0</v>
      </c>
      <c r="H10" s="67" t="s">
        <v>1585</v>
      </c>
    </row>
    <row r="11">
      <c r="A11" s="1"/>
      <c r="B11" s="4" t="s">
        <v>67</v>
      </c>
      <c r="C11" s="1"/>
      <c r="D11" s="49" t="s">
        <v>8</v>
      </c>
      <c r="E11" s="49"/>
      <c r="F11" s="7">
        <v>524600.0</v>
      </c>
      <c r="G11" s="7">
        <v>82000.0</v>
      </c>
    </row>
    <row r="12">
      <c r="A12" s="1"/>
      <c r="B12" s="4" t="s">
        <v>2106</v>
      </c>
      <c r="C12" s="1"/>
      <c r="D12" s="49"/>
      <c r="E12" s="49"/>
      <c r="F12" s="7">
        <v>401500.0</v>
      </c>
      <c r="G12" s="7" t="s">
        <v>1585</v>
      </c>
    </row>
    <row r="13">
      <c r="A13" s="1"/>
      <c r="B13" s="4"/>
      <c r="C13" s="50" t="s">
        <v>405</v>
      </c>
      <c r="E13" s="4"/>
      <c r="F13" s="2">
        <f>SUM(F7:F12)</f>
        <v>2663450</v>
      </c>
      <c r="G13" s="7">
        <f>SUM(G7:G11)</f>
        <v>523000</v>
      </c>
      <c r="K13" s="67" t="s">
        <v>480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3186450</v>
      </c>
    </row>
    <row r="15">
      <c r="A15" s="6" t="s">
        <v>2107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2016</v>
      </c>
      <c r="C17" s="1"/>
      <c r="D17" s="1"/>
      <c r="E17" s="1"/>
      <c r="F17" s="1"/>
      <c r="G17" s="77">
        <v>240900.0</v>
      </c>
    </row>
    <row r="18">
      <c r="A18" s="1"/>
      <c r="B18" s="4" t="s">
        <v>1594</v>
      </c>
      <c r="C18" s="1"/>
      <c r="D18" s="1"/>
      <c r="E18" s="1"/>
      <c r="F18" s="1"/>
      <c r="G18" s="77">
        <v>100000.0</v>
      </c>
    </row>
    <row r="19">
      <c r="A19" s="1"/>
      <c r="B19" s="4" t="s">
        <v>13</v>
      </c>
      <c r="C19" s="1"/>
      <c r="D19" s="1"/>
      <c r="E19" s="1"/>
      <c r="F19" s="1"/>
      <c r="G19" s="13">
        <v>125000.0</v>
      </c>
    </row>
    <row r="20">
      <c r="A20" s="1"/>
      <c r="B20" s="4" t="s">
        <v>14</v>
      </c>
      <c r="C20" s="1"/>
      <c r="D20" s="1"/>
      <c r="E20" s="1"/>
      <c r="F20" s="1"/>
      <c r="G20" s="13">
        <v>125000.0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100000.0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80000.0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125000.0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100000.0</v>
      </c>
    </row>
    <row r="25" ht="15.75" customHeight="1">
      <c r="A25" s="1"/>
      <c r="B25" s="4"/>
      <c r="C25" s="1"/>
      <c r="D25" s="1"/>
      <c r="E25" s="1"/>
      <c r="F25" s="1"/>
      <c r="G25" s="77"/>
    </row>
    <row r="26" ht="15.75" customHeight="1">
      <c r="A26" s="1"/>
      <c r="B26" s="9" t="s">
        <v>18</v>
      </c>
      <c r="C26" s="10"/>
      <c r="D26" s="10"/>
      <c r="E26" s="10"/>
      <c r="F26" s="10"/>
      <c r="G26" s="69">
        <f>SUM(G17:G25)</f>
        <v>995900</v>
      </c>
    </row>
    <row r="27" ht="15.75" customHeight="1">
      <c r="A27" s="1"/>
      <c r="B27" s="12" t="s">
        <v>19</v>
      </c>
      <c r="C27" s="15"/>
      <c r="D27" s="1"/>
      <c r="E27" s="1"/>
      <c r="F27" s="1"/>
      <c r="G27" s="2"/>
    </row>
    <row r="28" ht="15.75" customHeight="1">
      <c r="A28" s="1"/>
      <c r="B28" s="4" t="s">
        <v>2108</v>
      </c>
      <c r="C28" s="15"/>
      <c r="D28" s="1"/>
      <c r="E28" s="1"/>
      <c r="F28" s="1"/>
      <c r="G28" s="2">
        <v>65250.0</v>
      </c>
    </row>
    <row r="29" ht="15.75" customHeight="1">
      <c r="A29" s="1"/>
      <c r="B29" s="4" t="s">
        <v>245</v>
      </c>
      <c r="C29" s="15"/>
      <c r="D29" s="1"/>
      <c r="E29" s="1"/>
      <c r="F29" s="1"/>
      <c r="G29" s="2">
        <v>6000.0</v>
      </c>
    </row>
    <row r="30" ht="15.75" customHeight="1">
      <c r="A30" s="1"/>
      <c r="B30" s="4" t="s">
        <v>2020</v>
      </c>
      <c r="C30" s="15"/>
      <c r="D30" s="1"/>
      <c r="E30" s="1"/>
      <c r="F30" s="1"/>
      <c r="G30" s="2">
        <v>1786.0</v>
      </c>
    </row>
    <row r="31" ht="15.75" customHeight="1">
      <c r="A31" s="1"/>
      <c r="B31" s="4" t="s">
        <v>2109</v>
      </c>
      <c r="C31" s="15"/>
      <c r="D31" s="1"/>
      <c r="E31" s="1"/>
      <c r="F31" s="1"/>
      <c r="G31" s="2">
        <v>4350.0</v>
      </c>
    </row>
    <row r="32" ht="15.75" customHeight="1">
      <c r="A32" s="1"/>
      <c r="B32" s="4" t="s">
        <v>2110</v>
      </c>
      <c r="C32" s="15"/>
      <c r="D32" s="1"/>
      <c r="E32" s="1"/>
      <c r="F32" s="1"/>
      <c r="G32" s="2">
        <v>1464.0</v>
      </c>
    </row>
    <row r="33" ht="15.75" customHeight="1">
      <c r="A33" s="1"/>
      <c r="B33" s="4" t="s">
        <v>2111</v>
      </c>
      <c r="C33" s="15"/>
      <c r="D33" s="1"/>
      <c r="E33" s="1"/>
      <c r="F33" s="1"/>
      <c r="G33" s="2">
        <v>1944.0</v>
      </c>
    </row>
    <row r="34" ht="15.75" customHeight="1">
      <c r="A34" s="1"/>
      <c r="B34" s="4" t="s">
        <v>2112</v>
      </c>
      <c r="C34" s="15"/>
      <c r="D34" s="1"/>
      <c r="E34" s="1"/>
      <c r="F34" s="1"/>
      <c r="G34" s="2">
        <v>4482.0</v>
      </c>
    </row>
    <row r="35" ht="15.75" customHeight="1">
      <c r="A35" s="1"/>
      <c r="B35" s="4" t="s">
        <v>2113</v>
      </c>
      <c r="C35" s="15"/>
      <c r="D35" s="1"/>
      <c r="E35" s="1"/>
      <c r="F35" s="1"/>
      <c r="G35" s="2">
        <v>9600.0</v>
      </c>
    </row>
    <row r="36" ht="15.75" customHeight="1">
      <c r="A36" s="1"/>
      <c r="B36" s="4" t="s">
        <v>2114</v>
      </c>
      <c r="C36" s="15"/>
      <c r="D36" s="1"/>
      <c r="E36" s="1"/>
      <c r="F36" s="1"/>
      <c r="G36" s="2">
        <v>30000.0</v>
      </c>
    </row>
    <row r="37" ht="15.75" customHeight="1">
      <c r="A37" s="1"/>
      <c r="B37" s="4" t="s">
        <v>2115</v>
      </c>
      <c r="C37" s="15"/>
      <c r="D37" s="1"/>
      <c r="E37" s="1"/>
      <c r="F37" s="1"/>
      <c r="G37" s="2">
        <v>98500.0</v>
      </c>
    </row>
    <row r="38" ht="15.75" customHeight="1">
      <c r="A38" s="1"/>
      <c r="B38" s="4" t="s">
        <v>1446</v>
      </c>
      <c r="C38" s="15"/>
      <c r="D38" s="1"/>
      <c r="E38" s="1"/>
      <c r="F38" s="1"/>
      <c r="G38" s="2">
        <v>6000.0</v>
      </c>
    </row>
    <row r="39" ht="15.75" customHeight="1">
      <c r="A39" s="1"/>
      <c r="B39" s="4" t="s">
        <v>2116</v>
      </c>
      <c r="C39" s="15"/>
      <c r="D39" s="78"/>
      <c r="E39" s="1"/>
      <c r="F39" s="1"/>
      <c r="G39" s="79">
        <v>2000.0</v>
      </c>
    </row>
    <row r="40" ht="15.75" customHeight="1">
      <c r="A40" s="1"/>
      <c r="B40" s="4" t="s">
        <v>203</v>
      </c>
      <c r="C40" s="15"/>
      <c r="D40" s="1"/>
      <c r="E40" s="1"/>
      <c r="F40" s="1"/>
      <c r="G40" s="2">
        <v>5500.0</v>
      </c>
    </row>
    <row r="41" ht="15.75" customHeight="1">
      <c r="A41" s="1"/>
      <c r="B41" s="4" t="s">
        <v>2117</v>
      </c>
      <c r="C41" s="15"/>
      <c r="D41" s="1"/>
      <c r="E41" s="1"/>
      <c r="F41" s="1"/>
      <c r="G41" s="2">
        <v>1000.0</v>
      </c>
    </row>
    <row r="42" ht="15.75" customHeight="1">
      <c r="A42" s="1"/>
      <c r="B42" s="4" t="s">
        <v>324</v>
      </c>
      <c r="C42" s="15"/>
      <c r="D42" s="1"/>
      <c r="E42" s="1"/>
      <c r="F42" s="1"/>
      <c r="G42" s="2">
        <v>5000.0</v>
      </c>
    </row>
    <row r="43" ht="15.75" customHeight="1">
      <c r="A43" s="1"/>
      <c r="B43" s="4" t="s">
        <v>2118</v>
      </c>
      <c r="C43" s="15"/>
      <c r="D43" s="1"/>
      <c r="E43" s="1"/>
      <c r="F43" s="1"/>
      <c r="G43" s="2">
        <v>20000.0</v>
      </c>
    </row>
    <row r="44" ht="15.75" customHeight="1">
      <c r="A44" s="1"/>
      <c r="B44" s="4" t="s">
        <v>2119</v>
      </c>
      <c r="C44" s="15"/>
      <c r="D44" s="1"/>
      <c r="E44" s="1"/>
      <c r="F44" s="1"/>
      <c r="G44" s="2">
        <v>47500.0</v>
      </c>
    </row>
    <row r="45" ht="15.75" customHeight="1">
      <c r="A45" s="1"/>
      <c r="B45" s="4" t="s">
        <v>2032</v>
      </c>
      <c r="C45" s="15"/>
      <c r="D45" s="1"/>
      <c r="E45" s="1"/>
      <c r="F45" s="1"/>
      <c r="G45" s="2">
        <v>3300.0</v>
      </c>
    </row>
    <row r="46" ht="15.75" customHeight="1">
      <c r="A46" s="1"/>
      <c r="B46" s="4" t="s">
        <v>79</v>
      </c>
      <c r="C46" s="15"/>
      <c r="D46" s="1"/>
      <c r="E46" s="1"/>
      <c r="F46" s="1"/>
      <c r="G46" s="2">
        <v>2500.0</v>
      </c>
    </row>
    <row r="47" ht="15.75" customHeight="1">
      <c r="A47" s="1"/>
      <c r="B47" s="4" t="s">
        <v>2120</v>
      </c>
      <c r="C47" s="15"/>
      <c r="D47" s="1"/>
      <c r="E47" s="1"/>
      <c r="F47" s="1"/>
      <c r="G47" s="2">
        <v>3500.0</v>
      </c>
    </row>
    <row r="48" ht="15.75" customHeight="1">
      <c r="A48" s="1"/>
      <c r="B48" s="4" t="s">
        <v>2121</v>
      </c>
      <c r="C48" s="15"/>
      <c r="D48" s="1"/>
      <c r="E48" s="1"/>
      <c r="F48" s="1"/>
      <c r="G48" s="2">
        <v>14000.0</v>
      </c>
    </row>
    <row r="49" ht="15.75" customHeight="1">
      <c r="A49" s="1"/>
      <c r="B49" s="4" t="s">
        <v>2122</v>
      </c>
      <c r="C49" s="15"/>
      <c r="D49" s="1"/>
      <c r="E49" s="1"/>
      <c r="F49" s="1"/>
      <c r="G49" s="2">
        <v>437500.0</v>
      </c>
    </row>
    <row r="50" ht="15.75" customHeight="1">
      <c r="A50" s="1"/>
      <c r="B50" s="4" t="s">
        <v>2068</v>
      </c>
      <c r="C50" s="15"/>
      <c r="D50" s="1"/>
      <c r="E50" s="1"/>
      <c r="F50" s="1"/>
      <c r="G50" s="2">
        <v>12000.0</v>
      </c>
    </row>
    <row r="51" ht="15.75" customHeight="1">
      <c r="A51" s="1"/>
      <c r="B51" s="4" t="s">
        <v>2123</v>
      </c>
      <c r="C51" s="15"/>
      <c r="D51" s="1"/>
      <c r="E51" s="1"/>
      <c r="F51" s="1"/>
      <c r="G51" s="2">
        <v>4000.0</v>
      </c>
    </row>
    <row r="52" ht="15.75" customHeight="1">
      <c r="A52" s="1"/>
      <c r="B52" s="1" t="s">
        <v>2124</v>
      </c>
      <c r="C52" s="1"/>
      <c r="D52" s="1"/>
      <c r="E52" s="1"/>
      <c r="F52" s="1"/>
      <c r="G52" s="13">
        <v>10000.0</v>
      </c>
    </row>
    <row r="53" ht="15.75" customHeight="1">
      <c r="A53" s="1"/>
      <c r="B53" s="1" t="s">
        <v>2125</v>
      </c>
      <c r="C53" s="1"/>
      <c r="D53" s="1"/>
      <c r="E53" s="1"/>
      <c r="F53" s="1"/>
      <c r="G53" s="13">
        <v>21430.0</v>
      </c>
    </row>
    <row r="54" ht="15.75" customHeight="1">
      <c r="A54" s="1"/>
      <c r="B54" s="1" t="s">
        <v>2126</v>
      </c>
      <c r="C54" s="1"/>
      <c r="D54" s="1"/>
      <c r="E54" s="1"/>
      <c r="F54" s="1"/>
      <c r="G54" s="13">
        <v>5800.0</v>
      </c>
    </row>
    <row r="55" ht="15.75" customHeight="1">
      <c r="A55" s="1"/>
      <c r="B55" s="1" t="s">
        <v>2127</v>
      </c>
      <c r="C55" s="1"/>
      <c r="D55" s="1"/>
      <c r="E55" s="1"/>
      <c r="F55" s="1"/>
      <c r="G55" s="13">
        <v>55000.0</v>
      </c>
    </row>
    <row r="56" ht="15.75" customHeight="1">
      <c r="A56" s="1"/>
      <c r="B56" s="1" t="s">
        <v>2128</v>
      </c>
      <c r="C56" s="1"/>
      <c r="D56" s="1"/>
      <c r="E56" s="1"/>
      <c r="F56" s="1"/>
      <c r="G56" s="13">
        <v>180000.0</v>
      </c>
    </row>
    <row r="57" ht="15.75" customHeight="1">
      <c r="A57" s="1"/>
      <c r="B57" s="1" t="s">
        <v>2129</v>
      </c>
      <c r="C57" s="1"/>
      <c r="D57" s="1"/>
      <c r="E57" s="1"/>
      <c r="F57" s="1"/>
      <c r="G57" s="13">
        <v>4000.0</v>
      </c>
    </row>
    <row r="58" ht="15.75" customHeight="1">
      <c r="A58" s="1"/>
      <c r="B58" s="1" t="s">
        <v>2130</v>
      </c>
      <c r="C58" s="1"/>
      <c r="D58" s="1"/>
      <c r="E58" s="1"/>
      <c r="F58" s="1"/>
      <c r="G58" s="13">
        <v>125000.0</v>
      </c>
    </row>
    <row r="59" ht="15.75" customHeight="1">
      <c r="A59" s="1"/>
      <c r="B59" s="1" t="s">
        <v>2131</v>
      </c>
      <c r="C59" s="1"/>
      <c r="D59" s="1"/>
      <c r="E59" s="1"/>
      <c r="F59" s="1"/>
      <c r="G59" s="13">
        <v>90000.0</v>
      </c>
    </row>
    <row r="60" ht="15.75" customHeight="1">
      <c r="A60" s="1"/>
      <c r="B60" s="1" t="s">
        <v>2045</v>
      </c>
      <c r="C60" s="1"/>
      <c r="D60" s="1"/>
      <c r="E60" s="1"/>
      <c r="F60" s="1"/>
      <c r="G60" s="13">
        <v>15000.0</v>
      </c>
    </row>
    <row r="61" ht="15.75" customHeight="1">
      <c r="A61" s="1"/>
      <c r="B61" s="1" t="s">
        <v>2046</v>
      </c>
      <c r="C61" s="1"/>
      <c r="D61" s="1"/>
      <c r="E61" s="1"/>
      <c r="F61" s="1"/>
      <c r="G61" s="13">
        <v>30000.0</v>
      </c>
    </row>
    <row r="62" ht="15.75" customHeight="1">
      <c r="A62" s="1"/>
      <c r="B62" s="1" t="s">
        <v>2047</v>
      </c>
      <c r="C62" s="1"/>
      <c r="D62" s="1"/>
      <c r="E62" s="1"/>
      <c r="F62" s="1"/>
      <c r="G62" s="13">
        <v>147000.0</v>
      </c>
    </row>
    <row r="63" ht="15.75" customHeight="1">
      <c r="A63" s="1"/>
      <c r="B63" s="1" t="s">
        <v>2132</v>
      </c>
      <c r="C63" s="1"/>
      <c r="D63" s="1"/>
      <c r="E63" s="1"/>
      <c r="F63" s="1"/>
      <c r="G63" s="13">
        <v>50000.0</v>
      </c>
    </row>
    <row r="64" ht="15.75" customHeight="1">
      <c r="A64" s="1"/>
      <c r="B64" s="1" t="s">
        <v>2133</v>
      </c>
      <c r="C64" s="1"/>
      <c r="D64" s="1"/>
      <c r="E64" s="1"/>
      <c r="F64" s="1"/>
      <c r="G64" s="13">
        <v>75000.0</v>
      </c>
    </row>
    <row r="65" ht="15.75" customHeight="1">
      <c r="A65" s="1"/>
      <c r="B65" s="1" t="s">
        <v>2134</v>
      </c>
      <c r="C65" s="1"/>
      <c r="D65" s="1"/>
      <c r="E65" s="1"/>
      <c r="F65" s="1"/>
      <c r="G65" s="13">
        <v>72705.0</v>
      </c>
    </row>
    <row r="66" ht="15.75" customHeight="1">
      <c r="A66" s="1"/>
      <c r="B66" s="43" t="s">
        <v>43</v>
      </c>
      <c r="C66" s="1"/>
      <c r="D66" s="1"/>
      <c r="E66" s="1"/>
      <c r="F66" s="1"/>
      <c r="G66" s="18">
        <f>SUM(G28:G65)</f>
        <v>1668111</v>
      </c>
    </row>
    <row r="67" ht="15.75" customHeight="1">
      <c r="A67" s="1"/>
      <c r="B67" s="19" t="s">
        <v>45</v>
      </c>
      <c r="C67" s="20"/>
      <c r="D67" s="20"/>
      <c r="E67" s="20"/>
      <c r="F67" s="20"/>
      <c r="G67" s="70">
        <f>SUM(G26+G66)</f>
        <v>2664011</v>
      </c>
    </row>
    <row r="68" ht="15.75" customHeight="1">
      <c r="A68" s="1"/>
      <c r="B68" s="4" t="s">
        <v>46</v>
      </c>
      <c r="C68" s="1"/>
      <c r="D68" s="1"/>
      <c r="E68" s="1"/>
      <c r="F68" s="1"/>
      <c r="G68" s="2"/>
    </row>
    <row r="69" ht="15.75" customHeight="1">
      <c r="A69" s="35" t="s">
        <v>2051</v>
      </c>
      <c r="B69" s="36"/>
      <c r="C69" s="37"/>
      <c r="D69" s="37"/>
      <c r="E69" s="37"/>
      <c r="F69" s="37"/>
      <c r="G69" s="71">
        <f>(G14-G67)</f>
        <v>522439</v>
      </c>
    </row>
    <row r="70" ht="15.75" customHeight="1">
      <c r="A70" s="22" t="s">
        <v>254</v>
      </c>
      <c r="B70" s="43" t="s">
        <v>255</v>
      </c>
      <c r="C70" s="1"/>
      <c r="D70" s="1"/>
      <c r="E70" s="1"/>
      <c r="F70" s="1"/>
      <c r="G70" s="2"/>
    </row>
    <row r="71" ht="15.75" customHeight="1">
      <c r="A71" s="22"/>
      <c r="B71" s="43" t="s">
        <v>2135</v>
      </c>
      <c r="C71" s="1"/>
      <c r="D71" s="1"/>
      <c r="E71" s="1"/>
      <c r="F71" s="1"/>
      <c r="G71" s="2">
        <v>484500.0</v>
      </c>
    </row>
    <row r="72" ht="15.75" customHeight="1">
      <c r="A72" s="22"/>
      <c r="B72" s="43" t="s">
        <v>2136</v>
      </c>
      <c r="C72" s="1"/>
      <c r="D72" s="1"/>
      <c r="E72" s="1"/>
      <c r="F72" s="1"/>
      <c r="G72" s="2"/>
    </row>
    <row r="73" ht="15.75" customHeight="1">
      <c r="A73" s="44"/>
      <c r="B73" s="72" t="s">
        <v>51</v>
      </c>
      <c r="C73" s="27"/>
      <c r="D73" s="27"/>
      <c r="E73" s="27"/>
      <c r="F73" s="27"/>
      <c r="G73" s="73">
        <f>G71+G72</f>
        <v>484500</v>
      </c>
    </row>
    <row r="74" ht="15.75" customHeight="1">
      <c r="A74" s="44"/>
      <c r="B74" s="45" t="s">
        <v>2137</v>
      </c>
      <c r="C74" s="45"/>
      <c r="D74" s="45"/>
      <c r="E74" s="46"/>
      <c r="F74" s="46"/>
      <c r="G74" s="47">
        <f>G4+G69-G73</f>
        <v>8224844</v>
      </c>
      <c r="L74" s="67" t="s">
        <v>480</v>
      </c>
    </row>
    <row r="75" ht="15.75" customHeight="1">
      <c r="A75" s="1"/>
      <c r="B75" s="32" t="s">
        <v>2054</v>
      </c>
    </row>
    <row r="76" ht="15.75" customHeight="1">
      <c r="A76" s="1"/>
      <c r="B76" s="1"/>
      <c r="C76" s="1" t="s">
        <v>1270</v>
      </c>
      <c r="D76" s="1"/>
      <c r="E76" s="1"/>
      <c r="F76" s="1"/>
      <c r="G76" s="2"/>
    </row>
    <row r="77" ht="15.75" customHeight="1">
      <c r="A77" s="1"/>
      <c r="B77" s="1"/>
      <c r="C77" s="1" t="s">
        <v>1314</v>
      </c>
      <c r="D77" s="1"/>
      <c r="E77" s="1"/>
      <c r="F77" s="1"/>
      <c r="G77" s="2">
        <v>618000.0</v>
      </c>
    </row>
    <row r="78" ht="15.75" customHeight="1">
      <c r="A78" s="1"/>
      <c r="B78" s="1"/>
      <c r="C78" s="43" t="s">
        <v>115</v>
      </c>
      <c r="D78" s="1"/>
      <c r="E78" s="1"/>
      <c r="F78" s="1"/>
      <c r="G78" s="2">
        <v>618000.0</v>
      </c>
    </row>
    <row r="79" ht="15.75" customHeight="1">
      <c r="A79" s="1"/>
      <c r="B79" s="1"/>
      <c r="C79" s="43"/>
      <c r="D79" s="1"/>
      <c r="E79" s="1"/>
      <c r="F79" s="1"/>
      <c r="G79" s="2" t="s">
        <v>1585</v>
      </c>
    </row>
    <row r="80" ht="15.75" customHeight="1">
      <c r="A80" s="1"/>
      <c r="B80" s="43" t="s">
        <v>1825</v>
      </c>
      <c r="C80" s="43"/>
      <c r="D80" s="1"/>
      <c r="E80" s="1"/>
      <c r="F80" s="1"/>
      <c r="G80" s="2"/>
    </row>
    <row r="81" ht="15.75" customHeight="1">
      <c r="A81" s="1"/>
      <c r="B81" s="43" t="s">
        <v>2138</v>
      </c>
      <c r="C81" s="43"/>
      <c r="D81" s="1"/>
      <c r="E81" s="1"/>
      <c r="F81" s="1"/>
      <c r="G81" s="1"/>
      <c r="P81" s="67" t="s">
        <v>2139</v>
      </c>
    </row>
    <row r="82" ht="15.75" customHeight="1">
      <c r="A82" s="1"/>
      <c r="B82" s="33" t="s">
        <v>2140</v>
      </c>
      <c r="C82" s="1"/>
      <c r="D82" s="1"/>
      <c r="E82" s="1"/>
      <c r="F82" s="1"/>
      <c r="G82" s="2"/>
    </row>
    <row r="83" ht="15.75" customHeight="1">
      <c r="A83" s="1"/>
      <c r="B83" s="33"/>
      <c r="C83" s="1"/>
      <c r="D83" s="1"/>
      <c r="E83" s="1"/>
      <c r="F83" s="1"/>
      <c r="G83" s="2"/>
    </row>
    <row r="84" ht="15.75" customHeight="1">
      <c r="A84" s="1"/>
      <c r="B84" s="55" t="s">
        <v>531</v>
      </c>
      <c r="C84" s="56"/>
      <c r="D84" s="56"/>
      <c r="E84" s="56"/>
      <c r="F84" s="1"/>
      <c r="G84" s="2"/>
    </row>
    <row r="85" ht="15.75" customHeight="1">
      <c r="A85" s="1"/>
      <c r="B85" s="55"/>
      <c r="C85" s="56"/>
      <c r="D85" s="56"/>
      <c r="E85" s="56"/>
      <c r="F85" s="1"/>
      <c r="G85" s="2"/>
    </row>
    <row r="86" ht="15.75" customHeight="1">
      <c r="A86" s="1"/>
      <c r="B86" s="55" t="s">
        <v>2141</v>
      </c>
      <c r="C86" s="56"/>
      <c r="D86" s="56"/>
      <c r="E86" s="56"/>
      <c r="F86" s="1"/>
      <c r="G86" s="2"/>
    </row>
    <row r="87" ht="15.75" customHeight="1">
      <c r="A87" s="1"/>
      <c r="B87" s="55"/>
      <c r="C87" s="56"/>
      <c r="D87" s="56"/>
      <c r="E87" s="56"/>
      <c r="F87" s="1"/>
      <c r="G87" s="2"/>
    </row>
    <row r="88" ht="15.75" customHeight="1">
      <c r="A88" s="1"/>
      <c r="B88" s="55" t="s">
        <v>533</v>
      </c>
      <c r="F88" s="1"/>
      <c r="G88" s="2"/>
    </row>
    <row r="89" ht="15.75" customHeight="1">
      <c r="A89" s="1"/>
      <c r="B89" s="55"/>
      <c r="C89" s="55"/>
      <c r="D89" s="55"/>
      <c r="E89" s="55"/>
      <c r="F89" s="1"/>
      <c r="G89" s="2"/>
    </row>
    <row r="90" ht="15.75" customHeight="1">
      <c r="A90" s="1"/>
      <c r="B90" s="55" t="s">
        <v>2142</v>
      </c>
      <c r="C90" s="56"/>
      <c r="D90" s="57"/>
      <c r="E90" s="56"/>
      <c r="F90" s="1"/>
      <c r="G90" s="2"/>
    </row>
    <row r="91" ht="15.75" customHeight="1">
      <c r="A91" s="1"/>
      <c r="B91" s="55"/>
      <c r="C91" s="56"/>
      <c r="D91" s="57"/>
      <c r="E91" s="56"/>
      <c r="F91" s="1"/>
      <c r="G91" s="2"/>
    </row>
    <row r="92" ht="15.75" customHeight="1">
      <c r="A92" s="1"/>
      <c r="B92" s="55" t="s">
        <v>535</v>
      </c>
      <c r="C92" s="56"/>
      <c r="D92" s="57"/>
      <c r="E92" s="56"/>
      <c r="F92" s="1"/>
      <c r="G92" s="2"/>
    </row>
    <row r="93" ht="15.75" customHeight="1">
      <c r="A93" s="1"/>
      <c r="B93" s="55"/>
      <c r="C93" s="56"/>
      <c r="D93" s="57"/>
      <c r="E93" s="56"/>
      <c r="F93" s="1"/>
      <c r="G93" s="2"/>
    </row>
    <row r="94" ht="15.75" customHeight="1">
      <c r="B94" s="55" t="s">
        <v>536</v>
      </c>
      <c r="C94" s="56"/>
      <c r="D94" s="57"/>
      <c r="E94" s="5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5"/>
    <mergeCell ref="C13:D13"/>
    <mergeCell ref="B14:F14"/>
    <mergeCell ref="B75:G75"/>
    <mergeCell ref="B88:E88"/>
  </mergeCells>
  <printOptions/>
  <pageMargins bottom="0.75" footer="0.0" header="0.0" left="0.7" right="0.7" top="0.7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58" t="s">
        <v>1585</v>
      </c>
      <c r="B1" s="58" t="s">
        <v>622</v>
      </c>
      <c r="C1" s="58" t="s">
        <v>623</v>
      </c>
      <c r="D1" s="58" t="s">
        <v>624</v>
      </c>
      <c r="E1" s="58" t="s">
        <v>625</v>
      </c>
      <c r="F1" s="58" t="s">
        <v>626</v>
      </c>
      <c r="G1" s="58" t="s">
        <v>627</v>
      </c>
      <c r="H1" s="58" t="s">
        <v>628</v>
      </c>
      <c r="I1" s="58" t="s">
        <v>629</v>
      </c>
    </row>
    <row r="2">
      <c r="A2" s="59">
        <v>44562.0</v>
      </c>
      <c r="B2" s="2">
        <v>9551627.0</v>
      </c>
      <c r="C2" s="60">
        <v>2213600.0</v>
      </c>
      <c r="D2" s="60">
        <v>613000.0</v>
      </c>
      <c r="E2" s="60">
        <v>865000.0</v>
      </c>
      <c r="F2" s="60">
        <v>2348886.0</v>
      </c>
      <c r="G2" s="60">
        <v>0.0</v>
      </c>
      <c r="H2" s="60">
        <v>254968.0</v>
      </c>
      <c r="I2" s="60">
        <f t="shared" ref="I2:I3" si="1">(B2+H2-G2)</f>
        <v>9806595</v>
      </c>
    </row>
    <row r="3">
      <c r="A3" s="59">
        <v>44593.0</v>
      </c>
      <c r="B3" s="2">
        <v>9806595.0</v>
      </c>
      <c r="C3" s="60">
        <v>2836700.0</v>
      </c>
      <c r="D3" s="60">
        <v>708000.0</v>
      </c>
      <c r="E3" s="60">
        <v>865000.0</v>
      </c>
      <c r="F3" s="60">
        <v>2348886.0</v>
      </c>
      <c r="G3" s="2">
        <v>52400.0</v>
      </c>
      <c r="H3" s="60">
        <v>330814.0</v>
      </c>
      <c r="I3" s="60">
        <f t="shared" si="1"/>
        <v>10085009</v>
      </c>
    </row>
    <row r="4">
      <c r="A4" s="59">
        <v>44621.0</v>
      </c>
      <c r="B4" s="2">
        <v>1.0085009E7</v>
      </c>
      <c r="C4" s="60">
        <v>2711200.0</v>
      </c>
      <c r="D4" s="60">
        <v>715000.0</v>
      </c>
      <c r="E4" s="60">
        <v>929800.0</v>
      </c>
      <c r="F4" s="60">
        <v>1428418.0</v>
      </c>
      <c r="G4" s="60">
        <v>1597940.0</v>
      </c>
      <c r="H4" s="60">
        <v>1067982.0</v>
      </c>
      <c r="I4" s="60">
        <v>9555051.0</v>
      </c>
    </row>
    <row r="5">
      <c r="A5" s="59">
        <v>44652.0</v>
      </c>
      <c r="B5" s="60">
        <f t="shared" ref="B5:B13" si="2">(I4)</f>
        <v>9555051</v>
      </c>
      <c r="C5" s="60">
        <v>2183600.0</v>
      </c>
      <c r="D5" s="60">
        <v>571000.0</v>
      </c>
      <c r="E5" s="60">
        <v>952600.0</v>
      </c>
      <c r="F5" s="60">
        <v>1324223.0</v>
      </c>
      <c r="G5" s="60">
        <v>0.0</v>
      </c>
      <c r="H5" s="60">
        <v>477777.0</v>
      </c>
      <c r="I5" s="60">
        <f t="shared" ref="I5:I7" si="3">(B5+H5-G5)</f>
        <v>10032828</v>
      </c>
    </row>
    <row r="6">
      <c r="A6" s="59">
        <v>44682.0</v>
      </c>
      <c r="B6" s="60">
        <f t="shared" si="2"/>
        <v>10032828</v>
      </c>
      <c r="C6" s="62">
        <v>1917700.0</v>
      </c>
      <c r="D6" s="7">
        <v>629000.0</v>
      </c>
      <c r="E6" s="60">
        <v>891900.0</v>
      </c>
      <c r="F6" s="60">
        <v>1329177.0</v>
      </c>
      <c r="G6" s="60">
        <v>0.0</v>
      </c>
      <c r="H6" s="60">
        <v>325623.0</v>
      </c>
      <c r="I6" s="60">
        <f t="shared" si="3"/>
        <v>10358451</v>
      </c>
    </row>
    <row r="7">
      <c r="A7" s="59">
        <v>44713.0</v>
      </c>
      <c r="B7" s="60">
        <f t="shared" si="2"/>
        <v>10358451</v>
      </c>
      <c r="C7" s="2">
        <v>1889400.0</v>
      </c>
      <c r="D7" s="60">
        <v>643000.0</v>
      </c>
      <c r="E7" s="60">
        <v>971900.0</v>
      </c>
      <c r="F7" s="60">
        <v>1824872.0</v>
      </c>
      <c r="G7" s="60">
        <v>2210700.0</v>
      </c>
      <c r="H7" s="60">
        <v>-264372.0</v>
      </c>
      <c r="I7" s="60">
        <f t="shared" si="3"/>
        <v>7883379</v>
      </c>
    </row>
    <row r="8">
      <c r="A8" s="59">
        <v>44743.0</v>
      </c>
      <c r="B8" s="60">
        <f t="shared" si="2"/>
        <v>7883379</v>
      </c>
      <c r="C8" s="60">
        <v>1927500.0</v>
      </c>
      <c r="D8" s="60">
        <v>636000.0</v>
      </c>
      <c r="E8" s="60">
        <v>883000.0</v>
      </c>
      <c r="F8" s="60">
        <v>1279935.0</v>
      </c>
      <c r="G8" s="60">
        <v>0.0</v>
      </c>
      <c r="H8" s="60">
        <v>400565.0</v>
      </c>
      <c r="I8" s="60">
        <v>8283944.0</v>
      </c>
    </row>
    <row r="9">
      <c r="A9" s="59">
        <v>44774.0</v>
      </c>
      <c r="B9" s="60">
        <f t="shared" si="2"/>
        <v>8283944</v>
      </c>
      <c r="C9" s="60">
        <v>2672900.0</v>
      </c>
      <c r="D9" s="60">
        <v>886000.0</v>
      </c>
      <c r="E9" s="60">
        <v>1045000.0</v>
      </c>
      <c r="F9" s="60">
        <v>1397570.0</v>
      </c>
      <c r="G9" s="60">
        <v>0.0</v>
      </c>
      <c r="H9" s="60">
        <v>1116330.0</v>
      </c>
      <c r="I9" s="60">
        <v>8999709.0</v>
      </c>
    </row>
    <row r="10">
      <c r="A10" s="59">
        <v>44805.0</v>
      </c>
      <c r="B10" s="60">
        <f t="shared" si="2"/>
        <v>8999709</v>
      </c>
      <c r="C10" s="60">
        <v>2309900.0</v>
      </c>
      <c r="D10" s="60">
        <v>646000.0</v>
      </c>
      <c r="E10" s="60">
        <v>1151000.0</v>
      </c>
      <c r="F10" s="60">
        <v>1397570.0</v>
      </c>
      <c r="G10" s="60">
        <v>0.0</v>
      </c>
      <c r="H10" s="60">
        <v>87459.0</v>
      </c>
      <c r="I10" s="60">
        <v>8087168.0</v>
      </c>
    </row>
    <row r="11">
      <c r="A11" s="59">
        <v>44835.0</v>
      </c>
      <c r="B11" s="60">
        <f t="shared" si="2"/>
        <v>8087168</v>
      </c>
      <c r="C11" s="60">
        <v>2220200.0</v>
      </c>
      <c r="D11" s="60">
        <v>493000.0</v>
      </c>
      <c r="E11" s="60">
        <v>1125000.0</v>
      </c>
      <c r="F11" s="60">
        <v>2064717.0</v>
      </c>
      <c r="G11" s="60">
        <v>0.0</v>
      </c>
      <c r="H11" s="60">
        <v>-476517.0</v>
      </c>
      <c r="I11" s="60">
        <f>(B11+H11-G11)</f>
        <v>7610651</v>
      </c>
    </row>
    <row r="12">
      <c r="A12" s="59">
        <v>44866.0</v>
      </c>
      <c r="B12" s="60">
        <f t="shared" si="2"/>
        <v>7610651</v>
      </c>
      <c r="C12" s="60">
        <v>2183300.0</v>
      </c>
      <c r="D12" s="60">
        <v>537000.0</v>
      </c>
      <c r="E12" s="60">
        <v>1113000.0</v>
      </c>
      <c r="F12" s="60">
        <v>1389632.0</v>
      </c>
      <c r="G12" s="60">
        <v>0.0</v>
      </c>
      <c r="H12" s="60">
        <v>217668.0</v>
      </c>
      <c r="I12" s="60">
        <v>8186905.0</v>
      </c>
    </row>
    <row r="13">
      <c r="A13" s="59">
        <v>44896.0</v>
      </c>
      <c r="B13" s="60">
        <f t="shared" si="2"/>
        <v>8186905</v>
      </c>
      <c r="C13" s="60">
        <v>2663450.0</v>
      </c>
      <c r="D13" s="60">
        <v>523000.0</v>
      </c>
      <c r="E13" s="60">
        <v>995900.0</v>
      </c>
      <c r="F13" s="60">
        <v>1595406.0</v>
      </c>
      <c r="G13" s="60">
        <v>3334600.0</v>
      </c>
      <c r="H13" s="60">
        <v>595144.0</v>
      </c>
      <c r="I13" s="60">
        <v>5447449.0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6" width="10.71"/>
    <col customWidth="1" min="7" max="7" width="15.0"/>
    <col customWidth="1" min="8" max="26" width="10.71"/>
  </cols>
  <sheetData>
    <row r="1">
      <c r="B1" s="67" t="s">
        <v>480</v>
      </c>
    </row>
    <row r="3">
      <c r="A3" s="1" t="s">
        <v>721</v>
      </c>
      <c r="B3" s="3" t="s">
        <v>2143</v>
      </c>
      <c r="C3" s="1"/>
      <c r="D3" s="1"/>
      <c r="E3" s="1"/>
      <c r="F3" s="1"/>
      <c r="G3" s="2"/>
    </row>
    <row r="4">
      <c r="A4" s="1"/>
      <c r="B4" s="75" t="s">
        <v>2144</v>
      </c>
      <c r="G4" s="47">
        <v>5447449.0</v>
      </c>
    </row>
    <row r="5">
      <c r="A5" s="1"/>
      <c r="G5" s="2"/>
    </row>
    <row r="6">
      <c r="A6" s="6" t="s">
        <v>2145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551200.0</v>
      </c>
      <c r="G7" s="7">
        <v>127000.0</v>
      </c>
    </row>
    <row r="8">
      <c r="A8" s="1"/>
      <c r="B8" s="4" t="s">
        <v>64</v>
      </c>
      <c r="C8" s="1"/>
      <c r="D8" s="1"/>
      <c r="E8" s="1"/>
      <c r="F8" s="2">
        <v>461000.0</v>
      </c>
      <c r="G8" s="7">
        <v>116000.0</v>
      </c>
      <c r="J8" s="67" t="s">
        <v>1585</v>
      </c>
    </row>
    <row r="9">
      <c r="A9" s="1"/>
      <c r="B9" s="4" t="s">
        <v>65</v>
      </c>
      <c r="C9" s="1"/>
      <c r="D9" s="1"/>
      <c r="E9" s="1"/>
      <c r="F9" s="2">
        <v>446400.0</v>
      </c>
      <c r="G9" s="7">
        <v>77000.0</v>
      </c>
    </row>
    <row r="10">
      <c r="A10" s="1"/>
      <c r="B10" s="4" t="s">
        <v>66</v>
      </c>
      <c r="C10" s="1"/>
      <c r="D10" s="1"/>
      <c r="E10" s="1"/>
      <c r="F10" s="2">
        <v>392400.0</v>
      </c>
      <c r="G10" s="76">
        <v>103000.0</v>
      </c>
    </row>
    <row r="11">
      <c r="A11" s="1"/>
      <c r="B11" s="4" t="s">
        <v>67</v>
      </c>
      <c r="C11" s="1"/>
      <c r="D11" s="49" t="s">
        <v>8</v>
      </c>
      <c r="E11" s="49"/>
      <c r="F11" s="7">
        <v>251200.0</v>
      </c>
      <c r="G11" s="7">
        <v>51000.0</v>
      </c>
    </row>
    <row r="12">
      <c r="A12" s="1"/>
      <c r="B12" s="4" t="s">
        <v>2146</v>
      </c>
      <c r="C12" s="1"/>
      <c r="D12" s="49"/>
      <c r="E12" s="49"/>
      <c r="F12" s="7">
        <v>383000.0</v>
      </c>
      <c r="G12" s="7" t="s">
        <v>1585</v>
      </c>
    </row>
    <row r="13">
      <c r="A13" s="1"/>
      <c r="B13" s="4"/>
      <c r="C13" s="50" t="s">
        <v>405</v>
      </c>
      <c r="E13" s="4"/>
      <c r="F13" s="2">
        <f>SUM(F7:F12)</f>
        <v>2485200</v>
      </c>
      <c r="G13" s="7">
        <f>SUM(G7:G11)</f>
        <v>474000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2959200</v>
      </c>
    </row>
    <row r="15">
      <c r="A15" s="6" t="s">
        <v>2147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2016</v>
      </c>
      <c r="C17" s="1"/>
      <c r="D17" s="1"/>
      <c r="E17" s="1"/>
      <c r="F17" s="1"/>
      <c r="G17" s="77">
        <v>229800.0</v>
      </c>
    </row>
    <row r="18">
      <c r="A18" s="1"/>
      <c r="B18" s="4" t="s">
        <v>1594</v>
      </c>
      <c r="C18" s="1"/>
      <c r="D18" s="1"/>
      <c r="E18" s="1"/>
      <c r="F18" s="1"/>
      <c r="G18" s="77">
        <v>150000.0</v>
      </c>
    </row>
    <row r="19">
      <c r="A19" s="1"/>
      <c r="B19" s="4" t="s">
        <v>13</v>
      </c>
      <c r="C19" s="1"/>
      <c r="D19" s="1"/>
      <c r="E19" s="1"/>
      <c r="F19" s="1"/>
      <c r="G19" s="13">
        <v>150000.0</v>
      </c>
    </row>
    <row r="20">
      <c r="A20" s="1"/>
      <c r="B20" s="4" t="s">
        <v>14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150000.0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125000.0</v>
      </c>
    </row>
    <row r="25" ht="15.75" customHeight="1">
      <c r="A25" s="1"/>
      <c r="B25" s="4" t="s">
        <v>2148</v>
      </c>
      <c r="C25" s="1"/>
      <c r="D25" s="1"/>
      <c r="E25" s="1"/>
      <c r="F25" s="1"/>
      <c r="G25" s="77">
        <v>250000.0</v>
      </c>
    </row>
    <row r="26" ht="15.75" customHeight="1">
      <c r="A26" s="1"/>
      <c r="B26" s="4" t="s">
        <v>2149</v>
      </c>
      <c r="C26" s="1"/>
      <c r="D26" s="1"/>
      <c r="E26" s="1"/>
      <c r="F26" s="1"/>
      <c r="G26" s="77">
        <v>100000.0</v>
      </c>
      <c r="M26" s="67" t="s">
        <v>480</v>
      </c>
    </row>
    <row r="27" ht="15.75" customHeight="1">
      <c r="A27" s="1"/>
      <c r="B27" s="4"/>
      <c r="C27" s="1"/>
      <c r="D27" s="1"/>
      <c r="E27" s="1"/>
      <c r="F27" s="1"/>
      <c r="G27" s="77"/>
    </row>
    <row r="28" ht="15.75" customHeight="1">
      <c r="A28" s="1"/>
      <c r="B28" s="9" t="s">
        <v>18</v>
      </c>
      <c r="C28" s="10"/>
      <c r="D28" s="10"/>
      <c r="E28" s="10"/>
      <c r="F28" s="10"/>
      <c r="G28" s="69">
        <f>SUM(G17:G26)</f>
        <v>1529800</v>
      </c>
    </row>
    <row r="29" ht="15.75" customHeight="1">
      <c r="A29" s="1"/>
      <c r="B29" s="12" t="s">
        <v>19</v>
      </c>
      <c r="C29" s="15"/>
      <c r="D29" s="1"/>
      <c r="E29" s="1"/>
      <c r="F29" s="1"/>
      <c r="G29" s="2"/>
    </row>
    <row r="30" ht="15.75" customHeight="1">
      <c r="A30" s="1"/>
      <c r="B30" s="4" t="s">
        <v>480</v>
      </c>
      <c r="C30" s="15"/>
      <c r="D30" s="1"/>
      <c r="E30" s="1"/>
      <c r="F30" s="1"/>
      <c r="G30" s="2">
        <v>100000.0</v>
      </c>
    </row>
    <row r="31" ht="15.75" customHeight="1">
      <c r="A31" s="1"/>
      <c r="B31" s="4" t="s">
        <v>2150</v>
      </c>
      <c r="C31" s="15"/>
      <c r="D31" s="1"/>
      <c r="E31" s="1"/>
      <c r="F31" s="1"/>
      <c r="G31" s="2">
        <v>30000.0</v>
      </c>
    </row>
    <row r="32" ht="15.75" customHeight="1">
      <c r="A32" s="1"/>
      <c r="B32" s="4" t="s">
        <v>2151</v>
      </c>
      <c r="C32" s="15"/>
      <c r="D32" s="1"/>
      <c r="E32" s="1"/>
      <c r="F32" s="1"/>
      <c r="G32" s="2">
        <v>30000.0</v>
      </c>
    </row>
    <row r="33" ht="15.75" customHeight="1">
      <c r="A33" s="1"/>
      <c r="B33" s="4" t="s">
        <v>2152</v>
      </c>
      <c r="C33" s="15"/>
      <c r="D33" s="1"/>
      <c r="E33" s="1"/>
      <c r="F33" s="1"/>
      <c r="G33" s="2">
        <v>10000.0</v>
      </c>
    </row>
    <row r="34" ht="15.75" customHeight="1">
      <c r="A34" s="1"/>
      <c r="B34" s="4" t="s">
        <v>2153</v>
      </c>
      <c r="C34" s="15"/>
      <c r="D34" s="1"/>
      <c r="E34" s="1"/>
      <c r="F34" s="1"/>
      <c r="G34" s="2">
        <v>10000.0</v>
      </c>
    </row>
    <row r="35" ht="15.75" customHeight="1">
      <c r="A35" s="1"/>
      <c r="B35" s="4" t="s">
        <v>2154</v>
      </c>
      <c r="C35" s="15"/>
      <c r="D35" s="1"/>
      <c r="E35" s="1"/>
      <c r="F35" s="1"/>
      <c r="G35" s="2">
        <v>10000.0</v>
      </c>
    </row>
    <row r="36" ht="15.75" customHeight="1">
      <c r="A36" s="1"/>
      <c r="B36" s="4" t="s">
        <v>2155</v>
      </c>
      <c r="C36" s="15"/>
      <c r="D36" s="1"/>
      <c r="E36" s="1"/>
      <c r="F36" s="1"/>
      <c r="G36" s="2">
        <v>5000.0</v>
      </c>
      <c r="O36" s="67" t="s">
        <v>480</v>
      </c>
    </row>
    <row r="37" ht="15.75" customHeight="1">
      <c r="A37" s="1"/>
      <c r="B37" s="4" t="s">
        <v>2156</v>
      </c>
      <c r="C37" s="15"/>
      <c r="D37" s="1"/>
      <c r="E37" s="1"/>
      <c r="F37" s="1"/>
      <c r="G37" s="2">
        <v>10000.0</v>
      </c>
    </row>
    <row r="38" ht="15.75" customHeight="1">
      <c r="A38" s="1"/>
      <c r="B38" s="4" t="s">
        <v>652</v>
      </c>
      <c r="C38" s="15"/>
      <c r="D38" s="1"/>
      <c r="E38" s="1"/>
      <c r="F38" s="1"/>
      <c r="G38" s="2">
        <v>8000.0</v>
      </c>
    </row>
    <row r="39" ht="15.75" customHeight="1">
      <c r="A39" s="1"/>
      <c r="B39" s="4" t="s">
        <v>2157</v>
      </c>
      <c r="C39" s="15"/>
      <c r="D39" s="1"/>
      <c r="E39" s="1"/>
      <c r="F39" s="1"/>
      <c r="G39" s="2">
        <v>20000.0</v>
      </c>
    </row>
    <row r="40" ht="15.75" customHeight="1">
      <c r="A40" s="1"/>
      <c r="B40" s="4" t="s">
        <v>2158</v>
      </c>
      <c r="C40" s="15"/>
      <c r="D40" s="1"/>
      <c r="E40" s="1"/>
      <c r="F40" s="1"/>
      <c r="G40" s="2">
        <v>5346.0</v>
      </c>
    </row>
    <row r="41" ht="15.75" customHeight="1">
      <c r="A41" s="1"/>
      <c r="B41" s="4" t="s">
        <v>2159</v>
      </c>
      <c r="C41" s="15"/>
      <c r="D41" s="78"/>
      <c r="E41" s="1"/>
      <c r="F41" s="1"/>
      <c r="G41" s="79">
        <v>5000.0</v>
      </c>
    </row>
    <row r="42" ht="15.75" customHeight="1">
      <c r="A42" s="1"/>
      <c r="B42" s="4" t="s">
        <v>2160</v>
      </c>
      <c r="C42" s="15"/>
      <c r="D42" s="1"/>
      <c r="E42" s="1"/>
      <c r="F42" s="1"/>
      <c r="G42" s="2">
        <v>125000.0</v>
      </c>
    </row>
    <row r="43" ht="15.75" customHeight="1">
      <c r="A43" s="1"/>
      <c r="B43" s="4" t="s">
        <v>2161</v>
      </c>
      <c r="C43" s="15"/>
      <c r="D43" s="1"/>
      <c r="E43" s="1"/>
      <c r="F43" s="1"/>
      <c r="G43" s="2">
        <v>10035.0</v>
      </c>
    </row>
    <row r="44" ht="15.75" customHeight="1">
      <c r="A44" s="1"/>
      <c r="B44" s="4" t="s">
        <v>2162</v>
      </c>
      <c r="C44" s="15"/>
      <c r="D44" s="1"/>
      <c r="E44" s="1"/>
      <c r="F44" s="1"/>
      <c r="G44" s="2">
        <v>10000.0</v>
      </c>
    </row>
    <row r="45" ht="15.75" customHeight="1">
      <c r="A45" s="1"/>
      <c r="B45" s="4" t="s">
        <v>1501</v>
      </c>
      <c r="C45" s="15"/>
      <c r="D45" s="1"/>
      <c r="E45" s="1"/>
      <c r="F45" s="1"/>
      <c r="G45" s="2">
        <v>50000.0</v>
      </c>
    </row>
    <row r="46" ht="15.75" customHeight="1">
      <c r="A46" s="1"/>
      <c r="B46" s="4" t="s">
        <v>2163</v>
      </c>
      <c r="C46" s="15"/>
      <c r="D46" s="1"/>
      <c r="E46" s="1"/>
      <c r="F46" s="1"/>
      <c r="G46" s="2">
        <v>5000.0</v>
      </c>
    </row>
    <row r="47" ht="15.75" customHeight="1">
      <c r="A47" s="1"/>
      <c r="B47" s="4" t="s">
        <v>203</v>
      </c>
      <c r="C47" s="15"/>
      <c r="D47" s="1"/>
      <c r="E47" s="1"/>
      <c r="F47" s="1"/>
      <c r="G47" s="2">
        <v>6500.0</v>
      </c>
    </row>
    <row r="48" ht="15.75" customHeight="1">
      <c r="A48" s="1"/>
      <c r="B48" s="4" t="s">
        <v>2164</v>
      </c>
      <c r="C48" s="15"/>
      <c r="D48" s="1"/>
      <c r="E48" s="1"/>
      <c r="F48" s="1"/>
      <c r="G48" s="2">
        <v>5000.0</v>
      </c>
    </row>
    <row r="49" ht="15.75" customHeight="1">
      <c r="A49" s="1"/>
      <c r="B49" s="4" t="s">
        <v>2165</v>
      </c>
      <c r="C49" s="15"/>
      <c r="D49" s="1"/>
      <c r="E49" s="1"/>
      <c r="F49" s="1"/>
      <c r="G49" s="2">
        <v>4500.0</v>
      </c>
    </row>
    <row r="50" ht="15.75" customHeight="1">
      <c r="A50" s="1"/>
      <c r="B50" s="4" t="s">
        <v>2166</v>
      </c>
      <c r="C50" s="15"/>
      <c r="D50" s="1"/>
      <c r="E50" s="1"/>
      <c r="F50" s="1"/>
      <c r="G50" s="2">
        <v>60000.0</v>
      </c>
    </row>
    <row r="51" ht="15.75" customHeight="1">
      <c r="A51" s="1"/>
      <c r="B51" s="4" t="s">
        <v>2167</v>
      </c>
      <c r="C51" s="15"/>
      <c r="D51" s="1"/>
      <c r="E51" s="1"/>
      <c r="F51" s="1"/>
      <c r="G51" s="2">
        <v>8000.0</v>
      </c>
    </row>
    <row r="52" ht="15.75" customHeight="1">
      <c r="A52" s="1"/>
      <c r="B52" s="4" t="s">
        <v>2168</v>
      </c>
      <c r="C52" s="15"/>
      <c r="D52" s="1"/>
      <c r="E52" s="1"/>
      <c r="F52" s="1"/>
      <c r="G52" s="2">
        <v>10000.0</v>
      </c>
    </row>
    <row r="53" ht="15.75" customHeight="1">
      <c r="A53" s="1"/>
      <c r="B53" s="4" t="s">
        <v>2169</v>
      </c>
      <c r="C53" s="15"/>
      <c r="D53" s="1"/>
      <c r="E53" s="1"/>
      <c r="F53" s="1"/>
      <c r="G53" s="2">
        <v>17000.0</v>
      </c>
    </row>
    <row r="54" ht="15.75" customHeight="1">
      <c r="A54" s="1"/>
      <c r="B54" s="1" t="s">
        <v>2170</v>
      </c>
      <c r="C54" s="1"/>
      <c r="D54" s="1"/>
      <c r="E54" s="1"/>
      <c r="F54" s="1"/>
      <c r="G54" s="13">
        <v>2000.0</v>
      </c>
    </row>
    <row r="55" ht="15.75" customHeight="1">
      <c r="A55" s="1"/>
      <c r="B55" s="1" t="s">
        <v>891</v>
      </c>
      <c r="C55" s="1"/>
      <c r="D55" s="1"/>
      <c r="E55" s="1"/>
      <c r="F55" s="1"/>
      <c r="G55" s="13">
        <v>3000.0</v>
      </c>
    </row>
    <row r="56" ht="15.75" customHeight="1">
      <c r="A56" s="1"/>
      <c r="B56" s="1" t="s">
        <v>2171</v>
      </c>
      <c r="C56" s="1"/>
      <c r="D56" s="1"/>
      <c r="E56" s="1"/>
      <c r="F56" s="1"/>
      <c r="G56" s="13">
        <v>2000.0</v>
      </c>
    </row>
    <row r="57" ht="15.75" customHeight="1">
      <c r="A57" s="1"/>
      <c r="B57" s="1" t="s">
        <v>2172</v>
      </c>
      <c r="C57" s="1"/>
      <c r="D57" s="1"/>
      <c r="E57" s="1"/>
      <c r="F57" s="1"/>
      <c r="G57" s="13">
        <v>12000.0</v>
      </c>
    </row>
    <row r="58" ht="15.75" customHeight="1">
      <c r="A58" s="1"/>
      <c r="B58" s="1" t="s">
        <v>2173</v>
      </c>
      <c r="C58" s="1"/>
      <c r="D58" s="1"/>
      <c r="E58" s="1"/>
      <c r="F58" s="1"/>
      <c r="G58" s="13">
        <v>2472.0</v>
      </c>
    </row>
    <row r="59" ht="15.75" customHeight="1">
      <c r="A59" s="1"/>
      <c r="B59" s="1" t="s">
        <v>2174</v>
      </c>
      <c r="C59" s="1"/>
      <c r="D59" s="1"/>
      <c r="E59" s="1"/>
      <c r="F59" s="1"/>
      <c r="G59" s="13">
        <v>25000.0</v>
      </c>
    </row>
    <row r="60" ht="15.75" customHeight="1">
      <c r="A60" s="1"/>
      <c r="B60" s="1" t="s">
        <v>2175</v>
      </c>
      <c r="C60" s="1"/>
      <c r="D60" s="1"/>
      <c r="E60" s="1"/>
      <c r="F60" s="1"/>
      <c r="G60" s="13">
        <v>30000.0</v>
      </c>
    </row>
    <row r="61" ht="15.75" customHeight="1">
      <c r="A61" s="1"/>
      <c r="B61" s="1" t="s">
        <v>2176</v>
      </c>
      <c r="C61" s="1"/>
      <c r="D61" s="1"/>
      <c r="E61" s="1"/>
      <c r="F61" s="1"/>
      <c r="G61" s="13">
        <v>97500.0</v>
      </c>
    </row>
    <row r="62" ht="15.75" customHeight="1">
      <c r="A62" s="1"/>
      <c r="B62" s="1" t="s">
        <v>245</v>
      </c>
      <c r="C62" s="1"/>
      <c r="D62" s="1"/>
      <c r="E62" s="1"/>
      <c r="F62" s="1"/>
      <c r="G62" s="13">
        <v>6000.0</v>
      </c>
    </row>
    <row r="63" ht="15.75" customHeight="1">
      <c r="A63" s="1"/>
      <c r="B63" s="1" t="s">
        <v>2177</v>
      </c>
      <c r="C63" s="1"/>
      <c r="D63" s="1"/>
      <c r="E63" s="1"/>
      <c r="F63" s="1"/>
      <c r="G63" s="13">
        <v>52723.0</v>
      </c>
    </row>
    <row r="64" ht="15.75" customHeight="1">
      <c r="A64" s="1"/>
      <c r="B64" s="1" t="s">
        <v>2178</v>
      </c>
      <c r="C64" s="1"/>
      <c r="D64" s="1"/>
      <c r="E64" s="1"/>
      <c r="F64" s="1"/>
      <c r="G64" s="13">
        <v>4000.0</v>
      </c>
    </row>
    <row r="65" ht="15.75" customHeight="1">
      <c r="A65" s="1"/>
      <c r="B65" s="1" t="s">
        <v>2179</v>
      </c>
      <c r="C65" s="1"/>
      <c r="D65" s="1"/>
      <c r="E65" s="1"/>
      <c r="F65" s="1"/>
      <c r="G65" s="13">
        <v>8000.0</v>
      </c>
    </row>
    <row r="66" ht="15.75" customHeight="1">
      <c r="A66" s="1"/>
      <c r="B66" s="1" t="s">
        <v>2180</v>
      </c>
      <c r="C66" s="1"/>
      <c r="D66" s="1"/>
      <c r="E66" s="1"/>
      <c r="F66" s="1"/>
      <c r="G66" s="13">
        <v>72705.0</v>
      </c>
    </row>
    <row r="67" ht="15.75" customHeight="1">
      <c r="A67" s="1"/>
      <c r="B67" s="1" t="s">
        <v>2181</v>
      </c>
      <c r="C67" s="1"/>
      <c r="D67" s="1"/>
      <c r="E67" s="1"/>
      <c r="F67" s="1"/>
      <c r="G67" s="13">
        <v>5000.0</v>
      </c>
    </row>
    <row r="68" ht="15.75" customHeight="1">
      <c r="A68" s="1"/>
      <c r="B68" s="1" t="s">
        <v>2182</v>
      </c>
      <c r="C68" s="1"/>
      <c r="D68" s="1"/>
      <c r="E68" s="1"/>
      <c r="F68" s="1"/>
      <c r="G68" s="13">
        <v>58300.0</v>
      </c>
    </row>
    <row r="69" ht="15.75" customHeight="1">
      <c r="A69" s="1"/>
      <c r="B69" s="1" t="s">
        <v>2183</v>
      </c>
      <c r="C69" s="1"/>
      <c r="D69" s="1"/>
      <c r="E69" s="1"/>
      <c r="F69" s="1"/>
      <c r="G69" s="13">
        <v>5000.0</v>
      </c>
    </row>
    <row r="70" ht="15.75" customHeight="1">
      <c r="A70" s="1"/>
      <c r="B70" s="1" t="s">
        <v>2184</v>
      </c>
      <c r="C70" s="1"/>
      <c r="D70" s="1"/>
      <c r="E70" s="1"/>
      <c r="F70" s="1"/>
      <c r="G70" s="13">
        <v>10000.0</v>
      </c>
    </row>
    <row r="71" ht="15.75" customHeight="1">
      <c r="A71" s="1"/>
      <c r="B71" s="1" t="s">
        <v>1508</v>
      </c>
      <c r="C71" s="1"/>
      <c r="D71" s="1"/>
      <c r="E71" s="1"/>
      <c r="F71" s="1"/>
      <c r="G71" s="13">
        <v>60000.0</v>
      </c>
    </row>
    <row r="72" ht="15.75" customHeight="1">
      <c r="A72" s="1"/>
      <c r="B72" s="1" t="s">
        <v>2185</v>
      </c>
      <c r="C72" s="1"/>
      <c r="D72" s="1"/>
      <c r="E72" s="1"/>
      <c r="F72" s="1"/>
      <c r="G72" s="13">
        <v>10000.0</v>
      </c>
    </row>
    <row r="73" ht="15.75" customHeight="1">
      <c r="A73" s="1"/>
      <c r="B73" s="1"/>
      <c r="C73" s="1"/>
      <c r="D73" s="1"/>
      <c r="E73" s="1"/>
      <c r="F73" s="1"/>
      <c r="G73" s="13"/>
    </row>
    <row r="74" ht="15.75" customHeight="1">
      <c r="A74" s="1"/>
      <c r="B74" s="43" t="s">
        <v>43</v>
      </c>
      <c r="C74" s="1"/>
      <c r="D74" s="1"/>
      <c r="E74" s="1"/>
      <c r="F74" s="1"/>
      <c r="G74" s="18">
        <f>SUM(G30:G72)</f>
        <v>1020081</v>
      </c>
    </row>
    <row r="75" ht="15.75" customHeight="1">
      <c r="A75" s="1"/>
      <c r="B75" s="19" t="s">
        <v>45</v>
      </c>
      <c r="C75" s="20"/>
      <c r="D75" s="20"/>
      <c r="E75" s="20"/>
      <c r="F75" s="20"/>
      <c r="G75" s="70">
        <f>SUM(G28+G74)</f>
        <v>2549881</v>
      </c>
    </row>
    <row r="76" ht="15.75" customHeight="1">
      <c r="A76" s="1"/>
      <c r="B76" s="4" t="s">
        <v>46</v>
      </c>
      <c r="C76" s="1"/>
      <c r="D76" s="1"/>
      <c r="E76" s="1"/>
      <c r="F76" s="1"/>
      <c r="G76" s="2"/>
    </row>
    <row r="77" ht="15.75" customHeight="1">
      <c r="A77" s="35" t="s">
        <v>2186</v>
      </c>
      <c r="B77" s="36"/>
      <c r="C77" s="37"/>
      <c r="D77" s="37"/>
      <c r="E77" s="37"/>
      <c r="F77" s="37"/>
      <c r="G77" s="71">
        <v>459319.0</v>
      </c>
    </row>
    <row r="78" ht="15.75" customHeight="1">
      <c r="A78" s="22" t="s">
        <v>254</v>
      </c>
      <c r="B78" s="43" t="s">
        <v>255</v>
      </c>
      <c r="C78" s="1"/>
      <c r="D78" s="1"/>
      <c r="E78" s="1"/>
      <c r="F78" s="1"/>
      <c r="G78" s="2"/>
    </row>
    <row r="79" ht="15.75" customHeight="1">
      <c r="A79" s="22"/>
      <c r="B79" s="43" t="s">
        <v>2187</v>
      </c>
      <c r="C79" s="1"/>
      <c r="D79" s="1"/>
      <c r="E79" s="1"/>
      <c r="F79" s="1"/>
      <c r="G79" s="2">
        <v>484500.0</v>
      </c>
    </row>
    <row r="80" ht="15.75" customHeight="1">
      <c r="A80" s="22"/>
      <c r="B80" s="43"/>
      <c r="C80" s="1"/>
      <c r="D80" s="1"/>
      <c r="E80" s="1"/>
      <c r="F80" s="1"/>
      <c r="G80" s="2"/>
    </row>
    <row r="81" ht="15.75" customHeight="1">
      <c r="A81" s="44"/>
      <c r="B81" s="72" t="s">
        <v>51</v>
      </c>
      <c r="C81" s="27"/>
      <c r="D81" s="27"/>
      <c r="E81" s="27"/>
      <c r="F81" s="27"/>
      <c r="G81" s="73">
        <v>484500.0</v>
      </c>
    </row>
    <row r="82" ht="15.75" customHeight="1">
      <c r="A82" s="44"/>
      <c r="B82" s="45" t="s">
        <v>2188</v>
      </c>
      <c r="C82" s="45"/>
      <c r="D82" s="45"/>
      <c r="E82" s="46"/>
      <c r="F82" s="46"/>
      <c r="G82" s="47">
        <f>G4+G77-G81</f>
        <v>5422268</v>
      </c>
    </row>
    <row r="83" ht="15.75" customHeight="1">
      <c r="A83" s="1"/>
      <c r="B83" s="32" t="s">
        <v>2189</v>
      </c>
    </row>
    <row r="84" ht="15.75" customHeight="1">
      <c r="A84" s="1"/>
      <c r="B84" s="1"/>
      <c r="C84" s="1" t="s">
        <v>1115</v>
      </c>
      <c r="D84" s="1"/>
      <c r="E84" s="1"/>
      <c r="F84" s="1"/>
      <c r="G84" s="2">
        <v>8600.0</v>
      </c>
    </row>
    <row r="85" ht="15.75" customHeight="1">
      <c r="A85" s="1"/>
      <c r="B85" s="1"/>
      <c r="C85" s="1" t="s">
        <v>1583</v>
      </c>
      <c r="D85" s="1"/>
      <c r="E85" s="1"/>
      <c r="F85" s="1"/>
      <c r="G85" s="2">
        <v>841600.0</v>
      </c>
    </row>
    <row r="86" ht="15.75" customHeight="1">
      <c r="A86" s="1"/>
      <c r="B86" s="1"/>
      <c r="C86" s="43" t="s">
        <v>115</v>
      </c>
      <c r="D86" s="1"/>
      <c r="E86" s="1"/>
      <c r="F86" s="1"/>
      <c r="G86" s="2">
        <v>850200.0</v>
      </c>
    </row>
    <row r="87" ht="15.75" customHeight="1">
      <c r="A87" s="1"/>
      <c r="B87" s="1"/>
      <c r="C87" s="43"/>
      <c r="D87" s="1"/>
      <c r="E87" s="1"/>
      <c r="F87" s="1"/>
      <c r="G87" s="2" t="s">
        <v>1585</v>
      </c>
    </row>
    <row r="88" ht="15.75" customHeight="1">
      <c r="A88" s="1"/>
      <c r="B88" s="43" t="s">
        <v>1825</v>
      </c>
      <c r="C88" s="43"/>
      <c r="D88" s="1"/>
      <c r="E88" s="1"/>
      <c r="F88" s="1"/>
      <c r="G88" s="2"/>
    </row>
    <row r="89" ht="15.75" customHeight="1">
      <c r="A89" s="1"/>
      <c r="B89" s="43" t="s">
        <v>2138</v>
      </c>
      <c r="C89" s="43"/>
      <c r="D89" s="1"/>
      <c r="E89" s="1"/>
      <c r="F89" s="1"/>
      <c r="G89" s="1"/>
    </row>
    <row r="90" ht="15.75" customHeight="1">
      <c r="A90" s="1"/>
      <c r="B90" s="33" t="s">
        <v>2190</v>
      </c>
      <c r="C90" s="1"/>
      <c r="D90" s="1"/>
      <c r="E90" s="1"/>
      <c r="F90" s="1"/>
      <c r="G90" s="2"/>
    </row>
    <row r="91" ht="15.75" customHeight="1">
      <c r="A91" s="1"/>
      <c r="B91" s="55" t="s">
        <v>531</v>
      </c>
      <c r="C91" s="56"/>
      <c r="D91" s="56"/>
      <c r="E91" s="56"/>
      <c r="F91" s="1"/>
      <c r="G91" s="2"/>
    </row>
    <row r="92" ht="15.75" customHeight="1">
      <c r="A92" s="1"/>
      <c r="B92" s="55" t="s">
        <v>2191</v>
      </c>
      <c r="C92" s="56"/>
      <c r="D92" s="56"/>
      <c r="E92" s="56"/>
      <c r="F92" s="1"/>
      <c r="G92" s="2"/>
    </row>
    <row r="93" ht="15.75" customHeight="1">
      <c r="A93" s="1"/>
      <c r="B93" s="55" t="s">
        <v>533</v>
      </c>
      <c r="F93" s="1"/>
      <c r="G93" s="2"/>
    </row>
    <row r="94" ht="15.75" customHeight="1">
      <c r="A94" s="1"/>
      <c r="B94" s="55" t="s">
        <v>2192</v>
      </c>
      <c r="C94" s="56"/>
      <c r="D94" s="57"/>
      <c r="E94" s="56"/>
      <c r="F94" s="1"/>
      <c r="G94" s="2"/>
    </row>
    <row r="95" ht="15.75" customHeight="1">
      <c r="A95" s="1"/>
      <c r="B95" s="55" t="s">
        <v>535</v>
      </c>
      <c r="C95" s="56"/>
      <c r="D95" s="57"/>
      <c r="E95" s="56"/>
      <c r="F95" s="1"/>
      <c r="G95" s="2"/>
    </row>
    <row r="96" ht="15.75" customHeight="1">
      <c r="B96" s="55" t="s">
        <v>536</v>
      </c>
      <c r="C96" s="56"/>
      <c r="D96" s="57"/>
      <c r="E96" s="57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5"/>
    <mergeCell ref="C13:D13"/>
    <mergeCell ref="B14:F14"/>
    <mergeCell ref="B83:G83"/>
    <mergeCell ref="B93:E93"/>
  </mergeCells>
  <printOptions/>
  <pageMargins bottom="0.75" footer="0.0" header="0.0" left="0.7" right="0.7" top="0.7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6" width="10.71"/>
    <col customWidth="1" min="7" max="7" width="15.0"/>
    <col customWidth="1" min="8" max="26" width="10.71"/>
  </cols>
  <sheetData>
    <row r="1">
      <c r="B1" s="67" t="s">
        <v>480</v>
      </c>
    </row>
    <row r="3">
      <c r="A3" s="1" t="s">
        <v>721</v>
      </c>
      <c r="B3" s="3" t="s">
        <v>2193</v>
      </c>
      <c r="C3" s="1"/>
      <c r="D3" s="1"/>
      <c r="E3" s="1"/>
      <c r="F3" s="1"/>
      <c r="G3" s="2"/>
    </row>
    <row r="4">
      <c r="A4" s="1"/>
      <c r="B4" s="75" t="s">
        <v>2194</v>
      </c>
      <c r="G4" s="47">
        <v>5422268.0</v>
      </c>
    </row>
    <row r="5">
      <c r="A5" s="1"/>
      <c r="G5" s="2"/>
    </row>
    <row r="6">
      <c r="A6" s="6" t="s">
        <v>2195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316000.0</v>
      </c>
      <c r="G7" s="7">
        <v>56000.0</v>
      </c>
    </row>
    <row r="8">
      <c r="A8" s="1"/>
      <c r="B8" s="4" t="s">
        <v>64</v>
      </c>
      <c r="C8" s="1"/>
      <c r="D8" s="1"/>
      <c r="E8" s="1"/>
      <c r="F8" s="2">
        <v>508000.0</v>
      </c>
      <c r="G8" s="7">
        <v>84000.0</v>
      </c>
    </row>
    <row r="9">
      <c r="A9" s="1"/>
      <c r="B9" s="4" t="s">
        <v>65</v>
      </c>
      <c r="C9" s="1"/>
      <c r="D9" s="1"/>
      <c r="E9" s="1"/>
      <c r="F9" s="2">
        <v>284300.0</v>
      </c>
      <c r="G9" s="7">
        <v>165000.0</v>
      </c>
    </row>
    <row r="10">
      <c r="A10" s="1"/>
      <c r="B10" s="4" t="s">
        <v>66</v>
      </c>
      <c r="C10" s="1"/>
      <c r="D10" s="1"/>
      <c r="E10" s="1"/>
      <c r="F10" s="2">
        <v>311600.0</v>
      </c>
      <c r="G10" s="76">
        <v>88000.0</v>
      </c>
    </row>
    <row r="11">
      <c r="A11" s="1"/>
      <c r="B11" s="4" t="s">
        <v>67</v>
      </c>
      <c r="C11" s="1"/>
      <c r="D11" s="49" t="s">
        <v>8</v>
      </c>
      <c r="E11" s="49"/>
      <c r="F11" s="7">
        <v>274900.0</v>
      </c>
      <c r="G11" s="7">
        <v>52000.0</v>
      </c>
    </row>
    <row r="12">
      <c r="A12" s="1"/>
      <c r="B12" s="4" t="s">
        <v>2146</v>
      </c>
      <c r="C12" s="1"/>
      <c r="D12" s="49"/>
      <c r="E12" s="49"/>
      <c r="F12" s="7">
        <v>487500.0</v>
      </c>
      <c r="G12" s="7" t="s">
        <v>480</v>
      </c>
    </row>
    <row r="13">
      <c r="A13" s="1"/>
      <c r="B13" s="4"/>
      <c r="C13" s="50" t="s">
        <v>405</v>
      </c>
      <c r="E13" s="4"/>
      <c r="F13" s="2">
        <f>SUM(F7:F12)</f>
        <v>2182300</v>
      </c>
      <c r="G13" s="7">
        <f>SUM(G7:G11)</f>
        <v>445000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2627300</v>
      </c>
    </row>
    <row r="15">
      <c r="A15" s="6" t="s">
        <v>2196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2016</v>
      </c>
      <c r="C17" s="1"/>
      <c r="D17" s="1"/>
      <c r="E17" s="1"/>
      <c r="F17" s="1"/>
      <c r="G17" s="77">
        <v>292500.0</v>
      </c>
    </row>
    <row r="18">
      <c r="A18" s="1"/>
      <c r="B18" s="4" t="s">
        <v>1594</v>
      </c>
      <c r="C18" s="1"/>
      <c r="D18" s="1"/>
      <c r="E18" s="1"/>
      <c r="F18" s="1"/>
      <c r="G18" s="77">
        <v>150000.0</v>
      </c>
    </row>
    <row r="19">
      <c r="A19" s="1"/>
      <c r="B19" s="4" t="s">
        <v>13</v>
      </c>
      <c r="C19" s="1"/>
      <c r="D19" s="1"/>
      <c r="E19" s="1"/>
      <c r="F19" s="1"/>
      <c r="G19" s="13">
        <v>150000.0</v>
      </c>
    </row>
    <row r="20">
      <c r="A20" s="1"/>
      <c r="B20" s="4" t="s">
        <v>14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150000.0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125000.0</v>
      </c>
    </row>
    <row r="25" ht="15.75" customHeight="1">
      <c r="A25" s="1"/>
      <c r="B25" s="4" t="s">
        <v>2148</v>
      </c>
      <c r="C25" s="1"/>
      <c r="D25" s="1"/>
      <c r="E25" s="1"/>
      <c r="F25" s="1"/>
      <c r="G25" s="77">
        <v>250000.0</v>
      </c>
    </row>
    <row r="26" ht="15.75" customHeight="1">
      <c r="A26" s="1"/>
      <c r="B26" s="4" t="s">
        <v>2149</v>
      </c>
      <c r="C26" s="1"/>
      <c r="D26" s="1"/>
      <c r="E26" s="1"/>
      <c r="F26" s="1"/>
      <c r="G26" s="77">
        <v>100000.0</v>
      </c>
    </row>
    <row r="27" ht="15.75" customHeight="1">
      <c r="A27" s="1"/>
      <c r="B27" s="4"/>
      <c r="C27" s="1"/>
      <c r="D27" s="1"/>
      <c r="E27" s="1"/>
      <c r="F27" s="1"/>
      <c r="G27" s="77"/>
    </row>
    <row r="28" ht="15.75" customHeight="1">
      <c r="A28" s="1"/>
      <c r="B28" s="9" t="s">
        <v>18</v>
      </c>
      <c r="C28" s="10"/>
      <c r="D28" s="10"/>
      <c r="E28" s="10"/>
      <c r="F28" s="10"/>
      <c r="G28" s="69">
        <f>SUM(G17:G26)</f>
        <v>1592500</v>
      </c>
    </row>
    <row r="29" ht="15.75" customHeight="1">
      <c r="A29" s="1"/>
      <c r="B29" s="12" t="s">
        <v>19</v>
      </c>
      <c r="C29" s="15"/>
      <c r="D29" s="1"/>
      <c r="E29" s="1"/>
      <c r="F29" s="1"/>
      <c r="G29" s="2"/>
    </row>
    <row r="30" ht="15.75" customHeight="1">
      <c r="A30" s="1"/>
      <c r="B30" s="4" t="s">
        <v>480</v>
      </c>
      <c r="C30" s="15"/>
      <c r="D30" s="1"/>
      <c r="E30" s="1"/>
      <c r="F30" s="1"/>
      <c r="G30" s="2"/>
    </row>
    <row r="31" ht="15.75" customHeight="1">
      <c r="A31" s="1"/>
      <c r="B31" s="4" t="s">
        <v>2197</v>
      </c>
      <c r="C31" s="15"/>
      <c r="D31" s="1"/>
      <c r="E31" s="1"/>
      <c r="F31" s="1"/>
      <c r="G31" s="2">
        <v>2000.0</v>
      </c>
    </row>
    <row r="32" ht="15.75" customHeight="1">
      <c r="A32" s="1"/>
      <c r="B32" s="4" t="s">
        <v>2198</v>
      </c>
      <c r="C32" s="15"/>
      <c r="D32" s="1"/>
      <c r="E32" s="1"/>
      <c r="F32" s="1"/>
      <c r="G32" s="2">
        <v>133000.0</v>
      </c>
    </row>
    <row r="33" ht="15.75" customHeight="1">
      <c r="A33" s="1"/>
      <c r="B33" s="4" t="s">
        <v>2199</v>
      </c>
      <c r="C33" s="15"/>
      <c r="D33" s="1"/>
      <c r="E33" s="1"/>
      <c r="F33" s="1"/>
      <c r="G33" s="2">
        <v>90000.0</v>
      </c>
    </row>
    <row r="34" ht="15.75" customHeight="1">
      <c r="A34" s="1"/>
      <c r="B34" s="4" t="s">
        <v>2200</v>
      </c>
      <c r="C34" s="15"/>
      <c r="D34" s="1"/>
      <c r="E34" s="1"/>
      <c r="F34" s="1"/>
      <c r="G34" s="2">
        <v>350000.0</v>
      </c>
    </row>
    <row r="35" ht="15.75" customHeight="1">
      <c r="A35" s="1"/>
      <c r="B35" s="4" t="s">
        <v>2201</v>
      </c>
      <c r="C35" s="15"/>
      <c r="D35" s="1"/>
      <c r="E35" s="1"/>
      <c r="F35" s="1"/>
      <c r="G35" s="2">
        <v>15000.0</v>
      </c>
    </row>
    <row r="36" ht="15.75" customHeight="1">
      <c r="A36" s="1"/>
      <c r="B36" s="4" t="s">
        <v>2202</v>
      </c>
      <c r="C36" s="15"/>
      <c r="D36" s="1"/>
      <c r="E36" s="1"/>
      <c r="F36" s="1"/>
      <c r="G36" s="2">
        <v>75000.0</v>
      </c>
    </row>
    <row r="37" ht="15.75" customHeight="1">
      <c r="A37" s="1"/>
      <c r="B37" s="4" t="s">
        <v>2203</v>
      </c>
      <c r="C37" s="15"/>
      <c r="D37" s="1"/>
      <c r="E37" s="1"/>
      <c r="F37" s="1"/>
      <c r="G37" s="2">
        <v>113750.0</v>
      </c>
    </row>
    <row r="38" ht="15.75" customHeight="1">
      <c r="A38" s="1"/>
      <c r="B38" s="4" t="s">
        <v>2204</v>
      </c>
      <c r="C38" s="15"/>
      <c r="D38" s="1"/>
      <c r="E38" s="1"/>
      <c r="F38" s="1"/>
      <c r="G38" s="2">
        <v>113750.0</v>
      </c>
    </row>
    <row r="39" ht="15.75" customHeight="1">
      <c r="A39" s="1"/>
      <c r="B39" s="4" t="s">
        <v>2205</v>
      </c>
      <c r="C39" s="15"/>
      <c r="D39" s="1"/>
      <c r="E39" s="1"/>
      <c r="F39" s="1"/>
      <c r="G39" s="2">
        <v>65250.0</v>
      </c>
    </row>
    <row r="40" ht="15.75" customHeight="1">
      <c r="A40" s="1"/>
      <c r="B40" s="4" t="s">
        <v>2206</v>
      </c>
      <c r="C40" s="15"/>
      <c r="D40" s="1"/>
      <c r="E40" s="1"/>
      <c r="F40" s="1"/>
      <c r="G40" s="2">
        <v>100000.0</v>
      </c>
    </row>
    <row r="41" ht="15.75" customHeight="1">
      <c r="A41" s="1"/>
      <c r="B41" s="4" t="s">
        <v>2207</v>
      </c>
      <c r="C41" s="15"/>
      <c r="D41" s="78"/>
      <c r="E41" s="1"/>
      <c r="F41" s="1"/>
      <c r="G41" s="79">
        <v>44500.0</v>
      </c>
    </row>
    <row r="42" ht="15.75" customHeight="1">
      <c r="A42" s="1"/>
      <c r="B42" s="4" t="s">
        <v>2208</v>
      </c>
      <c r="C42" s="15"/>
      <c r="D42" s="1"/>
      <c r="E42" s="1"/>
      <c r="F42" s="1"/>
      <c r="G42" s="2">
        <v>35000.0</v>
      </c>
    </row>
    <row r="43" ht="15.75" customHeight="1">
      <c r="A43" s="1"/>
      <c r="B43" s="4" t="s">
        <v>2209</v>
      </c>
      <c r="C43" s="15"/>
      <c r="D43" s="1"/>
      <c r="E43" s="1"/>
      <c r="F43" s="1"/>
      <c r="G43" s="2">
        <v>187500.0</v>
      </c>
    </row>
    <row r="44" ht="15.75" customHeight="1">
      <c r="A44" s="1"/>
      <c r="B44" s="4" t="s">
        <v>2210</v>
      </c>
      <c r="C44" s="15"/>
      <c r="D44" s="1"/>
      <c r="E44" s="1"/>
      <c r="F44" s="1"/>
      <c r="G44" s="2">
        <v>10500.0</v>
      </c>
    </row>
    <row r="45" ht="15.75" customHeight="1">
      <c r="A45" s="1"/>
      <c r="B45" s="4" t="s">
        <v>1501</v>
      </c>
      <c r="C45" s="15"/>
      <c r="D45" s="1"/>
      <c r="E45" s="1"/>
      <c r="F45" s="1"/>
      <c r="G45" s="2">
        <v>50000.0</v>
      </c>
    </row>
    <row r="46" ht="15.75" customHeight="1">
      <c r="A46" s="1"/>
      <c r="B46" s="4" t="s">
        <v>2211</v>
      </c>
      <c r="C46" s="15"/>
      <c r="D46" s="1"/>
      <c r="E46" s="1"/>
      <c r="F46" s="1"/>
      <c r="G46" s="2">
        <v>5000.0</v>
      </c>
    </row>
    <row r="47" ht="15.75" customHeight="1">
      <c r="A47" s="1"/>
      <c r="B47" s="4" t="s">
        <v>2212</v>
      </c>
      <c r="C47" s="15"/>
      <c r="D47" s="1"/>
      <c r="E47" s="1"/>
      <c r="F47" s="1"/>
      <c r="G47" s="2">
        <v>66000.0</v>
      </c>
    </row>
    <row r="48" ht="15.75" customHeight="1">
      <c r="A48" s="1"/>
      <c r="B48" s="4" t="s">
        <v>2068</v>
      </c>
      <c r="C48" s="15"/>
      <c r="D48" s="1"/>
      <c r="E48" s="1"/>
      <c r="F48" s="1"/>
      <c r="G48" s="2">
        <v>12000.0</v>
      </c>
    </row>
    <row r="49" ht="15.75" customHeight="1">
      <c r="A49" s="1"/>
      <c r="B49" s="4" t="s">
        <v>2213</v>
      </c>
      <c r="C49" s="15"/>
      <c r="D49" s="1"/>
      <c r="E49" s="1"/>
      <c r="F49" s="1"/>
      <c r="G49" s="2">
        <v>15000.0</v>
      </c>
    </row>
    <row r="50" ht="15.75" customHeight="1">
      <c r="A50" s="1"/>
      <c r="B50" s="4" t="s">
        <v>2214</v>
      </c>
      <c r="C50" s="15"/>
      <c r="D50" s="1"/>
      <c r="E50" s="1"/>
      <c r="F50" s="1"/>
      <c r="G50" s="2">
        <v>8000.0</v>
      </c>
    </row>
    <row r="51" ht="15.75" customHeight="1">
      <c r="A51" s="1"/>
      <c r="B51" s="4" t="s">
        <v>1839</v>
      </c>
      <c r="C51" s="15"/>
      <c r="D51" s="1"/>
      <c r="E51" s="1"/>
      <c r="F51" s="1"/>
      <c r="G51" s="2">
        <v>6000.0</v>
      </c>
    </row>
    <row r="52" ht="15.75" customHeight="1">
      <c r="A52" s="1"/>
      <c r="B52" s="4" t="s">
        <v>1955</v>
      </c>
      <c r="C52" s="15"/>
      <c r="D52" s="1"/>
      <c r="E52" s="1"/>
      <c r="F52" s="1"/>
      <c r="G52" s="2">
        <v>20000.0</v>
      </c>
    </row>
    <row r="53" ht="15.75" customHeight="1">
      <c r="A53" s="1"/>
      <c r="B53" s="4" t="s">
        <v>2215</v>
      </c>
      <c r="C53" s="15"/>
      <c r="D53" s="1"/>
      <c r="E53" s="1"/>
      <c r="F53" s="1"/>
      <c r="G53" s="2">
        <v>320000.0</v>
      </c>
    </row>
    <row r="54" ht="15.75" customHeight="1">
      <c r="A54" s="1"/>
      <c r="B54" s="1" t="s">
        <v>2216</v>
      </c>
      <c r="C54" s="1"/>
      <c r="D54" s="1"/>
      <c r="E54" s="1"/>
      <c r="F54" s="1"/>
      <c r="G54" s="13">
        <v>2000.0</v>
      </c>
    </row>
    <row r="55" ht="15.75" customHeight="1">
      <c r="A55" s="1"/>
      <c r="B55" s="1" t="s">
        <v>2217</v>
      </c>
      <c r="C55" s="1"/>
      <c r="D55" s="1"/>
      <c r="E55" s="1"/>
      <c r="F55" s="1"/>
      <c r="G55" s="13">
        <v>194795.0</v>
      </c>
    </row>
    <row r="56" ht="15.75" customHeight="1">
      <c r="A56" s="1"/>
      <c r="B56" s="1" t="s">
        <v>2218</v>
      </c>
      <c r="C56" s="1"/>
      <c r="D56" s="1"/>
      <c r="E56" s="1"/>
      <c r="F56" s="1"/>
      <c r="G56" s="13">
        <v>85500.0</v>
      </c>
    </row>
    <row r="57" ht="15.75" customHeight="1">
      <c r="A57" s="1"/>
      <c r="B57" s="1" t="s">
        <v>2219</v>
      </c>
      <c r="C57" s="1"/>
      <c r="D57" s="1"/>
      <c r="E57" s="1"/>
      <c r="F57" s="1"/>
      <c r="G57" s="13">
        <v>1500.0</v>
      </c>
    </row>
    <row r="58" ht="15.75" customHeight="1">
      <c r="A58" s="1"/>
      <c r="B58" s="1" t="s">
        <v>2220</v>
      </c>
      <c r="C58" s="1"/>
      <c r="D58" s="1"/>
      <c r="E58" s="1"/>
      <c r="F58" s="1"/>
      <c r="G58" s="13">
        <v>18500.0</v>
      </c>
    </row>
    <row r="59" ht="15.75" customHeight="1">
      <c r="A59" s="1"/>
      <c r="B59" s="1" t="s">
        <v>2221</v>
      </c>
      <c r="C59" s="1"/>
      <c r="D59" s="1"/>
      <c r="E59" s="1"/>
      <c r="F59" s="1"/>
      <c r="G59" s="13">
        <v>3000.0</v>
      </c>
    </row>
    <row r="60" ht="15.75" customHeight="1">
      <c r="A60" s="1"/>
      <c r="B60" s="1" t="s">
        <v>2222</v>
      </c>
      <c r="C60" s="1"/>
      <c r="D60" s="1"/>
      <c r="E60" s="1"/>
      <c r="F60" s="1"/>
      <c r="G60" s="13">
        <v>1500.0</v>
      </c>
    </row>
    <row r="61" ht="15.75" customHeight="1">
      <c r="A61" s="1"/>
      <c r="B61" s="1" t="s">
        <v>2223</v>
      </c>
      <c r="C61" s="1"/>
      <c r="D61" s="1"/>
      <c r="E61" s="1"/>
      <c r="F61" s="1"/>
      <c r="G61" s="13">
        <v>4000.0</v>
      </c>
    </row>
    <row r="62" ht="15.75" customHeight="1">
      <c r="A62" s="1"/>
      <c r="B62" s="1"/>
      <c r="C62" s="1"/>
      <c r="D62" s="1"/>
      <c r="E62" s="1"/>
      <c r="F62" s="1"/>
      <c r="G62" s="13"/>
    </row>
    <row r="63" ht="15.75" customHeight="1">
      <c r="A63" s="1"/>
      <c r="B63" s="1"/>
      <c r="C63" s="1"/>
      <c r="D63" s="1"/>
      <c r="E63" s="1"/>
      <c r="F63" s="1"/>
      <c r="G63" s="13"/>
    </row>
    <row r="64" ht="15.75" customHeight="1">
      <c r="A64" s="1"/>
      <c r="B64" s="43" t="s">
        <v>43</v>
      </c>
      <c r="C64" s="1"/>
      <c r="D64" s="1"/>
      <c r="E64" s="1"/>
      <c r="F64" s="1"/>
      <c r="G64" s="18">
        <f>SUM(G30:G62)</f>
        <v>2148045</v>
      </c>
    </row>
    <row r="65" ht="15.75" customHeight="1">
      <c r="A65" s="1"/>
      <c r="B65" s="19" t="s">
        <v>45</v>
      </c>
      <c r="C65" s="20"/>
      <c r="D65" s="20"/>
      <c r="E65" s="20"/>
      <c r="F65" s="20"/>
      <c r="G65" s="70">
        <f>SUM(G28+G64)</f>
        <v>3740545</v>
      </c>
      <c r="I65" s="67" t="s">
        <v>480</v>
      </c>
    </row>
    <row r="66" ht="15.75" customHeight="1">
      <c r="A66" s="1"/>
      <c r="B66" s="4" t="s">
        <v>46</v>
      </c>
      <c r="C66" s="1"/>
      <c r="D66" s="1"/>
      <c r="E66" s="1"/>
      <c r="F66" s="1"/>
      <c r="G66" s="2"/>
    </row>
    <row r="67" ht="15.75" customHeight="1">
      <c r="A67" s="35" t="s">
        <v>2224</v>
      </c>
      <c r="B67" s="36"/>
      <c r="C67" s="37"/>
      <c r="D67" s="37"/>
      <c r="E67" s="37"/>
      <c r="F67" s="37"/>
      <c r="G67" s="71">
        <f>(G14-G65)</f>
        <v>-1113245</v>
      </c>
      <c r="J67" s="67" t="s">
        <v>480</v>
      </c>
    </row>
    <row r="68" ht="15.75" customHeight="1">
      <c r="A68" s="22" t="s">
        <v>254</v>
      </c>
      <c r="B68" s="43" t="s">
        <v>255</v>
      </c>
      <c r="C68" s="1"/>
      <c r="D68" s="1"/>
      <c r="E68" s="1"/>
      <c r="F68" s="1"/>
      <c r="G68" s="2"/>
    </row>
    <row r="69" ht="15.75" customHeight="1">
      <c r="A69" s="22"/>
      <c r="B69" s="43"/>
      <c r="C69" s="1"/>
      <c r="D69" s="1"/>
      <c r="E69" s="1"/>
      <c r="F69" s="1"/>
      <c r="G69" s="2"/>
    </row>
    <row r="70" ht="15.75" customHeight="1">
      <c r="A70" s="22"/>
      <c r="B70" s="43"/>
      <c r="C70" s="1"/>
      <c r="D70" s="1"/>
      <c r="E70" s="1"/>
      <c r="F70" s="1"/>
      <c r="G70" s="2"/>
    </row>
    <row r="71" ht="15.75" customHeight="1">
      <c r="A71" s="44"/>
      <c r="B71" s="72" t="s">
        <v>51</v>
      </c>
      <c r="C71" s="27"/>
      <c r="D71" s="27"/>
      <c r="E71" s="27"/>
      <c r="F71" s="27"/>
      <c r="G71" s="73"/>
    </row>
    <row r="72" ht="15.75" customHeight="1">
      <c r="A72" s="44"/>
      <c r="B72" s="45" t="s">
        <v>2225</v>
      </c>
      <c r="C72" s="45"/>
      <c r="D72" s="45"/>
      <c r="E72" s="46"/>
      <c r="F72" s="46"/>
      <c r="G72" s="47">
        <f>G4+G67-G71</f>
        <v>4309023</v>
      </c>
    </row>
    <row r="73" ht="15.75" customHeight="1">
      <c r="A73" s="1"/>
      <c r="B73" s="32" t="s">
        <v>2226</v>
      </c>
    </row>
    <row r="74" ht="15.75" customHeight="1">
      <c r="A74" s="1"/>
      <c r="B74" s="1"/>
      <c r="C74" s="1" t="s">
        <v>2227</v>
      </c>
      <c r="D74" s="1"/>
      <c r="E74" s="1"/>
      <c r="F74" s="1"/>
      <c r="G74" s="2">
        <v>0.0</v>
      </c>
    </row>
    <row r="75" ht="15.75" customHeight="1">
      <c r="A75" s="1"/>
      <c r="B75" s="1"/>
      <c r="C75" s="1" t="s">
        <v>1583</v>
      </c>
      <c r="D75" s="1"/>
      <c r="E75" s="1"/>
      <c r="F75" s="1"/>
      <c r="G75" s="2">
        <v>268600.0</v>
      </c>
    </row>
    <row r="76" ht="15.75" customHeight="1">
      <c r="A76" s="1"/>
      <c r="B76" s="1"/>
      <c r="C76" s="43" t="s">
        <v>115</v>
      </c>
      <c r="D76" s="1"/>
      <c r="E76" s="1"/>
      <c r="F76" s="1"/>
      <c r="G76" s="2">
        <v>850200.0</v>
      </c>
    </row>
    <row r="77" ht="15.75" customHeight="1">
      <c r="A77" s="1"/>
      <c r="B77" s="1"/>
      <c r="C77" s="43"/>
      <c r="D77" s="1"/>
      <c r="E77" s="1"/>
      <c r="F77" s="1"/>
      <c r="G77" s="2" t="s">
        <v>1585</v>
      </c>
    </row>
    <row r="78" ht="15.75" customHeight="1">
      <c r="A78" s="1"/>
      <c r="B78" s="43" t="s">
        <v>1825</v>
      </c>
      <c r="C78" s="43"/>
      <c r="D78" s="1"/>
      <c r="E78" s="1"/>
      <c r="F78" s="1"/>
      <c r="G78" s="2"/>
    </row>
    <row r="79" ht="15.75" customHeight="1">
      <c r="A79" s="1"/>
      <c r="B79" s="43" t="s">
        <v>2228</v>
      </c>
      <c r="C79" s="43"/>
      <c r="D79" s="1"/>
      <c r="E79" s="1"/>
      <c r="F79" s="1"/>
      <c r="G79" s="1"/>
    </row>
    <row r="80" ht="15.75" customHeight="1">
      <c r="A80" s="1"/>
      <c r="B80" s="43" t="s">
        <v>2229</v>
      </c>
      <c r="C80" s="43"/>
      <c r="D80" s="1"/>
      <c r="E80" s="1"/>
      <c r="F80" s="1"/>
      <c r="G80" s="1"/>
    </row>
    <row r="81" ht="15.75" customHeight="1">
      <c r="A81" s="1"/>
      <c r="B81" s="43" t="s">
        <v>2230</v>
      </c>
      <c r="C81" s="43"/>
      <c r="D81" s="1"/>
      <c r="E81" s="1"/>
      <c r="F81" s="1"/>
      <c r="G81" s="1"/>
    </row>
    <row r="82" ht="15.75" customHeight="1">
      <c r="A82" s="1"/>
      <c r="B82" s="43" t="s">
        <v>2231</v>
      </c>
      <c r="C82" s="43"/>
      <c r="D82" s="1"/>
      <c r="E82" s="1"/>
      <c r="F82" s="1"/>
      <c r="G82" s="1"/>
    </row>
    <row r="83" ht="15.75" customHeight="1">
      <c r="A83" s="1"/>
      <c r="B83" s="33" t="s">
        <v>2232</v>
      </c>
      <c r="C83" s="1"/>
      <c r="D83" s="1"/>
      <c r="E83" s="1"/>
      <c r="F83" s="1"/>
      <c r="G83" s="2"/>
    </row>
    <row r="84" ht="15.75" customHeight="1">
      <c r="A84" s="1"/>
      <c r="B84" s="33"/>
      <c r="C84" s="1"/>
      <c r="D84" s="1"/>
      <c r="E84" s="1"/>
      <c r="F84" s="1"/>
      <c r="G84" s="2"/>
    </row>
    <row r="85" ht="15.75" customHeight="1">
      <c r="A85" s="1"/>
      <c r="B85" s="55" t="s">
        <v>531</v>
      </c>
      <c r="C85" s="56"/>
      <c r="D85" s="56"/>
      <c r="E85" s="56"/>
      <c r="F85" s="1"/>
      <c r="G85" s="2"/>
    </row>
    <row r="86" ht="15.75" customHeight="1">
      <c r="A86" s="1"/>
      <c r="B86" s="55"/>
      <c r="C86" s="56"/>
      <c r="D86" s="56"/>
      <c r="E86" s="56"/>
      <c r="F86" s="1"/>
      <c r="G86" s="2"/>
    </row>
    <row r="87" ht="15.75" customHeight="1">
      <c r="A87" s="1"/>
      <c r="B87" s="55" t="s">
        <v>2233</v>
      </c>
      <c r="C87" s="56"/>
      <c r="D87" s="56"/>
      <c r="E87" s="56"/>
      <c r="F87" s="1"/>
      <c r="G87" s="2"/>
    </row>
    <row r="88" ht="15.75" customHeight="1">
      <c r="A88" s="1"/>
      <c r="B88" s="55"/>
      <c r="C88" s="56"/>
      <c r="D88" s="56"/>
      <c r="E88" s="56"/>
      <c r="F88" s="1"/>
      <c r="G88" s="2"/>
    </row>
    <row r="89" ht="15.75" customHeight="1">
      <c r="A89" s="1"/>
      <c r="B89" s="55" t="s">
        <v>533</v>
      </c>
      <c r="F89" s="1"/>
      <c r="G89" s="2"/>
    </row>
    <row r="90" ht="15.75" customHeight="1">
      <c r="A90" s="1"/>
      <c r="B90" s="55"/>
      <c r="C90" s="55"/>
      <c r="D90" s="55"/>
      <c r="E90" s="55"/>
      <c r="F90" s="1"/>
      <c r="G90" s="2"/>
    </row>
    <row r="91" ht="15.75" customHeight="1">
      <c r="A91" s="1"/>
      <c r="B91" s="55" t="s">
        <v>2234</v>
      </c>
      <c r="C91" s="56"/>
      <c r="D91" s="57"/>
      <c r="E91" s="56"/>
      <c r="F91" s="1"/>
      <c r="G91" s="2"/>
    </row>
    <row r="92" ht="15.75" customHeight="1">
      <c r="A92" s="1"/>
      <c r="B92" s="55"/>
      <c r="C92" s="56"/>
      <c r="D92" s="57"/>
      <c r="E92" s="56"/>
      <c r="F92" s="1"/>
      <c r="G92" s="2"/>
    </row>
    <row r="93" ht="15.75" customHeight="1">
      <c r="A93" s="1"/>
      <c r="B93" s="55" t="s">
        <v>535</v>
      </c>
      <c r="C93" s="56"/>
      <c r="D93" s="57"/>
      <c r="E93" s="56"/>
      <c r="F93" s="1"/>
      <c r="G93" s="2"/>
    </row>
    <row r="94" ht="15.75" customHeight="1">
      <c r="A94" s="1"/>
      <c r="B94" s="55"/>
      <c r="C94" s="56"/>
      <c r="D94" s="57"/>
      <c r="E94" s="56"/>
      <c r="F94" s="1"/>
      <c r="G94" s="2"/>
    </row>
    <row r="95" ht="15.75" customHeight="1">
      <c r="B95" s="55" t="s">
        <v>536</v>
      </c>
      <c r="C95" s="56"/>
      <c r="D95" s="57"/>
      <c r="E95" s="57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5"/>
    <mergeCell ref="C13:D13"/>
    <mergeCell ref="B14:F14"/>
    <mergeCell ref="B73:G73"/>
    <mergeCell ref="B89:E89"/>
  </mergeCells>
  <printOptions/>
  <pageMargins bottom="0.75" footer="0.0" header="0.0" left="0.7" right="0.7" top="0.7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0"/>
    <col customWidth="1" min="8" max="26" width="10.71"/>
  </cols>
  <sheetData>
    <row r="1">
      <c r="B1" s="67" t="s">
        <v>480</v>
      </c>
      <c r="H1" s="67" t="s">
        <v>480</v>
      </c>
    </row>
    <row r="3">
      <c r="A3" s="1" t="s">
        <v>721</v>
      </c>
      <c r="B3" s="3" t="s">
        <v>2235</v>
      </c>
      <c r="C3" s="1"/>
      <c r="D3" s="1"/>
      <c r="E3" s="1"/>
      <c r="F3" s="1"/>
      <c r="G3" s="2"/>
    </row>
    <row r="4">
      <c r="A4" s="1"/>
      <c r="B4" s="75" t="s">
        <v>2236</v>
      </c>
      <c r="G4" s="47">
        <v>4309023.0</v>
      </c>
    </row>
    <row r="5">
      <c r="A5" s="1"/>
      <c r="G5" s="2"/>
    </row>
    <row r="6">
      <c r="A6" s="6" t="s">
        <v>2237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278100.0</v>
      </c>
      <c r="G7" s="7">
        <v>76000.0</v>
      </c>
    </row>
    <row r="8">
      <c r="A8" s="1"/>
      <c r="B8" s="4" t="s">
        <v>64</v>
      </c>
      <c r="C8" s="1"/>
      <c r="D8" s="1"/>
      <c r="E8" s="1"/>
      <c r="F8" s="2">
        <v>497100.0</v>
      </c>
      <c r="G8" s="7">
        <v>107000.0</v>
      </c>
    </row>
    <row r="9">
      <c r="A9" s="1"/>
      <c r="B9" s="4" t="s">
        <v>65</v>
      </c>
      <c r="C9" s="1"/>
      <c r="D9" s="1"/>
      <c r="E9" s="1"/>
      <c r="F9" s="2">
        <v>313250.0</v>
      </c>
      <c r="G9" s="7">
        <v>71000.0</v>
      </c>
      <c r="K9" s="67" t="s">
        <v>480</v>
      </c>
    </row>
    <row r="10">
      <c r="A10" s="1"/>
      <c r="B10" s="4" t="s">
        <v>66</v>
      </c>
      <c r="C10" s="1"/>
      <c r="D10" s="1"/>
      <c r="E10" s="1"/>
      <c r="F10" s="2">
        <v>232650.0</v>
      </c>
      <c r="G10" s="76">
        <v>104000.0</v>
      </c>
    </row>
    <row r="11">
      <c r="A11" s="1"/>
      <c r="B11" s="4" t="s">
        <v>67</v>
      </c>
      <c r="C11" s="1"/>
      <c r="D11" s="49" t="s">
        <v>8</v>
      </c>
      <c r="E11" s="49"/>
      <c r="F11" s="7">
        <v>232200.0</v>
      </c>
      <c r="G11" s="7">
        <v>69000.0</v>
      </c>
    </row>
    <row r="12">
      <c r="A12" s="1"/>
      <c r="B12" s="4" t="s">
        <v>2238</v>
      </c>
      <c r="C12" s="1"/>
      <c r="D12" s="49"/>
      <c r="E12" s="49"/>
      <c r="F12" s="7">
        <v>423500.0</v>
      </c>
      <c r="G12" s="7" t="s">
        <v>480</v>
      </c>
    </row>
    <row r="13">
      <c r="A13" s="1"/>
      <c r="B13" s="4" t="s">
        <v>2239</v>
      </c>
      <c r="C13" s="1"/>
      <c r="D13" s="49"/>
      <c r="E13" s="49"/>
      <c r="F13" s="7">
        <v>205000.0</v>
      </c>
      <c r="G13" s="7"/>
    </row>
    <row r="14">
      <c r="A14" s="1"/>
      <c r="B14" s="4"/>
      <c r="C14" s="50" t="s">
        <v>405</v>
      </c>
      <c r="E14" s="4"/>
      <c r="F14" s="2">
        <f>SUM(F7:F13)</f>
        <v>2181800</v>
      </c>
      <c r="G14" s="7">
        <f>SUM(G7:G11)</f>
        <v>427000</v>
      </c>
    </row>
    <row r="15">
      <c r="A15" s="1"/>
      <c r="B15" s="51" t="s">
        <v>9</v>
      </c>
      <c r="C15" s="52"/>
      <c r="D15" s="52"/>
      <c r="E15" s="52"/>
      <c r="F15" s="53"/>
      <c r="G15" s="68">
        <f>SUM(F14:G14)</f>
        <v>2608800</v>
      </c>
    </row>
    <row r="16">
      <c r="A16" s="6" t="s">
        <v>2240</v>
      </c>
      <c r="B16" s="1"/>
      <c r="C16" s="1"/>
      <c r="D16" s="1"/>
      <c r="E16" s="1"/>
      <c r="F16" s="1"/>
      <c r="G16" s="2"/>
    </row>
    <row r="17">
      <c r="A17" s="1"/>
      <c r="B17" s="12" t="s">
        <v>11</v>
      </c>
      <c r="C17" s="1"/>
      <c r="D17" s="1"/>
      <c r="E17" s="1"/>
      <c r="F17" s="1"/>
      <c r="G17" s="2"/>
    </row>
    <row r="18">
      <c r="A18" s="1"/>
      <c r="B18" s="4" t="s">
        <v>2016</v>
      </c>
      <c r="C18" s="1"/>
      <c r="D18" s="1"/>
      <c r="E18" s="1"/>
      <c r="F18" s="1"/>
      <c r="G18" s="77">
        <v>254100.0</v>
      </c>
    </row>
    <row r="19">
      <c r="A19" s="1"/>
      <c r="B19" s="4" t="s">
        <v>1594</v>
      </c>
      <c r="C19" s="1"/>
      <c r="D19" s="1"/>
      <c r="E19" s="1"/>
      <c r="F19" s="1"/>
      <c r="G19" s="77">
        <v>150000.0</v>
      </c>
    </row>
    <row r="20">
      <c r="A20" s="1"/>
      <c r="B20" s="4" t="s">
        <v>13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14</v>
      </c>
      <c r="C21" s="1"/>
      <c r="D21" s="1"/>
      <c r="E21" s="1"/>
      <c r="F21" s="1"/>
      <c r="G21" s="13">
        <v>150000.0</v>
      </c>
    </row>
    <row r="22" ht="15.75" customHeight="1">
      <c r="A22" s="1"/>
      <c r="B22" s="4" t="s">
        <v>15</v>
      </c>
      <c r="C22" s="1"/>
      <c r="D22" s="1"/>
      <c r="E22" s="1"/>
      <c r="F22" s="1"/>
      <c r="G22" s="77">
        <v>125000.0</v>
      </c>
    </row>
    <row r="23" ht="15.75" customHeight="1">
      <c r="A23" s="1"/>
      <c r="B23" s="4" t="s">
        <v>16</v>
      </c>
      <c r="C23" s="1"/>
      <c r="D23" s="1"/>
      <c r="E23" s="1"/>
      <c r="F23" s="1"/>
      <c r="G23" s="77">
        <v>100000.0</v>
      </c>
    </row>
    <row r="24" ht="15.75" customHeight="1">
      <c r="A24" s="1"/>
      <c r="B24" s="4" t="s">
        <v>17</v>
      </c>
      <c r="C24" s="1"/>
      <c r="D24" s="1"/>
      <c r="E24" s="1"/>
      <c r="F24" s="1"/>
      <c r="G24" s="77">
        <v>150000.0</v>
      </c>
    </row>
    <row r="25" ht="15.75" customHeight="1">
      <c r="A25" s="1"/>
      <c r="B25" s="4" t="s">
        <v>1836</v>
      </c>
      <c r="C25" s="1"/>
      <c r="D25" s="1"/>
      <c r="E25" s="1"/>
      <c r="F25" s="1"/>
      <c r="G25" s="77">
        <v>125000.0</v>
      </c>
    </row>
    <row r="26" ht="15.75" customHeight="1">
      <c r="A26" s="1"/>
      <c r="B26" s="4" t="s">
        <v>2148</v>
      </c>
      <c r="C26" s="1"/>
      <c r="D26" s="1"/>
      <c r="E26" s="1"/>
      <c r="F26" s="1"/>
      <c r="G26" s="77">
        <v>250000.0</v>
      </c>
    </row>
    <row r="27" ht="15.75" customHeight="1">
      <c r="A27" s="1"/>
      <c r="B27" s="4" t="s">
        <v>2149</v>
      </c>
      <c r="C27" s="1"/>
      <c r="D27" s="1"/>
      <c r="E27" s="1"/>
      <c r="F27" s="1"/>
      <c r="G27" s="77">
        <v>100000.0</v>
      </c>
    </row>
    <row r="28" ht="15.75" customHeight="1">
      <c r="A28" s="1"/>
      <c r="B28" s="4" t="s">
        <v>2241</v>
      </c>
      <c r="C28" s="1"/>
      <c r="D28" s="1"/>
      <c r="E28" s="1"/>
      <c r="F28" s="1"/>
      <c r="G28" s="77">
        <v>50000.0</v>
      </c>
    </row>
    <row r="29" ht="15.75" customHeight="1">
      <c r="A29" s="1"/>
      <c r="B29" s="4" t="s">
        <v>2242</v>
      </c>
      <c r="C29" s="1"/>
      <c r="D29" s="1"/>
      <c r="E29" s="1"/>
      <c r="F29" s="1"/>
      <c r="G29" s="77">
        <v>80000.0</v>
      </c>
    </row>
    <row r="30" ht="15.75" customHeight="1">
      <c r="A30" s="1"/>
      <c r="B30" s="9" t="s">
        <v>18</v>
      </c>
      <c r="C30" s="10"/>
      <c r="D30" s="10"/>
      <c r="E30" s="10"/>
      <c r="F30" s="10"/>
      <c r="G30" s="69">
        <f>SUM(G18:G29)</f>
        <v>1684100</v>
      </c>
    </row>
    <row r="31" ht="15.75" customHeight="1">
      <c r="A31" s="1"/>
      <c r="B31" s="12" t="s">
        <v>19</v>
      </c>
      <c r="C31" s="15"/>
      <c r="D31" s="1"/>
      <c r="E31" s="1"/>
      <c r="F31" s="1"/>
      <c r="G31" s="2"/>
    </row>
    <row r="32" ht="15.75" customHeight="1">
      <c r="A32" s="1"/>
      <c r="B32" s="4" t="s">
        <v>480</v>
      </c>
      <c r="C32" s="15"/>
      <c r="D32" s="1"/>
      <c r="E32" s="1"/>
      <c r="F32" s="1"/>
      <c r="G32" s="2"/>
      <c r="K32" s="67" t="s">
        <v>480</v>
      </c>
    </row>
    <row r="33" ht="15.75" customHeight="1">
      <c r="A33" s="1"/>
      <c r="B33" s="4" t="s">
        <v>2243</v>
      </c>
      <c r="C33" s="15"/>
      <c r="D33" s="1"/>
      <c r="E33" s="1"/>
      <c r="F33" s="1"/>
      <c r="G33" s="2">
        <v>50000.0</v>
      </c>
    </row>
    <row r="34" ht="15.75" customHeight="1">
      <c r="A34" s="1"/>
      <c r="B34" s="4" t="s">
        <v>2244</v>
      </c>
      <c r="C34" s="15"/>
      <c r="D34" s="1"/>
      <c r="E34" s="1"/>
      <c r="F34" s="1"/>
      <c r="G34" s="2">
        <v>231750.0</v>
      </c>
    </row>
    <row r="35" ht="15.75" customHeight="1">
      <c r="A35" s="1"/>
      <c r="B35" s="4" t="s">
        <v>2245</v>
      </c>
      <c r="C35" s="15"/>
      <c r="D35" s="1"/>
      <c r="E35" s="1"/>
      <c r="F35" s="1"/>
      <c r="G35" s="2">
        <v>6000.0</v>
      </c>
    </row>
    <row r="36" ht="15.75" customHeight="1">
      <c r="A36" s="1"/>
      <c r="B36" s="4" t="s">
        <v>2246</v>
      </c>
      <c r="C36" s="15"/>
      <c r="D36" s="1"/>
      <c r="E36" s="1"/>
      <c r="F36" s="1"/>
      <c r="G36" s="2">
        <v>50000.0</v>
      </c>
    </row>
    <row r="37" ht="15.75" customHeight="1">
      <c r="A37" s="1"/>
      <c r="B37" s="4" t="s">
        <v>2025</v>
      </c>
      <c r="C37" s="15"/>
      <c r="D37" s="1"/>
      <c r="E37" s="1"/>
      <c r="F37" s="1"/>
      <c r="G37" s="2">
        <v>20000.0</v>
      </c>
    </row>
    <row r="38" ht="15.75" customHeight="1">
      <c r="A38" s="1"/>
      <c r="B38" s="4" t="s">
        <v>2247</v>
      </c>
      <c r="C38" s="15"/>
      <c r="D38" s="1"/>
      <c r="E38" s="1"/>
      <c r="F38" s="1"/>
      <c r="G38" s="2">
        <v>833200.0</v>
      </c>
    </row>
    <row r="39" ht="15.75" customHeight="1">
      <c r="A39" s="1"/>
      <c r="B39" s="4" t="s">
        <v>1955</v>
      </c>
      <c r="C39" s="15"/>
      <c r="D39" s="1"/>
      <c r="E39" s="1"/>
      <c r="F39" s="1"/>
      <c r="G39" s="2">
        <v>20000.0</v>
      </c>
    </row>
    <row r="40" ht="15.75" customHeight="1">
      <c r="A40" s="1"/>
      <c r="B40" s="4" t="s">
        <v>234</v>
      </c>
      <c r="C40" s="15"/>
      <c r="D40" s="1"/>
      <c r="E40" s="1"/>
      <c r="F40" s="1"/>
      <c r="G40" s="2">
        <v>100000.0</v>
      </c>
    </row>
    <row r="41" ht="15.75" customHeight="1">
      <c r="A41" s="1"/>
      <c r="B41" s="4" t="s">
        <v>2248</v>
      </c>
      <c r="C41" s="15"/>
      <c r="D41" s="1"/>
      <c r="E41" s="1"/>
      <c r="F41" s="1"/>
      <c r="G41" s="2">
        <v>10000.0</v>
      </c>
    </row>
    <row r="42" ht="15.75" customHeight="1">
      <c r="A42" s="1"/>
      <c r="B42" s="4" t="s">
        <v>2249</v>
      </c>
      <c r="C42" s="15"/>
      <c r="D42" s="1"/>
      <c r="E42" s="1"/>
      <c r="F42" s="1"/>
      <c r="G42" s="2">
        <v>15000.0</v>
      </c>
    </row>
    <row r="43" ht="15.75" customHeight="1">
      <c r="A43" s="1"/>
      <c r="B43" s="4" t="s">
        <v>2250</v>
      </c>
      <c r="C43" s="15"/>
      <c r="D43" s="78"/>
      <c r="E43" s="1"/>
      <c r="F43" s="1"/>
      <c r="G43" s="79">
        <v>37500.0</v>
      </c>
    </row>
    <row r="44" ht="15.75" customHeight="1">
      <c r="A44" s="1"/>
      <c r="B44" s="4" t="s">
        <v>2251</v>
      </c>
      <c r="C44" s="15"/>
      <c r="D44" s="1"/>
      <c r="E44" s="1"/>
      <c r="F44" s="1"/>
      <c r="G44" s="2">
        <v>5000.0</v>
      </c>
    </row>
    <row r="45" ht="15.75" customHeight="1">
      <c r="A45" s="1"/>
      <c r="B45" s="4" t="s">
        <v>2252</v>
      </c>
      <c r="C45" s="15"/>
      <c r="D45" s="1"/>
      <c r="E45" s="1"/>
      <c r="F45" s="1"/>
      <c r="G45" s="2">
        <v>15000.0</v>
      </c>
    </row>
    <row r="46" ht="15.75" customHeight="1">
      <c r="A46" s="1"/>
      <c r="B46" s="4" t="s">
        <v>2253</v>
      </c>
      <c r="C46" s="15"/>
      <c r="D46" s="1"/>
      <c r="E46" s="1"/>
      <c r="F46" s="1"/>
      <c r="G46" s="2">
        <v>3000.0</v>
      </c>
    </row>
    <row r="47" ht="15.75" customHeight="1">
      <c r="A47" s="1"/>
      <c r="B47" s="4"/>
      <c r="C47" s="15"/>
      <c r="D47" s="1"/>
      <c r="E47" s="1"/>
      <c r="F47" s="1"/>
      <c r="G47" s="2"/>
    </row>
    <row r="48" ht="15.75" customHeight="1">
      <c r="A48" s="1"/>
      <c r="B48" s="1" t="s">
        <v>480</v>
      </c>
      <c r="C48" s="1"/>
      <c r="D48" s="1"/>
      <c r="E48" s="1"/>
      <c r="F48" s="1"/>
      <c r="G48" s="13"/>
    </row>
    <row r="49" ht="15.75" customHeight="1">
      <c r="A49" s="1"/>
      <c r="B49" s="43" t="s">
        <v>43</v>
      </c>
      <c r="C49" s="1"/>
      <c r="D49" s="1"/>
      <c r="E49" s="1"/>
      <c r="F49" s="1"/>
      <c r="G49" s="18">
        <f>SUM(G32:G47)</f>
        <v>1396450</v>
      </c>
    </row>
    <row r="50" ht="15.75" customHeight="1">
      <c r="A50" s="1"/>
      <c r="B50" s="19" t="s">
        <v>45</v>
      </c>
      <c r="C50" s="20"/>
      <c r="D50" s="20"/>
      <c r="E50" s="20"/>
      <c r="F50" s="20"/>
      <c r="G50" s="70">
        <f>SUM(G30+G49)</f>
        <v>3080550</v>
      </c>
    </row>
    <row r="51" ht="15.75" customHeight="1">
      <c r="A51" s="1"/>
      <c r="B51" s="4" t="s">
        <v>46</v>
      </c>
      <c r="C51" s="1"/>
      <c r="D51" s="1"/>
      <c r="E51" s="1"/>
      <c r="F51" s="1"/>
      <c r="G51" s="2"/>
    </row>
    <row r="52" ht="15.75" customHeight="1">
      <c r="A52" s="35" t="s">
        <v>2224</v>
      </c>
      <c r="B52" s="36"/>
      <c r="C52" s="37"/>
      <c r="D52" s="37"/>
      <c r="E52" s="37"/>
      <c r="F52" s="37"/>
      <c r="G52" s="71">
        <f>(G15-G50)</f>
        <v>-471750</v>
      </c>
    </row>
    <row r="53" ht="15.75" customHeight="1">
      <c r="A53" s="22" t="s">
        <v>254</v>
      </c>
      <c r="B53" s="43" t="s">
        <v>255</v>
      </c>
      <c r="C53" s="1"/>
      <c r="D53" s="1"/>
      <c r="E53" s="1"/>
      <c r="F53" s="1"/>
      <c r="G53" s="2"/>
      <c r="L53" s="67" t="s">
        <v>480</v>
      </c>
    </row>
    <row r="54" ht="15.75" customHeight="1">
      <c r="A54" s="22"/>
      <c r="B54" s="43"/>
      <c r="C54" s="1"/>
      <c r="D54" s="1"/>
      <c r="E54" s="1"/>
      <c r="F54" s="1"/>
      <c r="G54" s="2"/>
    </row>
    <row r="55" ht="15.75" customHeight="1">
      <c r="A55" s="22"/>
      <c r="B55" s="43"/>
      <c r="C55" s="1"/>
      <c r="D55" s="1"/>
      <c r="E55" s="1"/>
      <c r="F55" s="1"/>
      <c r="G55" s="2"/>
    </row>
    <row r="56" ht="15.75" customHeight="1">
      <c r="A56" s="44"/>
      <c r="B56" s="72" t="s">
        <v>51</v>
      </c>
      <c r="C56" s="27"/>
      <c r="D56" s="27"/>
      <c r="E56" s="27"/>
      <c r="F56" s="27"/>
      <c r="G56" s="73"/>
    </row>
    <row r="57" ht="15.75" customHeight="1">
      <c r="A57" s="44"/>
      <c r="B57" s="45" t="s">
        <v>2254</v>
      </c>
      <c r="C57" s="45"/>
      <c r="D57" s="45"/>
      <c r="E57" s="46"/>
      <c r="F57" s="46"/>
      <c r="G57" s="47">
        <v>3837273.0</v>
      </c>
    </row>
    <row r="58" ht="15.75" customHeight="1">
      <c r="A58" s="1"/>
      <c r="B58" s="32" t="s">
        <v>2255</v>
      </c>
    </row>
    <row r="59" ht="15.75" customHeight="1">
      <c r="A59" s="1"/>
      <c r="B59" s="1"/>
      <c r="C59" s="1" t="s">
        <v>2227</v>
      </c>
      <c r="D59" s="1"/>
      <c r="E59" s="1"/>
      <c r="F59" s="1"/>
      <c r="G59" s="2">
        <v>0.0</v>
      </c>
    </row>
    <row r="60" ht="15.75" customHeight="1">
      <c r="A60" s="1"/>
      <c r="B60" s="1"/>
      <c r="C60" s="1" t="s">
        <v>1425</v>
      </c>
      <c r="D60" s="1"/>
      <c r="E60" s="1"/>
      <c r="F60" s="1"/>
      <c r="G60" s="2">
        <v>310300.0</v>
      </c>
    </row>
    <row r="61" ht="15.75" customHeight="1">
      <c r="A61" s="1"/>
      <c r="B61" s="1"/>
      <c r="C61" s="43" t="s">
        <v>115</v>
      </c>
      <c r="D61" s="1"/>
      <c r="E61" s="1"/>
      <c r="F61" s="1"/>
      <c r="G61" s="2">
        <v>310300.0</v>
      </c>
    </row>
    <row r="62" ht="15.75" customHeight="1">
      <c r="A62" s="1"/>
      <c r="B62" s="1"/>
      <c r="C62" s="43"/>
      <c r="D62" s="1"/>
      <c r="E62" s="1"/>
      <c r="F62" s="1"/>
      <c r="G62" s="2" t="s">
        <v>1585</v>
      </c>
    </row>
    <row r="63" ht="15.75" customHeight="1">
      <c r="A63" s="1"/>
      <c r="B63" s="43" t="s">
        <v>1825</v>
      </c>
      <c r="C63" s="43"/>
      <c r="D63" s="1"/>
      <c r="E63" s="1"/>
      <c r="F63" s="1"/>
      <c r="G63" s="2"/>
    </row>
    <row r="64" ht="15.75" customHeight="1">
      <c r="A64" s="1"/>
      <c r="B64" s="43" t="s">
        <v>2228</v>
      </c>
      <c r="C64" s="43"/>
      <c r="D64" s="1"/>
      <c r="E64" s="1"/>
      <c r="F64" s="1"/>
      <c r="G64" s="1"/>
    </row>
    <row r="65" ht="15.75" customHeight="1">
      <c r="A65" s="1"/>
      <c r="B65" s="43" t="s">
        <v>2229</v>
      </c>
      <c r="C65" s="43"/>
      <c r="D65" s="1"/>
      <c r="E65" s="1"/>
      <c r="F65" s="1"/>
      <c r="G65" s="1"/>
    </row>
    <row r="66" ht="15.75" customHeight="1">
      <c r="A66" s="1"/>
      <c r="B66" s="43" t="s">
        <v>2230</v>
      </c>
      <c r="C66" s="43"/>
      <c r="D66" s="1"/>
      <c r="E66" s="1"/>
      <c r="F66" s="1"/>
      <c r="G66" s="1"/>
    </row>
    <row r="67" ht="15.75" customHeight="1">
      <c r="A67" s="1"/>
      <c r="B67" s="43" t="s">
        <v>2231</v>
      </c>
      <c r="C67" s="43"/>
      <c r="D67" s="1"/>
      <c r="E67" s="1"/>
      <c r="F67" s="1"/>
      <c r="G67" s="1"/>
    </row>
    <row r="68" ht="15.75" customHeight="1">
      <c r="A68" s="1"/>
      <c r="B68" s="33" t="s">
        <v>2256</v>
      </c>
      <c r="C68" s="1"/>
      <c r="D68" s="1"/>
      <c r="E68" s="1"/>
      <c r="F68" s="1"/>
      <c r="G68" s="2"/>
    </row>
    <row r="69" ht="15.75" customHeight="1">
      <c r="A69" s="1"/>
      <c r="B69" s="33"/>
      <c r="C69" s="1"/>
      <c r="D69" s="1"/>
      <c r="E69" s="1"/>
      <c r="F69" s="1"/>
      <c r="G69" s="2"/>
    </row>
    <row r="70" ht="15.75" customHeight="1">
      <c r="A70" s="1"/>
      <c r="B70" s="55" t="s">
        <v>531</v>
      </c>
      <c r="C70" s="56"/>
      <c r="D70" s="56"/>
      <c r="E70" s="56"/>
      <c r="F70" s="1"/>
      <c r="G70" s="2"/>
    </row>
    <row r="71" ht="15.75" customHeight="1">
      <c r="A71" s="1"/>
      <c r="B71" s="55"/>
      <c r="C71" s="56"/>
      <c r="D71" s="56"/>
      <c r="E71" s="56"/>
      <c r="F71" s="1"/>
      <c r="G71" s="2"/>
    </row>
    <row r="72" ht="15.75" customHeight="1">
      <c r="A72" s="1"/>
      <c r="B72" s="55" t="s">
        <v>2257</v>
      </c>
      <c r="C72" s="56"/>
      <c r="D72" s="56"/>
      <c r="E72" s="56"/>
      <c r="F72" s="1"/>
      <c r="G72" s="2"/>
    </row>
    <row r="73" ht="15.75" customHeight="1">
      <c r="A73" s="1"/>
      <c r="B73" s="55"/>
      <c r="C73" s="56"/>
      <c r="D73" s="56"/>
      <c r="E73" s="56"/>
      <c r="F73" s="1"/>
      <c r="G73" s="2"/>
    </row>
    <row r="74" ht="15.75" customHeight="1">
      <c r="A74" s="1"/>
      <c r="B74" s="55" t="s">
        <v>533</v>
      </c>
      <c r="F74" s="1"/>
      <c r="G74" s="2"/>
    </row>
    <row r="75" ht="15.75" customHeight="1">
      <c r="A75" s="1"/>
      <c r="B75" s="55"/>
      <c r="C75" s="55"/>
      <c r="D75" s="55"/>
      <c r="E75" s="55"/>
      <c r="F75" s="1"/>
      <c r="G75" s="2"/>
    </row>
    <row r="76" ht="15.75" customHeight="1">
      <c r="A76" s="1"/>
      <c r="B76" s="55" t="s">
        <v>2258</v>
      </c>
      <c r="C76" s="56"/>
      <c r="D76" s="57"/>
      <c r="E76" s="56"/>
      <c r="F76" s="1"/>
      <c r="G76" s="2"/>
    </row>
    <row r="77" ht="15.75" customHeight="1">
      <c r="A77" s="1"/>
      <c r="B77" s="55"/>
      <c r="C77" s="56"/>
      <c r="D77" s="57"/>
      <c r="E77" s="56"/>
      <c r="F77" s="1"/>
      <c r="G77" s="2"/>
    </row>
    <row r="78" ht="15.75" customHeight="1">
      <c r="A78" s="1"/>
      <c r="B78" s="55" t="s">
        <v>535</v>
      </c>
      <c r="C78" s="56"/>
      <c r="D78" s="57"/>
      <c r="E78" s="56"/>
      <c r="F78" s="1"/>
      <c r="G78" s="2"/>
    </row>
    <row r="79" ht="15.75" customHeight="1">
      <c r="A79" s="1"/>
      <c r="B79" s="55"/>
      <c r="C79" s="56"/>
      <c r="D79" s="57"/>
      <c r="E79" s="56"/>
      <c r="F79" s="1"/>
      <c r="G79" s="2"/>
    </row>
    <row r="80" ht="15.75" customHeight="1">
      <c r="B80" s="55" t="s">
        <v>536</v>
      </c>
      <c r="C80" s="56"/>
      <c r="D80" s="57"/>
      <c r="E80" s="57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5"/>
    <mergeCell ref="C14:D14"/>
    <mergeCell ref="B15:F15"/>
    <mergeCell ref="B58:G58"/>
    <mergeCell ref="B74:E74"/>
  </mergeCells>
  <printOptions/>
  <pageMargins bottom="0.75" footer="0.0" header="0.0" left="0.7" right="0.7" top="0.7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0"/>
    <col customWidth="1" min="8" max="26" width="10.71"/>
  </cols>
  <sheetData>
    <row r="1">
      <c r="B1" s="67" t="s">
        <v>480</v>
      </c>
    </row>
    <row r="3">
      <c r="A3" s="1" t="s">
        <v>721</v>
      </c>
      <c r="B3" s="3" t="s">
        <v>2259</v>
      </c>
      <c r="C3" s="1"/>
      <c r="D3" s="1"/>
      <c r="E3" s="1"/>
      <c r="F3" s="1"/>
      <c r="G3" s="2"/>
    </row>
    <row r="4">
      <c r="A4" s="1"/>
      <c r="B4" s="75" t="s">
        <v>2260</v>
      </c>
      <c r="G4" s="47">
        <v>3837273.0</v>
      </c>
    </row>
    <row r="5">
      <c r="A5" s="1"/>
      <c r="G5" s="2"/>
    </row>
    <row r="6">
      <c r="A6" s="6" t="s">
        <v>2261</v>
      </c>
      <c r="B6" s="1"/>
      <c r="C6" s="1"/>
      <c r="D6" s="1"/>
      <c r="E6" s="1"/>
      <c r="F6" s="48" t="s">
        <v>403</v>
      </c>
      <c r="G6" s="7" t="s">
        <v>404</v>
      </c>
    </row>
    <row r="7">
      <c r="A7" s="1"/>
      <c r="B7" s="4" t="s">
        <v>63</v>
      </c>
      <c r="C7" s="1"/>
      <c r="D7" s="1"/>
      <c r="E7" s="1"/>
      <c r="F7" s="2">
        <v>380300.0</v>
      </c>
      <c r="G7" s="7">
        <v>91000.0</v>
      </c>
    </row>
    <row r="8">
      <c r="A8" s="1"/>
      <c r="B8" s="4" t="s">
        <v>64</v>
      </c>
      <c r="C8" s="1"/>
      <c r="D8" s="1"/>
      <c r="E8" s="1"/>
      <c r="F8" s="2">
        <v>307000.0</v>
      </c>
      <c r="G8" s="7">
        <v>76000.0</v>
      </c>
    </row>
    <row r="9">
      <c r="A9" s="1"/>
      <c r="B9" s="4" t="s">
        <v>65</v>
      </c>
      <c r="C9" s="1"/>
      <c r="D9" s="1"/>
      <c r="E9" s="1"/>
      <c r="F9" s="2">
        <v>178800.0</v>
      </c>
      <c r="G9" s="7">
        <v>69000.0</v>
      </c>
    </row>
    <row r="10">
      <c r="A10" s="1"/>
      <c r="B10" s="4" t="s">
        <v>66</v>
      </c>
      <c r="C10" s="1"/>
      <c r="D10" s="1"/>
      <c r="E10" s="1"/>
      <c r="F10" s="2">
        <v>511900.0</v>
      </c>
      <c r="G10" s="76">
        <v>102000.0</v>
      </c>
    </row>
    <row r="11">
      <c r="A11" s="1"/>
      <c r="B11" s="4" t="s">
        <v>67</v>
      </c>
      <c r="C11" s="1"/>
      <c r="D11" s="49" t="s">
        <v>8</v>
      </c>
      <c r="E11" s="49"/>
      <c r="F11" s="7">
        <v>0.0</v>
      </c>
      <c r="G11" s="7">
        <v>0.0</v>
      </c>
    </row>
    <row r="12">
      <c r="A12" s="1"/>
      <c r="B12" s="4" t="s">
        <v>2262</v>
      </c>
      <c r="C12" s="1"/>
      <c r="D12" s="49"/>
      <c r="E12" s="49"/>
      <c r="F12" s="7">
        <v>375000.0</v>
      </c>
      <c r="G12" s="7" t="s">
        <v>480</v>
      </c>
    </row>
    <row r="13">
      <c r="A13" s="1"/>
      <c r="B13" s="4" t="s">
        <v>2263</v>
      </c>
      <c r="C13" s="1"/>
      <c r="D13" s="49"/>
      <c r="E13" s="49"/>
      <c r="F13" s="7">
        <v>220000.0</v>
      </c>
      <c r="G13" s="7"/>
    </row>
    <row r="14">
      <c r="A14" s="1"/>
      <c r="B14" s="4"/>
      <c r="C14" s="50" t="s">
        <v>405</v>
      </c>
      <c r="E14" s="4"/>
      <c r="F14" s="2">
        <f>SUM(F7:F13)</f>
        <v>1973000</v>
      </c>
      <c r="G14" s="7">
        <f>SUM(G7:G11)</f>
        <v>338000</v>
      </c>
    </row>
    <row r="15">
      <c r="A15" s="1"/>
      <c r="B15" s="51" t="s">
        <v>9</v>
      </c>
      <c r="C15" s="52"/>
      <c r="D15" s="52"/>
      <c r="E15" s="52"/>
      <c r="F15" s="53"/>
      <c r="G15" s="68">
        <f>SUM(F14:G14)</f>
        <v>2311000</v>
      </c>
    </row>
    <row r="16">
      <c r="A16" s="6" t="s">
        <v>2264</v>
      </c>
      <c r="B16" s="1"/>
      <c r="C16" s="1"/>
      <c r="D16" s="1"/>
      <c r="E16" s="1"/>
      <c r="F16" s="1"/>
      <c r="G16" s="2"/>
    </row>
    <row r="17">
      <c r="A17" s="1"/>
      <c r="B17" s="12" t="s">
        <v>11</v>
      </c>
      <c r="C17" s="1"/>
      <c r="D17" s="1"/>
      <c r="E17" s="1"/>
      <c r="F17" s="1"/>
      <c r="G17" s="2"/>
    </row>
    <row r="18">
      <c r="A18" s="1"/>
      <c r="B18" s="4" t="s">
        <v>2016</v>
      </c>
      <c r="C18" s="1"/>
      <c r="D18" s="1"/>
      <c r="E18" s="1"/>
      <c r="F18" s="1"/>
      <c r="G18" s="77">
        <v>225000.0</v>
      </c>
    </row>
    <row r="19">
      <c r="A19" s="1"/>
      <c r="B19" s="4" t="s">
        <v>1594</v>
      </c>
      <c r="C19" s="1"/>
      <c r="D19" s="1"/>
      <c r="E19" s="1"/>
      <c r="F19" s="1"/>
      <c r="G19" s="77">
        <v>150000.0</v>
      </c>
    </row>
    <row r="20">
      <c r="A20" s="1"/>
      <c r="B20" s="4" t="s">
        <v>13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14</v>
      </c>
      <c r="C21" s="1"/>
      <c r="D21" s="1"/>
      <c r="E21" s="1"/>
      <c r="F21" s="1"/>
      <c r="G21" s="13">
        <v>150000.0</v>
      </c>
    </row>
    <row r="22" ht="15.75" customHeight="1">
      <c r="A22" s="1"/>
      <c r="B22" s="4" t="s">
        <v>15</v>
      </c>
      <c r="C22" s="1"/>
      <c r="D22" s="1"/>
      <c r="E22" s="1"/>
      <c r="F22" s="1"/>
      <c r="G22" s="77">
        <v>125000.0</v>
      </c>
    </row>
    <row r="23" ht="15.75" customHeight="1">
      <c r="A23" s="1"/>
      <c r="B23" s="4" t="s">
        <v>16</v>
      </c>
      <c r="C23" s="1"/>
      <c r="D23" s="1"/>
      <c r="E23" s="1"/>
      <c r="F23" s="1"/>
      <c r="G23" s="77">
        <v>100000.0</v>
      </c>
    </row>
    <row r="24" ht="15.75" customHeight="1">
      <c r="A24" s="1"/>
      <c r="B24" s="4" t="s">
        <v>17</v>
      </c>
      <c r="C24" s="1"/>
      <c r="D24" s="1"/>
      <c r="E24" s="1"/>
      <c r="F24" s="1"/>
      <c r="G24" s="77">
        <v>150000.0</v>
      </c>
    </row>
    <row r="25" ht="15.75" customHeight="1">
      <c r="A25" s="1"/>
      <c r="B25" s="4" t="s">
        <v>1836</v>
      </c>
      <c r="C25" s="1"/>
      <c r="D25" s="1"/>
      <c r="E25" s="1"/>
      <c r="F25" s="1"/>
      <c r="G25" s="77">
        <v>125000.0</v>
      </c>
    </row>
    <row r="26" ht="15.75" customHeight="1">
      <c r="A26" s="1"/>
      <c r="B26" s="4" t="s">
        <v>2148</v>
      </c>
      <c r="C26" s="1"/>
      <c r="D26" s="1"/>
      <c r="E26" s="1"/>
      <c r="F26" s="1"/>
      <c r="G26" s="77">
        <v>250000.0</v>
      </c>
    </row>
    <row r="27" ht="15.75" customHeight="1">
      <c r="A27" s="1"/>
      <c r="B27" s="4" t="s">
        <v>2149</v>
      </c>
      <c r="C27" s="1"/>
      <c r="D27" s="1"/>
      <c r="E27" s="1"/>
      <c r="F27" s="1"/>
      <c r="G27" s="77">
        <v>100000.0</v>
      </c>
    </row>
    <row r="28" ht="15.75" customHeight="1">
      <c r="A28" s="1"/>
      <c r="B28" s="4" t="s">
        <v>2241</v>
      </c>
      <c r="C28" s="1"/>
      <c r="D28" s="1"/>
      <c r="E28" s="1"/>
      <c r="F28" s="1"/>
      <c r="G28" s="77">
        <v>0.0</v>
      </c>
    </row>
    <row r="29" ht="15.75" customHeight="1">
      <c r="A29" s="1"/>
      <c r="B29" s="4" t="s">
        <v>2242</v>
      </c>
      <c r="C29" s="1"/>
      <c r="D29" s="1"/>
      <c r="E29" s="1"/>
      <c r="F29" s="1"/>
      <c r="G29" s="77">
        <v>150000.0</v>
      </c>
    </row>
    <row r="30" ht="15.75" customHeight="1">
      <c r="A30" s="1"/>
      <c r="B30" s="9" t="s">
        <v>18</v>
      </c>
      <c r="C30" s="10"/>
      <c r="D30" s="10"/>
      <c r="E30" s="10"/>
      <c r="F30" s="10"/>
      <c r="G30" s="69">
        <f>SUM(G18:G29)</f>
        <v>1675000</v>
      </c>
    </row>
    <row r="31" ht="15.75" customHeight="1">
      <c r="A31" s="1"/>
      <c r="B31" s="12" t="s">
        <v>19</v>
      </c>
      <c r="C31" s="15"/>
      <c r="D31" s="1"/>
      <c r="E31" s="1"/>
      <c r="F31" s="1"/>
      <c r="G31" s="2"/>
    </row>
    <row r="32" ht="15.75" customHeight="1">
      <c r="A32" s="1"/>
      <c r="B32" s="4" t="s">
        <v>480</v>
      </c>
      <c r="C32" s="15"/>
      <c r="D32" s="1"/>
      <c r="E32" s="1"/>
      <c r="F32" s="1"/>
      <c r="G32" s="2"/>
    </row>
    <row r="33" ht="15.75" customHeight="1">
      <c r="A33" s="1"/>
      <c r="B33" s="4" t="s">
        <v>2265</v>
      </c>
      <c r="C33" s="15"/>
      <c r="D33" s="1"/>
      <c r="E33" s="1"/>
      <c r="F33" s="1"/>
      <c r="G33" s="2">
        <v>3547.0</v>
      </c>
    </row>
    <row r="34" ht="15.75" customHeight="1">
      <c r="A34" s="1"/>
      <c r="B34" s="4" t="s">
        <v>2266</v>
      </c>
      <c r="C34" s="15"/>
      <c r="D34" s="1"/>
      <c r="E34" s="1"/>
      <c r="F34" s="1"/>
      <c r="G34" s="2">
        <v>15488.0</v>
      </c>
    </row>
    <row r="35" ht="15.75" customHeight="1">
      <c r="A35" s="1"/>
      <c r="B35" s="4" t="s">
        <v>2267</v>
      </c>
      <c r="C35" s="15"/>
      <c r="D35" s="1"/>
      <c r="E35" s="1"/>
      <c r="F35" s="1"/>
      <c r="G35" s="2">
        <v>9000.0</v>
      </c>
    </row>
    <row r="36" ht="15.75" customHeight="1">
      <c r="A36" s="1"/>
      <c r="B36" s="4" t="s">
        <v>2268</v>
      </c>
      <c r="C36" s="15"/>
      <c r="D36" s="1"/>
      <c r="E36" s="1"/>
      <c r="F36" s="1"/>
      <c r="G36" s="2">
        <v>2494.0</v>
      </c>
    </row>
    <row r="37" ht="15.75" customHeight="1">
      <c r="A37" s="1"/>
      <c r="B37" s="4" t="s">
        <v>2269</v>
      </c>
      <c r="C37" s="15"/>
      <c r="D37" s="1"/>
      <c r="E37" s="1"/>
      <c r="F37" s="1"/>
      <c r="G37" s="2">
        <v>15000.0</v>
      </c>
    </row>
    <row r="38" ht="15.75" customHeight="1">
      <c r="A38" s="1"/>
      <c r="B38" s="4" t="s">
        <v>2270</v>
      </c>
      <c r="C38" s="15"/>
      <c r="D38" s="1"/>
      <c r="E38" s="1"/>
      <c r="F38" s="1"/>
      <c r="G38" s="2">
        <v>6370.0</v>
      </c>
    </row>
    <row r="39" ht="15.75" customHeight="1">
      <c r="A39" s="1"/>
      <c r="B39" s="4" t="s">
        <v>2271</v>
      </c>
      <c r="C39" s="15"/>
      <c r="D39" s="1"/>
      <c r="E39" s="1"/>
      <c r="F39" s="1"/>
      <c r="G39" s="2">
        <v>3000.0</v>
      </c>
    </row>
    <row r="40" ht="15.75" customHeight="1">
      <c r="A40" s="1"/>
      <c r="B40" s="4" t="s">
        <v>2272</v>
      </c>
      <c r="C40" s="15"/>
      <c r="D40" s="1"/>
      <c r="E40" s="1"/>
      <c r="F40" s="1"/>
      <c r="G40" s="2">
        <v>14000.0</v>
      </c>
    </row>
    <row r="41" ht="15.75" customHeight="1">
      <c r="A41" s="1"/>
      <c r="B41" s="4" t="s">
        <v>652</v>
      </c>
      <c r="C41" s="15"/>
      <c r="D41" s="1"/>
      <c r="E41" s="1"/>
      <c r="F41" s="1"/>
      <c r="G41" s="2">
        <v>8000.0</v>
      </c>
    </row>
    <row r="42" ht="15.75" customHeight="1">
      <c r="A42" s="1"/>
      <c r="B42" s="4" t="s">
        <v>2273</v>
      </c>
      <c r="C42" s="15"/>
      <c r="D42" s="1"/>
      <c r="E42" s="1"/>
      <c r="F42" s="1"/>
      <c r="G42" s="2">
        <v>75000.0</v>
      </c>
    </row>
    <row r="43" ht="15.75" customHeight="1">
      <c r="A43" s="1"/>
      <c r="B43" s="4" t="s">
        <v>2274</v>
      </c>
      <c r="C43" s="15"/>
      <c r="D43" s="1"/>
      <c r="E43" s="1"/>
      <c r="F43" s="1"/>
      <c r="G43" s="2">
        <v>112580.0</v>
      </c>
    </row>
    <row r="44" ht="15.75" customHeight="1">
      <c r="A44" s="1"/>
      <c r="B44" s="4" t="s">
        <v>2275</v>
      </c>
      <c r="C44" s="15"/>
      <c r="D44" s="78"/>
      <c r="E44" s="1"/>
      <c r="F44" s="1"/>
      <c r="G44" s="79">
        <v>187500.0</v>
      </c>
    </row>
    <row r="45" ht="15.75" customHeight="1">
      <c r="A45" s="1"/>
      <c r="B45" s="4" t="s">
        <v>2276</v>
      </c>
      <c r="C45" s="15"/>
      <c r="D45" s="1"/>
      <c r="E45" s="1"/>
      <c r="F45" s="1"/>
      <c r="G45" s="2">
        <v>2000.0</v>
      </c>
    </row>
    <row r="46" ht="15.75" customHeight="1">
      <c r="A46" s="1"/>
      <c r="B46" s="4" t="s">
        <v>2277</v>
      </c>
      <c r="C46" s="15"/>
      <c r="D46" s="1"/>
      <c r="E46" s="1"/>
      <c r="F46" s="1"/>
      <c r="G46" s="2">
        <v>49700.0</v>
      </c>
    </row>
    <row r="47" ht="15.75" customHeight="1">
      <c r="A47" s="1"/>
      <c r="B47" s="4" t="s">
        <v>2253</v>
      </c>
      <c r="C47" s="15"/>
      <c r="D47" s="1"/>
      <c r="E47" s="1"/>
      <c r="F47" s="1"/>
      <c r="G47" s="2">
        <v>3000.0</v>
      </c>
    </row>
    <row r="48" ht="15.75" customHeight="1">
      <c r="A48" s="1"/>
      <c r="B48" s="4" t="s">
        <v>203</v>
      </c>
      <c r="C48" s="15"/>
      <c r="D48" s="1"/>
      <c r="E48" s="1"/>
      <c r="F48" s="1"/>
      <c r="G48" s="2">
        <v>6500.0</v>
      </c>
    </row>
    <row r="49" ht="15.75" customHeight="1">
      <c r="A49" s="1"/>
      <c r="B49" s="1" t="s">
        <v>2278</v>
      </c>
      <c r="C49" s="1"/>
      <c r="D49" s="1"/>
      <c r="E49" s="1"/>
      <c r="F49" s="1"/>
      <c r="G49" s="13">
        <v>98600.0</v>
      </c>
    </row>
    <row r="50" ht="15.75" customHeight="1">
      <c r="A50" s="1"/>
      <c r="B50" s="1" t="s">
        <v>2279</v>
      </c>
      <c r="C50" s="1"/>
      <c r="D50" s="1"/>
      <c r="E50" s="1"/>
      <c r="F50" s="1"/>
      <c r="G50" s="13">
        <v>43800.0</v>
      </c>
    </row>
    <row r="51" ht="15.75" customHeight="1">
      <c r="A51" s="1"/>
      <c r="B51" s="1" t="s">
        <v>2271</v>
      </c>
      <c r="C51" s="1"/>
      <c r="D51" s="1"/>
      <c r="E51" s="1"/>
      <c r="F51" s="1"/>
      <c r="G51" s="13">
        <v>30000.0</v>
      </c>
    </row>
    <row r="52" ht="15.75" customHeight="1">
      <c r="A52" s="1"/>
      <c r="B52" s="1" t="s">
        <v>2280</v>
      </c>
      <c r="C52" s="1"/>
      <c r="D52" s="1"/>
      <c r="E52" s="1"/>
      <c r="F52" s="1"/>
      <c r="G52" s="13">
        <v>21000.0</v>
      </c>
    </row>
    <row r="53" ht="15.75" customHeight="1">
      <c r="A53" s="1"/>
      <c r="B53" s="1" t="s">
        <v>2281</v>
      </c>
      <c r="C53" s="1"/>
      <c r="D53" s="1"/>
      <c r="E53" s="1"/>
      <c r="F53" s="1"/>
      <c r="G53" s="13">
        <v>39000.0</v>
      </c>
    </row>
    <row r="54" ht="15.75" customHeight="1">
      <c r="A54" s="1"/>
      <c r="B54" s="1" t="s">
        <v>2043</v>
      </c>
      <c r="C54" s="1"/>
      <c r="D54" s="1"/>
      <c r="E54" s="1"/>
      <c r="F54" s="1"/>
      <c r="G54" s="13">
        <v>4000.0</v>
      </c>
    </row>
    <row r="55" ht="15.75" customHeight="1">
      <c r="A55" s="1"/>
      <c r="B55" s="1" t="s">
        <v>2282</v>
      </c>
      <c r="C55" s="1"/>
      <c r="D55" s="1"/>
      <c r="E55" s="1"/>
      <c r="F55" s="1"/>
      <c r="G55" s="13">
        <v>1490.0</v>
      </c>
    </row>
    <row r="56" ht="15.75" customHeight="1">
      <c r="A56" s="1"/>
      <c r="B56" s="43" t="s">
        <v>43</v>
      </c>
      <c r="C56" s="1"/>
      <c r="D56" s="1"/>
      <c r="E56" s="1"/>
      <c r="F56" s="1"/>
      <c r="G56" s="18">
        <f>SUM(G32:G55)</f>
        <v>751069</v>
      </c>
    </row>
    <row r="57" ht="15.75" customHeight="1">
      <c r="A57" s="1"/>
      <c r="B57" s="19" t="s">
        <v>45</v>
      </c>
      <c r="C57" s="20"/>
      <c r="D57" s="20"/>
      <c r="E57" s="20"/>
      <c r="F57" s="20"/>
      <c r="G57" s="70">
        <f>SUM(G30+G56)</f>
        <v>2426069</v>
      </c>
    </row>
    <row r="58" ht="15.75" customHeight="1">
      <c r="A58" s="1"/>
      <c r="B58" s="4" t="s">
        <v>46</v>
      </c>
      <c r="C58" s="1"/>
      <c r="D58" s="1"/>
      <c r="E58" s="1"/>
      <c r="F58" s="1"/>
      <c r="G58" s="2"/>
    </row>
    <row r="59" ht="15.75" customHeight="1">
      <c r="A59" s="35" t="s">
        <v>2283</v>
      </c>
      <c r="B59" s="36"/>
      <c r="C59" s="37"/>
      <c r="D59" s="37"/>
      <c r="E59" s="37"/>
      <c r="F59" s="37"/>
      <c r="G59" s="71">
        <f>(G15-G57)</f>
        <v>-115069</v>
      </c>
    </row>
    <row r="60" ht="15.75" customHeight="1">
      <c r="A60" s="22" t="s">
        <v>254</v>
      </c>
      <c r="B60" s="43" t="s">
        <v>255</v>
      </c>
      <c r="C60" s="1"/>
      <c r="D60" s="1"/>
      <c r="E60" s="1"/>
      <c r="F60" s="1"/>
      <c r="G60" s="2"/>
    </row>
    <row r="61" ht="15.75" customHeight="1">
      <c r="A61" s="22"/>
      <c r="B61" s="43"/>
      <c r="C61" s="1"/>
      <c r="D61" s="1"/>
      <c r="E61" s="1"/>
      <c r="F61" s="1"/>
      <c r="G61" s="2"/>
    </row>
    <row r="62" ht="15.75" customHeight="1">
      <c r="A62" s="22"/>
      <c r="B62" s="43"/>
      <c r="C62" s="1"/>
      <c r="D62" s="1"/>
      <c r="E62" s="1"/>
      <c r="F62" s="1"/>
      <c r="G62" s="2"/>
      <c r="J62" s="67" t="s">
        <v>1585</v>
      </c>
    </row>
    <row r="63" ht="15.75" customHeight="1">
      <c r="A63" s="44"/>
      <c r="B63" s="72" t="s">
        <v>51</v>
      </c>
      <c r="C63" s="27"/>
      <c r="D63" s="27"/>
      <c r="E63" s="27"/>
      <c r="F63" s="27"/>
      <c r="G63" s="73"/>
    </row>
    <row r="64" ht="15.75" customHeight="1">
      <c r="A64" s="44"/>
      <c r="B64" s="45" t="s">
        <v>2284</v>
      </c>
      <c r="C64" s="45"/>
      <c r="D64" s="45"/>
      <c r="E64" s="46"/>
      <c r="F64" s="46"/>
      <c r="G64" s="47">
        <f>G4+G59-G63</f>
        <v>3722204</v>
      </c>
    </row>
    <row r="65" ht="15.75" customHeight="1">
      <c r="A65" s="1"/>
      <c r="B65" s="32" t="s">
        <v>2285</v>
      </c>
    </row>
    <row r="66" ht="15.75" customHeight="1">
      <c r="A66" s="1"/>
      <c r="B66" s="1"/>
      <c r="C66" s="1" t="s">
        <v>2227</v>
      </c>
      <c r="D66" s="1"/>
      <c r="E66" s="1"/>
      <c r="F66" s="1"/>
      <c r="G66" s="2">
        <v>0.0</v>
      </c>
    </row>
    <row r="67" ht="15.75" customHeight="1">
      <c r="A67" s="1"/>
      <c r="B67" s="1"/>
      <c r="C67" s="1" t="s">
        <v>1116</v>
      </c>
      <c r="D67" s="1"/>
      <c r="E67" s="1"/>
      <c r="F67" s="1"/>
      <c r="G67" s="2">
        <v>210300.0</v>
      </c>
    </row>
    <row r="68" ht="15.75" customHeight="1">
      <c r="A68" s="1"/>
      <c r="B68" s="1"/>
      <c r="C68" s="43" t="s">
        <v>115</v>
      </c>
      <c r="D68" s="1"/>
      <c r="E68" s="1"/>
      <c r="F68" s="1"/>
      <c r="G68" s="2">
        <v>210300.0</v>
      </c>
    </row>
    <row r="69" ht="15.75" customHeight="1">
      <c r="A69" s="1"/>
      <c r="B69" s="1"/>
      <c r="C69" s="43"/>
      <c r="D69" s="1"/>
      <c r="E69" s="1"/>
      <c r="F69" s="1"/>
      <c r="G69" s="2" t="s">
        <v>1585</v>
      </c>
    </row>
    <row r="70" ht="15.75" customHeight="1">
      <c r="A70" s="1"/>
      <c r="B70" s="43" t="s">
        <v>1825</v>
      </c>
      <c r="C70" s="43"/>
      <c r="D70" s="1"/>
      <c r="E70" s="1"/>
      <c r="F70" s="1"/>
      <c r="G70" s="2"/>
      <c r="H70" s="67" t="s">
        <v>480</v>
      </c>
    </row>
    <row r="71" ht="15.75" customHeight="1">
      <c r="A71" s="1"/>
      <c r="B71" s="43" t="s">
        <v>2286</v>
      </c>
      <c r="C71" s="43"/>
      <c r="D71" s="1"/>
      <c r="E71" s="1"/>
      <c r="F71" s="1"/>
      <c r="G71" s="1"/>
    </row>
    <row r="72" ht="15.75" customHeight="1">
      <c r="A72" s="1"/>
      <c r="B72" s="43" t="s">
        <v>2287</v>
      </c>
      <c r="C72" s="43"/>
      <c r="D72" s="1"/>
      <c r="E72" s="1"/>
      <c r="F72" s="1"/>
      <c r="G72" s="1"/>
    </row>
    <row r="73" ht="15.75" customHeight="1">
      <c r="A73" s="1"/>
      <c r="B73" s="43"/>
      <c r="C73" s="43"/>
      <c r="D73" s="1"/>
      <c r="E73" s="1"/>
      <c r="F73" s="1"/>
      <c r="G73" s="1"/>
    </row>
    <row r="74" ht="15.75" customHeight="1">
      <c r="A74" s="1"/>
      <c r="B74" s="33" t="s">
        <v>2288</v>
      </c>
      <c r="C74" s="1"/>
      <c r="D74" s="1"/>
      <c r="E74" s="1"/>
      <c r="F74" s="1"/>
      <c r="G74" s="2"/>
    </row>
    <row r="75" ht="15.75" customHeight="1">
      <c r="A75" s="1"/>
      <c r="B75" s="33"/>
      <c r="C75" s="1"/>
      <c r="D75" s="1"/>
      <c r="E75" s="1"/>
      <c r="F75" s="1"/>
      <c r="G75" s="2"/>
    </row>
    <row r="76" ht="15.75" customHeight="1">
      <c r="A76" s="1"/>
      <c r="B76" s="55" t="s">
        <v>531</v>
      </c>
      <c r="C76" s="56"/>
      <c r="D76" s="56"/>
      <c r="E76" s="56"/>
      <c r="F76" s="1"/>
      <c r="G76" s="2"/>
    </row>
    <row r="77" ht="15.75" customHeight="1">
      <c r="A77" s="1"/>
      <c r="B77" s="55"/>
      <c r="C77" s="56"/>
      <c r="D77" s="56"/>
      <c r="E77" s="56"/>
      <c r="F77" s="1"/>
      <c r="G77" s="2"/>
    </row>
    <row r="78" ht="15.75" customHeight="1">
      <c r="A78" s="1"/>
      <c r="B78" s="55" t="s">
        <v>2289</v>
      </c>
      <c r="C78" s="56"/>
      <c r="D78" s="56"/>
      <c r="E78" s="56"/>
      <c r="F78" s="1"/>
      <c r="G78" s="2"/>
    </row>
    <row r="79" ht="15.75" customHeight="1">
      <c r="A79" s="1"/>
      <c r="B79" s="55"/>
      <c r="C79" s="56"/>
      <c r="D79" s="56"/>
      <c r="E79" s="56"/>
      <c r="F79" s="1"/>
      <c r="G79" s="2"/>
    </row>
    <row r="80" ht="15.75" customHeight="1">
      <c r="A80" s="1"/>
      <c r="B80" s="55" t="s">
        <v>533</v>
      </c>
      <c r="F80" s="1"/>
      <c r="G80" s="2"/>
    </row>
    <row r="81" ht="15.75" customHeight="1">
      <c r="A81" s="1"/>
      <c r="B81" s="55"/>
      <c r="C81" s="55"/>
      <c r="D81" s="55"/>
      <c r="E81" s="55"/>
      <c r="F81" s="1"/>
      <c r="G81" s="2"/>
    </row>
    <row r="82" ht="15.75" customHeight="1">
      <c r="A82" s="1"/>
      <c r="B82" s="55" t="s">
        <v>2290</v>
      </c>
      <c r="C82" s="56"/>
      <c r="D82" s="57"/>
      <c r="E82" s="56"/>
      <c r="F82" s="1"/>
      <c r="G82" s="2"/>
    </row>
    <row r="83" ht="15.75" customHeight="1">
      <c r="A83" s="1"/>
      <c r="B83" s="55"/>
      <c r="C83" s="56"/>
      <c r="D83" s="57"/>
      <c r="E83" s="56"/>
      <c r="F83" s="1"/>
      <c r="G83" s="2"/>
    </row>
    <row r="84" ht="15.75" customHeight="1">
      <c r="A84" s="1"/>
      <c r="B84" s="55" t="s">
        <v>535</v>
      </c>
      <c r="C84" s="56"/>
      <c r="D84" s="57"/>
      <c r="E84" s="56"/>
      <c r="F84" s="1"/>
      <c r="G84" s="2"/>
    </row>
    <row r="85" ht="15.75" customHeight="1">
      <c r="A85" s="1"/>
      <c r="B85" s="55"/>
      <c r="C85" s="56"/>
      <c r="D85" s="57"/>
      <c r="E85" s="56"/>
      <c r="F85" s="1"/>
      <c r="G85" s="2"/>
    </row>
    <row r="86" ht="15.75" customHeight="1">
      <c r="B86" s="55" t="s">
        <v>536</v>
      </c>
      <c r="C86" s="56"/>
      <c r="D86" s="57"/>
      <c r="E86" s="5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5"/>
    <mergeCell ref="C14:D14"/>
    <mergeCell ref="B15:F15"/>
    <mergeCell ref="B65:G65"/>
    <mergeCell ref="B80:E80"/>
  </mergeCells>
  <printOptions/>
  <pageMargins bottom="0.75" footer="0.0" header="0.0" left="0.7" right="0.7" top="0.7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0"/>
    <col customWidth="1" min="8" max="26" width="10.71"/>
  </cols>
  <sheetData>
    <row r="2">
      <c r="A2" s="1" t="s">
        <v>721</v>
      </c>
      <c r="B2" s="3" t="s">
        <v>2291</v>
      </c>
      <c r="C2" s="1"/>
      <c r="D2" s="1"/>
      <c r="E2" s="1"/>
      <c r="F2" s="1"/>
      <c r="G2" s="2"/>
    </row>
    <row r="3">
      <c r="A3" s="1"/>
      <c r="B3" s="75" t="s">
        <v>2292</v>
      </c>
      <c r="G3" s="47">
        <v>3722204.0</v>
      </c>
    </row>
    <row r="4">
      <c r="A4" s="1"/>
      <c r="G4" s="2"/>
    </row>
    <row r="5">
      <c r="A5" s="6" t="s">
        <v>2293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517500.0</v>
      </c>
      <c r="G6" s="7">
        <v>96000.0</v>
      </c>
    </row>
    <row r="7">
      <c r="A7" s="1"/>
      <c r="B7" s="4" t="s">
        <v>64</v>
      </c>
      <c r="C7" s="1"/>
      <c r="D7" s="1"/>
      <c r="E7" s="1"/>
      <c r="F7" s="2">
        <v>629300.0</v>
      </c>
      <c r="G7" s="7">
        <v>103000.0</v>
      </c>
    </row>
    <row r="8">
      <c r="A8" s="1"/>
      <c r="B8" s="4" t="s">
        <v>65</v>
      </c>
      <c r="C8" s="1"/>
      <c r="D8" s="1"/>
      <c r="E8" s="1"/>
      <c r="F8" s="2">
        <v>221200.0</v>
      </c>
      <c r="G8" s="7">
        <v>46000.0</v>
      </c>
    </row>
    <row r="9">
      <c r="A9" s="1"/>
      <c r="B9" s="4" t="s">
        <v>66</v>
      </c>
      <c r="C9" s="1"/>
      <c r="D9" s="1"/>
      <c r="E9" s="1"/>
      <c r="F9" s="2">
        <v>483900.0</v>
      </c>
      <c r="G9" s="76">
        <v>87000.0</v>
      </c>
    </row>
    <row r="10">
      <c r="A10" s="1"/>
      <c r="B10" s="4" t="s">
        <v>67</v>
      </c>
      <c r="C10" s="1"/>
      <c r="D10" s="49" t="s">
        <v>8</v>
      </c>
      <c r="E10" s="49"/>
      <c r="F10" s="7">
        <v>221900.0</v>
      </c>
      <c r="G10" s="7">
        <v>27000.0</v>
      </c>
    </row>
    <row r="11">
      <c r="A11" s="1"/>
      <c r="B11" s="4" t="s">
        <v>2294</v>
      </c>
      <c r="C11" s="1"/>
      <c r="D11" s="49"/>
      <c r="E11" s="49"/>
      <c r="F11" s="7">
        <v>321000.0</v>
      </c>
      <c r="G11" s="7" t="s">
        <v>480</v>
      </c>
    </row>
    <row r="12">
      <c r="A12" s="1"/>
      <c r="B12" s="4" t="s">
        <v>2295</v>
      </c>
      <c r="C12" s="1"/>
      <c r="D12" s="49"/>
      <c r="E12" s="49"/>
      <c r="F12" s="7">
        <v>331250.0</v>
      </c>
      <c r="G12" s="7"/>
    </row>
    <row r="13">
      <c r="A13" s="1"/>
      <c r="B13" s="4"/>
      <c r="C13" s="50" t="s">
        <v>405</v>
      </c>
      <c r="E13" s="4"/>
      <c r="F13" s="2">
        <f>SUM(F6:F12)</f>
        <v>2726050</v>
      </c>
      <c r="G13" s="7">
        <f>SUM(G6:G10)</f>
        <v>359000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3085050</v>
      </c>
    </row>
    <row r="15">
      <c r="A15" s="6" t="s">
        <v>2296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2016</v>
      </c>
      <c r="C17" s="1"/>
      <c r="D17" s="1"/>
      <c r="E17" s="1"/>
      <c r="F17" s="1"/>
      <c r="G17" s="77">
        <v>192600.0</v>
      </c>
    </row>
    <row r="18">
      <c r="A18" s="1"/>
      <c r="B18" s="4" t="s">
        <v>1594</v>
      </c>
      <c r="C18" s="1"/>
      <c r="D18" s="1"/>
      <c r="E18" s="1"/>
      <c r="F18" s="1"/>
      <c r="G18" s="77">
        <v>150000.0</v>
      </c>
    </row>
    <row r="19">
      <c r="A19" s="1"/>
      <c r="B19" s="4" t="s">
        <v>13</v>
      </c>
      <c r="C19" s="1"/>
      <c r="D19" s="1"/>
      <c r="E19" s="1"/>
      <c r="F19" s="1"/>
      <c r="G19" s="13">
        <v>150000.0</v>
      </c>
    </row>
    <row r="20">
      <c r="A20" s="1"/>
      <c r="B20" s="4" t="s">
        <v>14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150000.0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125000.0</v>
      </c>
    </row>
    <row r="25" ht="15.75" customHeight="1">
      <c r="A25" s="1"/>
      <c r="B25" s="4" t="s">
        <v>2149</v>
      </c>
      <c r="C25" s="1"/>
      <c r="D25" s="1"/>
      <c r="E25" s="1"/>
      <c r="F25" s="1"/>
      <c r="G25" s="77">
        <v>100000.0</v>
      </c>
    </row>
    <row r="26" ht="15.75" customHeight="1">
      <c r="A26" s="1"/>
      <c r="B26" s="4" t="s">
        <v>2241</v>
      </c>
      <c r="C26" s="1"/>
      <c r="D26" s="1"/>
      <c r="E26" s="1"/>
      <c r="F26" s="1"/>
      <c r="G26" s="77">
        <v>0.0</v>
      </c>
    </row>
    <row r="27" ht="15.75" customHeight="1">
      <c r="A27" s="1"/>
      <c r="B27" s="4" t="s">
        <v>2242</v>
      </c>
      <c r="C27" s="1"/>
      <c r="D27" s="1"/>
      <c r="E27" s="1"/>
      <c r="F27" s="1"/>
      <c r="G27" s="77">
        <v>200000.0</v>
      </c>
    </row>
    <row r="28" ht="15.75" customHeight="1">
      <c r="A28" s="1"/>
      <c r="B28" s="9" t="s">
        <v>18</v>
      </c>
      <c r="C28" s="10"/>
      <c r="D28" s="10"/>
      <c r="E28" s="10"/>
      <c r="F28" s="10"/>
      <c r="G28" s="69">
        <f>SUM(G17:G27)</f>
        <v>1442600</v>
      </c>
    </row>
    <row r="29" ht="15.75" customHeight="1">
      <c r="A29" s="1"/>
      <c r="B29" s="12" t="s">
        <v>19</v>
      </c>
      <c r="C29" s="15"/>
      <c r="D29" s="1"/>
      <c r="E29" s="1"/>
      <c r="F29" s="1"/>
      <c r="G29" s="2"/>
    </row>
    <row r="30" ht="15.75" customHeight="1">
      <c r="A30" s="1"/>
      <c r="B30" s="4" t="s">
        <v>480</v>
      </c>
      <c r="C30" s="15"/>
      <c r="D30" s="1"/>
      <c r="E30" s="1"/>
      <c r="F30" s="1"/>
      <c r="G30" s="2"/>
    </row>
    <row r="31" ht="15.75" customHeight="1">
      <c r="A31" s="1"/>
      <c r="B31" s="4" t="s">
        <v>2297</v>
      </c>
      <c r="C31" s="15"/>
      <c r="D31" s="1"/>
      <c r="E31" s="1"/>
      <c r="F31" s="1"/>
      <c r="G31" s="2">
        <v>9000.0</v>
      </c>
    </row>
    <row r="32" ht="15.75" customHeight="1">
      <c r="A32" s="1"/>
      <c r="B32" s="4" t="s">
        <v>2298</v>
      </c>
      <c r="C32" s="15"/>
      <c r="D32" s="1"/>
      <c r="E32" s="1"/>
      <c r="F32" s="1"/>
      <c r="G32" s="2">
        <v>24400.0</v>
      </c>
    </row>
    <row r="33" ht="15.75" customHeight="1">
      <c r="A33" s="1"/>
      <c r="B33" s="4" t="s">
        <v>463</v>
      </c>
      <c r="C33" s="15"/>
      <c r="D33" s="1"/>
      <c r="E33" s="1"/>
      <c r="F33" s="1"/>
      <c r="G33" s="2">
        <v>10000.0</v>
      </c>
    </row>
    <row r="34" ht="15.75" customHeight="1">
      <c r="A34" s="1"/>
      <c r="B34" s="4" t="s">
        <v>1337</v>
      </c>
      <c r="C34" s="15"/>
      <c r="D34" s="1"/>
      <c r="E34" s="1"/>
      <c r="F34" s="1"/>
      <c r="G34" s="2">
        <v>50000.0</v>
      </c>
    </row>
    <row r="35" ht="15.75" customHeight="1">
      <c r="A35" s="1"/>
      <c r="B35" s="4" t="s">
        <v>2299</v>
      </c>
      <c r="C35" s="15"/>
      <c r="D35" s="1"/>
      <c r="E35" s="1"/>
      <c r="F35" s="1"/>
      <c r="G35" s="2">
        <v>47000.0</v>
      </c>
    </row>
    <row r="36" ht="15.75" customHeight="1">
      <c r="A36" s="1"/>
      <c r="B36" s="4" t="s">
        <v>2300</v>
      </c>
      <c r="C36" s="15"/>
      <c r="D36" s="1"/>
      <c r="E36" s="1"/>
      <c r="F36" s="1"/>
      <c r="G36" s="2">
        <v>75000.0</v>
      </c>
    </row>
    <row r="37" ht="15.75" customHeight="1">
      <c r="A37" s="1"/>
      <c r="B37" s="4" t="s">
        <v>1781</v>
      </c>
      <c r="C37" s="15"/>
      <c r="D37" s="1"/>
      <c r="E37" s="1"/>
      <c r="F37" s="1"/>
      <c r="G37" s="2">
        <v>100000.0</v>
      </c>
    </row>
    <row r="38" ht="15.75" customHeight="1">
      <c r="A38" s="1"/>
      <c r="B38" s="4" t="s">
        <v>2301</v>
      </c>
      <c r="C38" s="15"/>
      <c r="D38" s="1"/>
      <c r="E38" s="1"/>
      <c r="F38" s="1"/>
      <c r="G38" s="2">
        <v>187500.0</v>
      </c>
    </row>
    <row r="39" ht="15.75" customHeight="1">
      <c r="A39" s="1"/>
      <c r="B39" s="4" t="s">
        <v>2302</v>
      </c>
      <c r="C39" s="15"/>
      <c r="D39" s="1"/>
      <c r="E39" s="1"/>
      <c r="F39" s="1"/>
      <c r="G39" s="2">
        <v>120000.0</v>
      </c>
    </row>
    <row r="40" ht="15.75" customHeight="1">
      <c r="A40" s="1"/>
      <c r="B40" s="4" t="s">
        <v>2163</v>
      </c>
      <c r="C40" s="15"/>
      <c r="D40" s="1"/>
      <c r="E40" s="1"/>
      <c r="F40" s="1"/>
      <c r="G40" s="2">
        <v>5000.0</v>
      </c>
    </row>
    <row r="41" ht="15.75" customHeight="1">
      <c r="A41" s="1"/>
      <c r="B41" s="4" t="s">
        <v>2303</v>
      </c>
      <c r="C41" s="15"/>
      <c r="D41" s="1"/>
      <c r="E41" s="1"/>
      <c r="F41" s="1"/>
      <c r="G41" s="2">
        <v>20000.0</v>
      </c>
    </row>
    <row r="42" ht="15.75" customHeight="1">
      <c r="A42" s="1"/>
      <c r="B42" s="4" t="s">
        <v>2304</v>
      </c>
      <c r="C42" s="15"/>
      <c r="D42" s="78"/>
      <c r="E42" s="1"/>
      <c r="F42" s="1"/>
      <c r="G42" s="79">
        <v>9000.0</v>
      </c>
    </row>
    <row r="43" ht="15.75" customHeight="1">
      <c r="A43" s="1"/>
      <c r="B43" s="4" t="s">
        <v>2305</v>
      </c>
      <c r="C43" s="15"/>
      <c r="D43" s="1"/>
      <c r="E43" s="1"/>
      <c r="F43" s="1"/>
      <c r="G43" s="2">
        <v>120000.0</v>
      </c>
    </row>
    <row r="44" ht="15.75" customHeight="1">
      <c r="A44" s="1"/>
      <c r="B44" s="4" t="s">
        <v>2306</v>
      </c>
      <c r="C44" s="15"/>
      <c r="D44" s="1"/>
      <c r="E44" s="1"/>
      <c r="F44" s="1"/>
      <c r="G44" s="2">
        <v>20000.0</v>
      </c>
    </row>
    <row r="45" ht="15.75" customHeight="1">
      <c r="A45" s="1"/>
      <c r="B45" s="4" t="s">
        <v>2307</v>
      </c>
      <c r="C45" s="15"/>
      <c r="D45" s="1"/>
      <c r="E45" s="1"/>
      <c r="F45" s="1"/>
      <c r="G45" s="2">
        <v>5000.0</v>
      </c>
    </row>
    <row r="46" ht="15.75" customHeight="1">
      <c r="A46" s="1"/>
      <c r="B46" s="4" t="s">
        <v>2308</v>
      </c>
      <c r="C46" s="15"/>
      <c r="D46" s="1"/>
      <c r="E46" s="1"/>
      <c r="F46" s="1"/>
      <c r="G46" s="2">
        <v>30300.0</v>
      </c>
    </row>
    <row r="47" ht="15.75" customHeight="1">
      <c r="A47" s="1"/>
      <c r="B47" s="1" t="s">
        <v>2309</v>
      </c>
      <c r="C47" s="1"/>
      <c r="D47" s="1"/>
      <c r="E47" s="1"/>
      <c r="F47" s="1"/>
      <c r="G47" s="13">
        <v>7000.0</v>
      </c>
    </row>
    <row r="48" ht="15.75" customHeight="1">
      <c r="A48" s="1"/>
      <c r="B48" s="1" t="s">
        <v>2310</v>
      </c>
      <c r="C48" s="1"/>
      <c r="D48" s="1"/>
      <c r="E48" s="1"/>
      <c r="F48" s="1"/>
      <c r="G48" s="13">
        <v>125000.0</v>
      </c>
    </row>
    <row r="49" ht="15.75" customHeight="1">
      <c r="A49" s="1"/>
      <c r="B49" s="1" t="s">
        <v>2311</v>
      </c>
      <c r="C49" s="1"/>
      <c r="D49" s="1"/>
      <c r="E49" s="1"/>
      <c r="F49" s="1"/>
      <c r="G49" s="13">
        <v>30000.0</v>
      </c>
    </row>
    <row r="50" ht="15.75" customHeight="1">
      <c r="A50" s="1"/>
      <c r="B50" s="1" t="s">
        <v>2312</v>
      </c>
      <c r="C50" s="1"/>
      <c r="D50" s="1"/>
      <c r="E50" s="1"/>
      <c r="F50" s="1"/>
      <c r="G50" s="13">
        <v>43350.0</v>
      </c>
    </row>
    <row r="51" ht="15.75" customHeight="1">
      <c r="A51" s="1"/>
      <c r="B51" s="1" t="s">
        <v>2313</v>
      </c>
      <c r="C51" s="1"/>
      <c r="D51" s="1"/>
      <c r="E51" s="1"/>
      <c r="F51" s="1"/>
      <c r="G51" s="13">
        <v>12000.0</v>
      </c>
      <c r="H51" s="67" t="s">
        <v>1585</v>
      </c>
    </row>
    <row r="52" ht="15.75" customHeight="1">
      <c r="A52" s="1"/>
      <c r="B52" s="1" t="s">
        <v>2314</v>
      </c>
      <c r="C52" s="1"/>
      <c r="D52" s="1"/>
      <c r="E52" s="1"/>
      <c r="F52" s="1"/>
      <c r="G52" s="13">
        <v>31250.0</v>
      </c>
    </row>
    <row r="53" ht="15.75" customHeight="1">
      <c r="A53" s="1"/>
      <c r="B53" s="1" t="s">
        <v>203</v>
      </c>
      <c r="C53" s="1"/>
      <c r="D53" s="1"/>
      <c r="E53" s="1"/>
      <c r="F53" s="1"/>
      <c r="G53" s="13">
        <v>6500.0</v>
      </c>
    </row>
    <row r="54" ht="15.75" customHeight="1">
      <c r="A54" s="1"/>
      <c r="B54" s="1" t="s">
        <v>2315</v>
      </c>
      <c r="C54" s="1"/>
      <c r="D54" s="1"/>
      <c r="E54" s="1"/>
      <c r="F54" s="1"/>
      <c r="G54" s="13">
        <v>30000.0</v>
      </c>
    </row>
    <row r="55" ht="15.75" customHeight="1">
      <c r="A55" s="1"/>
      <c r="B55" s="1" t="s">
        <v>2316</v>
      </c>
      <c r="C55" s="1"/>
      <c r="D55" s="1"/>
      <c r="E55" s="1"/>
      <c r="F55" s="1"/>
      <c r="G55" s="13">
        <v>2000.0</v>
      </c>
    </row>
    <row r="56" ht="15.75" customHeight="1">
      <c r="A56" s="1"/>
      <c r="B56" s="1" t="s">
        <v>2317</v>
      </c>
      <c r="C56" s="1"/>
      <c r="D56" s="1"/>
      <c r="E56" s="1"/>
      <c r="F56" s="1"/>
      <c r="G56" s="13">
        <v>47000.0</v>
      </c>
    </row>
    <row r="57" ht="15.75" customHeight="1">
      <c r="A57" s="1"/>
      <c r="B57" s="1" t="s">
        <v>2318</v>
      </c>
      <c r="C57" s="1"/>
      <c r="D57" s="1"/>
      <c r="E57" s="1"/>
      <c r="F57" s="1"/>
      <c r="G57" s="13">
        <v>130000.0</v>
      </c>
    </row>
    <row r="58" ht="15.75" customHeight="1">
      <c r="A58" s="1"/>
      <c r="B58" s="1" t="s">
        <v>2319</v>
      </c>
      <c r="C58" s="1"/>
      <c r="D58" s="1"/>
      <c r="E58" s="1"/>
      <c r="F58" s="1"/>
      <c r="G58" s="13">
        <v>100000.0</v>
      </c>
    </row>
    <row r="59" ht="15.75" customHeight="1">
      <c r="A59" s="1"/>
      <c r="B59" s="1" t="s">
        <v>2320</v>
      </c>
      <c r="C59" s="1"/>
      <c r="D59" s="1"/>
      <c r="E59" s="1"/>
      <c r="F59" s="1"/>
      <c r="G59" s="13">
        <v>60000.0</v>
      </c>
    </row>
    <row r="60" ht="15.75" customHeight="1">
      <c r="A60" s="1"/>
      <c r="B60" s="1" t="s">
        <v>2321</v>
      </c>
      <c r="C60" s="1"/>
      <c r="D60" s="1"/>
      <c r="E60" s="1"/>
      <c r="F60" s="1"/>
      <c r="G60" s="13">
        <v>65250.0</v>
      </c>
    </row>
    <row r="61" ht="15.75" customHeight="1">
      <c r="A61" s="1"/>
      <c r="B61" s="1" t="s">
        <v>2322</v>
      </c>
      <c r="C61" s="1"/>
      <c r="D61" s="1"/>
      <c r="E61" s="1"/>
      <c r="F61" s="1"/>
      <c r="G61" s="13">
        <v>6000.0</v>
      </c>
    </row>
    <row r="62" ht="15.75" customHeight="1">
      <c r="A62" s="1"/>
      <c r="B62" s="1" t="s">
        <v>2323</v>
      </c>
      <c r="C62" s="1"/>
      <c r="D62" s="1"/>
      <c r="E62" s="1"/>
      <c r="F62" s="1"/>
      <c r="G62" s="13">
        <v>294800.0</v>
      </c>
    </row>
    <row r="63" ht="15.75" customHeight="1">
      <c r="A63" s="1"/>
      <c r="B63" s="1" t="s">
        <v>2324</v>
      </c>
      <c r="C63" s="1"/>
      <c r="D63" s="1"/>
      <c r="E63" s="1"/>
      <c r="F63" s="1"/>
      <c r="G63" s="13">
        <v>78700.0</v>
      </c>
    </row>
    <row r="64" ht="15.75" customHeight="1">
      <c r="A64" s="1"/>
      <c r="B64" s="1" t="s">
        <v>2325</v>
      </c>
      <c r="C64" s="1"/>
      <c r="D64" s="1"/>
      <c r="E64" s="1"/>
      <c r="F64" s="1"/>
      <c r="G64" s="13">
        <v>65250.0</v>
      </c>
    </row>
    <row r="65" ht="15.75" customHeight="1">
      <c r="A65" s="1"/>
      <c r="B65" s="1" t="s">
        <v>2326</v>
      </c>
      <c r="C65" s="1"/>
      <c r="D65" s="1"/>
      <c r="E65" s="1"/>
      <c r="F65" s="1"/>
      <c r="G65" s="13">
        <v>494200.0</v>
      </c>
    </row>
    <row r="66" ht="15.75" customHeight="1">
      <c r="A66" s="1"/>
      <c r="B66" s="1" t="s">
        <v>2327</v>
      </c>
      <c r="C66" s="1"/>
      <c r="D66" s="1"/>
      <c r="E66" s="1"/>
      <c r="F66" s="1"/>
      <c r="G66" s="13">
        <v>65250.0</v>
      </c>
    </row>
    <row r="67" ht="15.75" customHeight="1">
      <c r="A67" s="1"/>
      <c r="B67" s="1"/>
      <c r="C67" s="1"/>
      <c r="D67" s="1"/>
      <c r="E67" s="1"/>
      <c r="F67" s="1"/>
      <c r="G67" s="13"/>
    </row>
    <row r="68" ht="15.75" customHeight="1">
      <c r="A68" s="1"/>
      <c r="B68" s="43" t="s">
        <v>43</v>
      </c>
      <c r="C68" s="1"/>
      <c r="D68" s="1"/>
      <c r="E68" s="1"/>
      <c r="F68" s="1"/>
      <c r="G68" s="18">
        <f>SUM(G31:G66)</f>
        <v>2525750</v>
      </c>
      <c r="S68" s="67" t="s">
        <v>480</v>
      </c>
    </row>
    <row r="69" ht="15.75" customHeight="1">
      <c r="A69" s="1"/>
      <c r="B69" s="19" t="s">
        <v>45</v>
      </c>
      <c r="C69" s="20"/>
      <c r="D69" s="20"/>
      <c r="E69" s="20"/>
      <c r="F69" s="20"/>
      <c r="G69" s="70">
        <f>SUM(G28+G68)</f>
        <v>3968350</v>
      </c>
    </row>
    <row r="70" ht="15.75" customHeight="1">
      <c r="A70" s="1"/>
      <c r="B70" s="4" t="s">
        <v>46</v>
      </c>
      <c r="C70" s="1"/>
      <c r="D70" s="1"/>
      <c r="E70" s="1"/>
      <c r="F70" s="1"/>
      <c r="G70" s="2"/>
    </row>
    <row r="71" ht="15.75" customHeight="1">
      <c r="A71" s="35" t="s">
        <v>2328</v>
      </c>
      <c r="B71" s="36"/>
      <c r="C71" s="37"/>
      <c r="D71" s="37"/>
      <c r="E71" s="37"/>
      <c r="F71" s="37"/>
      <c r="G71" s="71">
        <f>(G14-G69)</f>
        <v>-883300</v>
      </c>
      <c r="M71" s="67" t="s">
        <v>480</v>
      </c>
    </row>
    <row r="72" ht="15.75" customHeight="1">
      <c r="A72" s="22" t="s">
        <v>254</v>
      </c>
      <c r="B72" s="43" t="s">
        <v>255</v>
      </c>
      <c r="C72" s="1"/>
      <c r="D72" s="1"/>
      <c r="E72" s="1"/>
      <c r="F72" s="1"/>
      <c r="G72" s="2"/>
    </row>
    <row r="73" ht="15.75" customHeight="1">
      <c r="A73" s="22"/>
      <c r="B73" s="43"/>
      <c r="C73" s="1"/>
      <c r="D73" s="1"/>
      <c r="E73" s="1"/>
      <c r="F73" s="1"/>
      <c r="G73" s="2"/>
    </row>
    <row r="74" ht="15.75" customHeight="1">
      <c r="A74" s="22"/>
      <c r="B74" s="43"/>
      <c r="C74" s="1"/>
      <c r="D74" s="1"/>
      <c r="E74" s="1"/>
      <c r="F74" s="1"/>
      <c r="G74" s="2"/>
      <c r="R74" s="67" t="s">
        <v>480</v>
      </c>
    </row>
    <row r="75" ht="15.75" customHeight="1">
      <c r="A75" s="44"/>
      <c r="B75" s="72" t="s">
        <v>51</v>
      </c>
      <c r="C75" s="27"/>
      <c r="D75" s="27"/>
      <c r="E75" s="27"/>
      <c r="F75" s="27"/>
      <c r="G75" s="73"/>
    </row>
    <row r="76" ht="15.75" customHeight="1">
      <c r="A76" s="44"/>
      <c r="B76" s="45" t="s">
        <v>2329</v>
      </c>
      <c r="C76" s="45"/>
      <c r="D76" s="45"/>
      <c r="E76" s="46"/>
      <c r="F76" s="46"/>
      <c r="G76" s="47">
        <f>G3+G71-G75</f>
        <v>2838904</v>
      </c>
    </row>
    <row r="77" ht="15.75" customHeight="1">
      <c r="A77" s="1"/>
      <c r="B77" s="32" t="s">
        <v>2330</v>
      </c>
    </row>
    <row r="78" ht="15.75" customHeight="1">
      <c r="A78" s="1"/>
      <c r="B78" s="1"/>
      <c r="C78" s="1" t="s">
        <v>2227</v>
      </c>
      <c r="D78" s="1"/>
      <c r="E78" s="1"/>
      <c r="F78" s="1"/>
      <c r="G78" s="2">
        <v>0.0</v>
      </c>
      <c r="J78" s="67" t="s">
        <v>480</v>
      </c>
    </row>
    <row r="79" ht="15.75" customHeight="1">
      <c r="A79" s="1"/>
      <c r="B79" s="1"/>
      <c r="C79" s="1" t="s">
        <v>1425</v>
      </c>
      <c r="D79" s="1"/>
      <c r="E79" s="1"/>
      <c r="F79" s="1"/>
      <c r="G79" s="2">
        <v>503500.0</v>
      </c>
    </row>
    <row r="80" ht="15.75" customHeight="1">
      <c r="A80" s="1"/>
      <c r="B80" s="1"/>
      <c r="C80" s="43" t="s">
        <v>115</v>
      </c>
      <c r="D80" s="1"/>
      <c r="E80" s="1"/>
      <c r="F80" s="1"/>
      <c r="G80" s="2">
        <v>503500.0</v>
      </c>
    </row>
    <row r="81" ht="15.75" customHeight="1">
      <c r="A81" s="1"/>
      <c r="B81" s="1"/>
      <c r="C81" s="43"/>
      <c r="D81" s="1"/>
      <c r="E81" s="1"/>
      <c r="F81" s="1"/>
      <c r="G81" s="2" t="s">
        <v>1585</v>
      </c>
    </row>
    <row r="82" ht="15.75" customHeight="1">
      <c r="A82" s="1"/>
      <c r="B82" s="43" t="s">
        <v>1825</v>
      </c>
      <c r="C82" s="43"/>
      <c r="D82" s="1"/>
      <c r="E82" s="1"/>
      <c r="F82" s="1"/>
      <c r="G82" s="2"/>
    </row>
    <row r="83" ht="15.75" customHeight="1">
      <c r="A83" s="1"/>
      <c r="B83" s="43" t="s">
        <v>2286</v>
      </c>
      <c r="C83" s="43"/>
      <c r="D83" s="1"/>
      <c r="E83" s="1"/>
      <c r="F83" s="1"/>
      <c r="G83" s="1"/>
    </row>
    <row r="84" ht="15.75" customHeight="1">
      <c r="A84" s="1"/>
      <c r="B84" s="43" t="s">
        <v>2287</v>
      </c>
      <c r="C84" s="43"/>
      <c r="D84" s="1"/>
      <c r="E84" s="1"/>
      <c r="F84" s="1"/>
      <c r="G84" s="1"/>
    </row>
    <row r="85" ht="15.75" customHeight="1">
      <c r="A85" s="1"/>
      <c r="B85" s="43"/>
      <c r="C85" s="43"/>
      <c r="D85" s="1"/>
      <c r="E85" s="1"/>
      <c r="F85" s="1"/>
      <c r="G85" s="1"/>
    </row>
    <row r="86" ht="15.75" customHeight="1">
      <c r="A86" s="1"/>
      <c r="B86" s="33" t="s">
        <v>2331</v>
      </c>
      <c r="C86" s="1"/>
      <c r="D86" s="1"/>
      <c r="E86" s="1"/>
      <c r="F86" s="1"/>
      <c r="G86" s="2"/>
    </row>
    <row r="87" ht="15.75" customHeight="1">
      <c r="A87" s="1"/>
      <c r="B87" s="33"/>
      <c r="C87" s="1"/>
      <c r="D87" s="1"/>
      <c r="E87" s="1"/>
      <c r="F87" s="1"/>
      <c r="G87" s="2"/>
    </row>
    <row r="88" ht="15.75" customHeight="1">
      <c r="A88" s="1"/>
      <c r="B88" s="55" t="s">
        <v>531</v>
      </c>
      <c r="C88" s="56"/>
      <c r="D88" s="56"/>
      <c r="E88" s="56"/>
      <c r="F88" s="1"/>
      <c r="G88" s="2"/>
    </row>
    <row r="89" ht="15.75" customHeight="1">
      <c r="A89" s="1"/>
      <c r="B89" s="55"/>
      <c r="C89" s="56"/>
      <c r="D89" s="56"/>
      <c r="E89" s="56"/>
      <c r="F89" s="1"/>
      <c r="G89" s="2"/>
    </row>
    <row r="90" ht="15.75" customHeight="1">
      <c r="A90" s="1"/>
      <c r="B90" s="55" t="s">
        <v>2332</v>
      </c>
      <c r="C90" s="56"/>
      <c r="D90" s="56"/>
      <c r="E90" s="56"/>
      <c r="F90" s="1"/>
      <c r="G90" s="2"/>
    </row>
    <row r="91" ht="15.75" customHeight="1">
      <c r="A91" s="1"/>
      <c r="B91" s="55"/>
      <c r="C91" s="56"/>
      <c r="D91" s="56"/>
      <c r="E91" s="56"/>
      <c r="F91" s="1"/>
      <c r="G91" s="2"/>
    </row>
    <row r="92" ht="15.75" customHeight="1">
      <c r="A92" s="1"/>
      <c r="B92" s="55" t="s">
        <v>533</v>
      </c>
      <c r="F92" s="1"/>
      <c r="G92" s="2"/>
    </row>
    <row r="93" ht="15.75" customHeight="1">
      <c r="A93" s="1"/>
      <c r="B93" s="55"/>
      <c r="C93" s="55"/>
      <c r="D93" s="55"/>
      <c r="E93" s="55"/>
      <c r="F93" s="1"/>
      <c r="G93" s="2"/>
    </row>
    <row r="94" ht="15.75" customHeight="1">
      <c r="A94" s="1"/>
      <c r="B94" s="55" t="s">
        <v>2333</v>
      </c>
      <c r="C94" s="56"/>
      <c r="D94" s="57"/>
      <c r="E94" s="56"/>
      <c r="F94" s="1"/>
      <c r="G94" s="2"/>
    </row>
    <row r="95" ht="15.75" customHeight="1">
      <c r="A95" s="1"/>
      <c r="B95" s="55"/>
      <c r="C95" s="56"/>
      <c r="D95" s="57"/>
      <c r="E95" s="56"/>
      <c r="F95" s="1"/>
      <c r="G95" s="2"/>
    </row>
    <row r="96" ht="15.75" customHeight="1">
      <c r="A96" s="1"/>
      <c r="B96" s="55" t="s">
        <v>535</v>
      </c>
      <c r="C96" s="56"/>
      <c r="D96" s="57"/>
      <c r="E96" s="56"/>
      <c r="F96" s="1"/>
      <c r="G96" s="2"/>
    </row>
    <row r="97" ht="15.75" customHeight="1">
      <c r="A97" s="1"/>
      <c r="B97" s="55"/>
      <c r="C97" s="56"/>
      <c r="D97" s="57"/>
      <c r="E97" s="56"/>
      <c r="F97" s="1"/>
      <c r="G97" s="2"/>
    </row>
    <row r="98" ht="15.75" customHeight="1">
      <c r="B98" s="55" t="s">
        <v>536</v>
      </c>
      <c r="C98" s="56"/>
      <c r="D98" s="57"/>
      <c r="E98" s="57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3:D13"/>
    <mergeCell ref="B14:F14"/>
    <mergeCell ref="B77:G77"/>
    <mergeCell ref="B92:E92"/>
  </mergeCells>
  <printOptions/>
  <pageMargins bottom="0.75" footer="0.0" header="0.0" left="0.7" right="0.7" top="0.7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0"/>
    <col customWidth="1" min="8" max="26" width="10.71"/>
  </cols>
  <sheetData>
    <row r="2">
      <c r="A2" s="1" t="s">
        <v>721</v>
      </c>
      <c r="B2" s="3" t="s">
        <v>2334</v>
      </c>
      <c r="C2" s="1"/>
      <c r="D2" s="1"/>
      <c r="E2" s="1"/>
      <c r="F2" s="1"/>
      <c r="G2" s="2"/>
    </row>
    <row r="3">
      <c r="A3" s="1"/>
      <c r="B3" s="75" t="s">
        <v>2335</v>
      </c>
      <c r="G3" s="47">
        <v>2838904.0</v>
      </c>
    </row>
    <row r="4">
      <c r="A4" s="1"/>
      <c r="G4" s="2"/>
    </row>
    <row r="5">
      <c r="A5" s="6" t="s">
        <v>2336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20100.0</v>
      </c>
      <c r="G6" s="7">
        <v>0.0</v>
      </c>
    </row>
    <row r="7">
      <c r="A7" s="1"/>
      <c r="B7" s="4" t="s">
        <v>64</v>
      </c>
      <c r="C7" s="1"/>
      <c r="D7" s="1"/>
      <c r="E7" s="1"/>
      <c r="F7" s="2">
        <v>307700.0</v>
      </c>
      <c r="G7" s="7">
        <v>67000.0</v>
      </c>
    </row>
    <row r="8">
      <c r="A8" s="1"/>
      <c r="B8" s="4" t="s">
        <v>65</v>
      </c>
      <c r="C8" s="1"/>
      <c r="D8" s="1"/>
      <c r="E8" s="1"/>
      <c r="F8" s="2">
        <v>320400.0</v>
      </c>
      <c r="G8" s="7">
        <v>86000.0</v>
      </c>
    </row>
    <row r="9">
      <c r="A9" s="1"/>
      <c r="B9" s="4" t="s">
        <v>66</v>
      </c>
      <c r="C9" s="1"/>
      <c r="D9" s="1"/>
      <c r="E9" s="1"/>
      <c r="F9" s="2">
        <v>483700.0</v>
      </c>
      <c r="G9" s="76">
        <v>98000.0</v>
      </c>
    </row>
    <row r="10">
      <c r="A10" s="1"/>
      <c r="B10" s="4" t="s">
        <v>67</v>
      </c>
      <c r="C10" s="1"/>
      <c r="D10" s="49" t="s">
        <v>8</v>
      </c>
      <c r="E10" s="49"/>
      <c r="F10" s="7">
        <v>80200.0</v>
      </c>
      <c r="G10" s="7">
        <v>28000.0</v>
      </c>
    </row>
    <row r="11">
      <c r="A11" s="1"/>
      <c r="B11" s="4" t="s">
        <v>2337</v>
      </c>
      <c r="C11" s="1"/>
      <c r="D11" s="49"/>
      <c r="E11" s="49"/>
      <c r="F11" s="7">
        <v>277000.0</v>
      </c>
      <c r="G11" s="7" t="s">
        <v>480</v>
      </c>
    </row>
    <row r="12">
      <c r="A12" s="1"/>
      <c r="B12" s="4" t="s">
        <v>2295</v>
      </c>
      <c r="C12" s="1"/>
      <c r="D12" s="49"/>
      <c r="E12" s="49"/>
      <c r="F12" s="7">
        <v>285000.0</v>
      </c>
      <c r="G12" s="7"/>
    </row>
    <row r="13">
      <c r="A13" s="1"/>
      <c r="B13" s="4"/>
      <c r="C13" s="50" t="s">
        <v>405</v>
      </c>
      <c r="E13" s="4"/>
      <c r="F13" s="2">
        <f>SUM(F6:F12)</f>
        <v>1774100</v>
      </c>
      <c r="G13" s="7">
        <f>SUM(G6:G10)</f>
        <v>279000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2053100</v>
      </c>
    </row>
    <row r="15">
      <c r="A15" s="6" t="s">
        <v>2338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2016</v>
      </c>
      <c r="C17" s="1"/>
      <c r="D17" s="1"/>
      <c r="E17" s="1"/>
      <c r="F17" s="1"/>
      <c r="G17" s="77">
        <v>166200.0</v>
      </c>
    </row>
    <row r="18">
      <c r="A18" s="1"/>
      <c r="B18" s="4" t="s">
        <v>1594</v>
      </c>
      <c r="C18" s="1"/>
      <c r="D18" s="1"/>
      <c r="E18" s="1"/>
      <c r="F18" s="1"/>
      <c r="G18" s="77">
        <v>150000.0</v>
      </c>
    </row>
    <row r="19">
      <c r="A19" s="1"/>
      <c r="B19" s="4" t="s">
        <v>13</v>
      </c>
      <c r="C19" s="1"/>
      <c r="D19" s="1"/>
      <c r="E19" s="1"/>
      <c r="F19" s="1"/>
      <c r="G19" s="13">
        <v>150000.0</v>
      </c>
    </row>
    <row r="20">
      <c r="A20" s="1"/>
      <c r="B20" s="4" t="s">
        <v>14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150000.0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125000.0</v>
      </c>
    </row>
    <row r="25" ht="15.75" customHeight="1">
      <c r="A25" s="1"/>
      <c r="B25" s="4" t="s">
        <v>2149</v>
      </c>
      <c r="C25" s="1"/>
      <c r="D25" s="1"/>
      <c r="E25" s="1"/>
      <c r="F25" s="1"/>
      <c r="G25" s="77">
        <v>100000.0</v>
      </c>
    </row>
    <row r="26" ht="15.75" customHeight="1">
      <c r="A26" s="1"/>
      <c r="B26" s="4" t="s">
        <v>2241</v>
      </c>
      <c r="C26" s="1"/>
      <c r="D26" s="1"/>
      <c r="E26" s="1"/>
      <c r="F26" s="1"/>
      <c r="G26" s="77">
        <v>0.0</v>
      </c>
    </row>
    <row r="27" ht="15.75" customHeight="1">
      <c r="A27" s="1"/>
      <c r="B27" s="4" t="s">
        <v>2242</v>
      </c>
      <c r="C27" s="1"/>
      <c r="D27" s="1"/>
      <c r="E27" s="1"/>
      <c r="F27" s="1"/>
      <c r="G27" s="77">
        <v>171000.0</v>
      </c>
    </row>
    <row r="28" ht="15.75" customHeight="1">
      <c r="A28" s="1"/>
      <c r="B28" s="9" t="s">
        <v>18</v>
      </c>
      <c r="C28" s="10"/>
      <c r="D28" s="10"/>
      <c r="E28" s="10"/>
      <c r="F28" s="10"/>
      <c r="G28" s="69">
        <f>SUM(G17:G27)</f>
        <v>1387200</v>
      </c>
    </row>
    <row r="29" ht="15.75" customHeight="1">
      <c r="A29" s="1"/>
      <c r="B29" s="12" t="s">
        <v>19</v>
      </c>
      <c r="C29" s="15"/>
      <c r="D29" s="1"/>
      <c r="E29" s="1"/>
      <c r="F29" s="1"/>
      <c r="G29" s="2"/>
    </row>
    <row r="30" ht="15.75" customHeight="1">
      <c r="A30" s="1"/>
      <c r="B30" s="4" t="s">
        <v>480</v>
      </c>
      <c r="C30" s="15"/>
      <c r="D30" s="1"/>
      <c r="E30" s="1"/>
      <c r="F30" s="1"/>
      <c r="G30" s="2"/>
    </row>
    <row r="31" ht="15.75" customHeight="1">
      <c r="A31" s="1"/>
      <c r="B31" s="4" t="s">
        <v>2339</v>
      </c>
      <c r="C31" s="15"/>
      <c r="D31" s="1"/>
      <c r="E31" s="1"/>
      <c r="F31" s="1"/>
      <c r="G31" s="2">
        <v>20000.0</v>
      </c>
    </row>
    <row r="32" ht="15.75" customHeight="1">
      <c r="A32" s="1"/>
      <c r="B32" s="4" t="s">
        <v>2340</v>
      </c>
      <c r="C32" s="15"/>
      <c r="D32" s="1"/>
      <c r="E32" s="1"/>
      <c r="F32" s="1"/>
      <c r="G32" s="2">
        <v>5068.0</v>
      </c>
    </row>
    <row r="33" ht="15.75" customHeight="1">
      <c r="A33" s="1"/>
      <c r="B33" s="4" t="s">
        <v>2341</v>
      </c>
      <c r="C33" s="15"/>
      <c r="D33" s="1"/>
      <c r="E33" s="1"/>
      <c r="F33" s="1"/>
      <c r="G33" s="2">
        <v>2494.0</v>
      </c>
    </row>
    <row r="34" ht="15.75" customHeight="1">
      <c r="A34" s="1"/>
      <c r="B34" s="4" t="s">
        <v>2342</v>
      </c>
      <c r="C34" s="15"/>
      <c r="D34" s="1"/>
      <c r="E34" s="1"/>
      <c r="F34" s="1"/>
      <c r="G34" s="2">
        <v>120000.0</v>
      </c>
    </row>
    <row r="35" ht="15.75" customHeight="1">
      <c r="A35" s="1"/>
      <c r="B35" s="4" t="s">
        <v>2343</v>
      </c>
      <c r="C35" s="15"/>
      <c r="D35" s="1"/>
      <c r="E35" s="1"/>
      <c r="F35" s="1"/>
      <c r="G35" s="2">
        <v>20000.0</v>
      </c>
    </row>
    <row r="36" ht="15.75" customHeight="1">
      <c r="A36" s="1"/>
      <c r="B36" s="4" t="s">
        <v>2313</v>
      </c>
      <c r="C36" s="15"/>
      <c r="D36" s="1"/>
      <c r="E36" s="1"/>
      <c r="F36" s="1"/>
      <c r="G36" s="2">
        <v>12000.0</v>
      </c>
    </row>
    <row r="37" ht="15.75" customHeight="1">
      <c r="A37" s="1"/>
      <c r="B37" s="4" t="s">
        <v>2344</v>
      </c>
      <c r="C37" s="15"/>
      <c r="D37" s="1"/>
      <c r="E37" s="1"/>
      <c r="F37" s="1"/>
      <c r="G37" s="2">
        <v>2000.0</v>
      </c>
    </row>
    <row r="38" ht="15.75" customHeight="1">
      <c r="A38" s="1"/>
      <c r="B38" s="4" t="s">
        <v>2345</v>
      </c>
      <c r="C38" s="15"/>
      <c r="D38" s="1"/>
      <c r="E38" s="1"/>
      <c r="F38" s="1"/>
      <c r="G38" s="2">
        <v>188636.0</v>
      </c>
    </row>
    <row r="39" ht="15.75" customHeight="1">
      <c r="A39" s="1"/>
      <c r="B39" s="4" t="s">
        <v>2163</v>
      </c>
      <c r="C39" s="15"/>
      <c r="D39" s="1"/>
      <c r="E39" s="1"/>
      <c r="F39" s="1"/>
      <c r="G39" s="2">
        <v>5000.0</v>
      </c>
    </row>
    <row r="40" ht="15.75" customHeight="1">
      <c r="A40" s="1"/>
      <c r="B40" s="4" t="s">
        <v>2346</v>
      </c>
      <c r="C40" s="15"/>
      <c r="D40" s="1"/>
      <c r="E40" s="1"/>
      <c r="F40" s="1"/>
      <c r="G40" s="2">
        <v>19200.0</v>
      </c>
    </row>
    <row r="41" ht="15.75" customHeight="1">
      <c r="A41" s="1"/>
      <c r="B41" s="4" t="s">
        <v>2347</v>
      </c>
      <c r="C41" s="15"/>
      <c r="D41" s="1"/>
      <c r="E41" s="1"/>
      <c r="F41" s="1"/>
      <c r="G41" s="2">
        <v>1000.0</v>
      </c>
    </row>
    <row r="42" ht="15.75" customHeight="1">
      <c r="A42" s="1"/>
      <c r="B42" s="4" t="s">
        <v>2348</v>
      </c>
      <c r="C42" s="15"/>
      <c r="D42" s="78"/>
      <c r="E42" s="1"/>
      <c r="F42" s="1"/>
      <c r="G42" s="79">
        <v>47000.0</v>
      </c>
    </row>
    <row r="43" ht="15.75" customHeight="1">
      <c r="A43" s="1"/>
      <c r="B43" s="4" t="s">
        <v>1786</v>
      </c>
      <c r="C43" s="15"/>
      <c r="D43" s="1"/>
      <c r="E43" s="1"/>
      <c r="F43" s="1"/>
      <c r="G43" s="2">
        <v>4140.0</v>
      </c>
    </row>
    <row r="44" ht="15.75" customHeight="1">
      <c r="A44" s="1"/>
      <c r="B44" s="4" t="s">
        <v>2349</v>
      </c>
      <c r="C44" s="15"/>
      <c r="D44" s="1"/>
      <c r="E44" s="1"/>
      <c r="F44" s="1"/>
      <c r="G44" s="2">
        <v>59020.0</v>
      </c>
    </row>
    <row r="45" ht="15.75" customHeight="1">
      <c r="A45" s="1"/>
      <c r="B45" s="4" t="s">
        <v>2350</v>
      </c>
      <c r="C45" s="15"/>
      <c r="D45" s="1"/>
      <c r="E45" s="1"/>
      <c r="F45" s="1"/>
      <c r="G45" s="2">
        <v>24914.0</v>
      </c>
    </row>
    <row r="46" ht="15.75" customHeight="1">
      <c r="A46" s="1"/>
      <c r="B46" s="4" t="s">
        <v>2351</v>
      </c>
      <c r="C46" s="15"/>
      <c r="D46" s="1"/>
      <c r="E46" s="1"/>
      <c r="F46" s="1"/>
      <c r="G46" s="2">
        <v>125000.0</v>
      </c>
    </row>
    <row r="47" ht="15.75" customHeight="1">
      <c r="A47" s="1"/>
      <c r="B47" s="1" t="s">
        <v>2352</v>
      </c>
      <c r="C47" s="1"/>
      <c r="D47" s="1"/>
      <c r="E47" s="1"/>
      <c r="F47" s="1"/>
      <c r="G47" s="13">
        <v>65250.0</v>
      </c>
    </row>
    <row r="48" ht="15.75" customHeight="1">
      <c r="A48" s="1"/>
      <c r="B48" s="1" t="s">
        <v>2353</v>
      </c>
      <c r="C48" s="1"/>
      <c r="D48" s="1"/>
      <c r="E48" s="1"/>
      <c r="F48" s="1"/>
      <c r="G48" s="13">
        <v>19700.0</v>
      </c>
    </row>
    <row r="49" ht="15.75" customHeight="1">
      <c r="A49" s="1"/>
      <c r="B49" s="1" t="s">
        <v>2354</v>
      </c>
      <c r="C49" s="1"/>
      <c r="D49" s="1"/>
      <c r="E49" s="1"/>
      <c r="F49" s="1"/>
      <c r="G49" s="13">
        <v>24400.0</v>
      </c>
    </row>
    <row r="50" ht="15.75" customHeight="1">
      <c r="A50" s="1"/>
      <c r="B50" s="1" t="s">
        <v>2355</v>
      </c>
      <c r="C50" s="1"/>
      <c r="D50" s="1"/>
      <c r="E50" s="1"/>
      <c r="F50" s="1"/>
      <c r="G50" s="13">
        <v>30000.0</v>
      </c>
    </row>
    <row r="51" ht="15.75" customHeight="1">
      <c r="A51" s="1"/>
      <c r="B51" s="1" t="s">
        <v>2356</v>
      </c>
      <c r="C51" s="1"/>
      <c r="D51" s="1"/>
      <c r="E51" s="1"/>
      <c r="F51" s="1"/>
      <c r="G51" s="13">
        <v>25000.0</v>
      </c>
    </row>
    <row r="52" ht="15.75" customHeight="1">
      <c r="A52" s="1"/>
      <c r="B52" s="1" t="s">
        <v>2357</v>
      </c>
      <c r="C52" s="1"/>
      <c r="D52" s="1"/>
      <c r="E52" s="1"/>
      <c r="F52" s="1"/>
      <c r="G52" s="13">
        <v>2500.0</v>
      </c>
    </row>
    <row r="53" ht="15.75" customHeight="1">
      <c r="A53" s="1"/>
      <c r="B53" s="1" t="s">
        <v>2358</v>
      </c>
      <c r="C53" s="1"/>
      <c r="D53" s="1"/>
      <c r="E53" s="1"/>
      <c r="F53" s="1"/>
      <c r="G53" s="13">
        <v>23600.0</v>
      </c>
    </row>
    <row r="54" ht="15.75" customHeight="1">
      <c r="A54" s="1"/>
      <c r="B54" s="1" t="s">
        <v>2359</v>
      </c>
      <c r="C54" s="1"/>
      <c r="D54" s="1"/>
      <c r="E54" s="1"/>
      <c r="F54" s="1"/>
      <c r="G54" s="13">
        <v>16000.0</v>
      </c>
    </row>
    <row r="55" ht="15.75" customHeight="1">
      <c r="A55" s="1"/>
      <c r="B55" s="1" t="s">
        <v>1839</v>
      </c>
      <c r="C55" s="1"/>
      <c r="D55" s="1"/>
      <c r="E55" s="1"/>
      <c r="F55" s="1"/>
      <c r="G55" s="13">
        <v>6500.0</v>
      </c>
    </row>
    <row r="56" ht="15.75" customHeight="1">
      <c r="A56" s="1"/>
      <c r="B56" s="1" t="s">
        <v>2360</v>
      </c>
      <c r="C56" s="1"/>
      <c r="D56" s="1"/>
      <c r="E56" s="1"/>
      <c r="F56" s="1"/>
      <c r="G56" s="13">
        <v>131962.0</v>
      </c>
      <c r="J56" s="67" t="s">
        <v>480</v>
      </c>
    </row>
    <row r="57" ht="15.75" customHeight="1">
      <c r="A57" s="1"/>
      <c r="B57" s="1" t="s">
        <v>2361</v>
      </c>
      <c r="C57" s="1"/>
      <c r="D57" s="1"/>
      <c r="E57" s="1"/>
      <c r="F57" s="1"/>
      <c r="G57" s="13">
        <v>3572.0</v>
      </c>
    </row>
    <row r="58" ht="15.75" customHeight="1">
      <c r="A58" s="1"/>
      <c r="B58" s="1" t="s">
        <v>2362</v>
      </c>
      <c r="C58" s="1"/>
      <c r="D58" s="1"/>
      <c r="E58" s="1"/>
      <c r="F58" s="1"/>
      <c r="G58" s="13">
        <v>70500.0</v>
      </c>
    </row>
    <row r="59" ht="15.75" customHeight="1">
      <c r="A59" s="1"/>
      <c r="B59" s="1"/>
      <c r="C59" s="1"/>
      <c r="D59" s="1"/>
      <c r="E59" s="1"/>
      <c r="F59" s="1"/>
      <c r="G59" s="13"/>
    </row>
    <row r="60" ht="15.75" customHeight="1">
      <c r="A60" s="1"/>
      <c r="B60" s="1"/>
      <c r="C60" s="1"/>
      <c r="D60" s="1"/>
      <c r="E60" s="1"/>
      <c r="F60" s="1"/>
      <c r="G60" s="13"/>
    </row>
    <row r="61" ht="15.75" customHeight="1">
      <c r="A61" s="1"/>
      <c r="B61" s="43" t="s">
        <v>43</v>
      </c>
      <c r="C61" s="1"/>
      <c r="D61" s="1"/>
      <c r="E61" s="1"/>
      <c r="F61" s="1"/>
      <c r="G61" s="18">
        <f>SUM(G31:G59)</f>
        <v>1074456</v>
      </c>
    </row>
    <row r="62" ht="15.75" customHeight="1">
      <c r="A62" s="1"/>
      <c r="B62" s="19" t="s">
        <v>45</v>
      </c>
      <c r="C62" s="20"/>
      <c r="D62" s="20"/>
      <c r="E62" s="20"/>
      <c r="F62" s="20"/>
      <c r="G62" s="70">
        <f>SUM(G28+G61)</f>
        <v>2461656</v>
      </c>
    </row>
    <row r="63" ht="15.75" customHeight="1">
      <c r="A63" s="1"/>
      <c r="B63" s="4" t="s">
        <v>46</v>
      </c>
      <c r="C63" s="1"/>
      <c r="D63" s="1"/>
      <c r="E63" s="1"/>
      <c r="F63" s="1"/>
      <c r="G63" s="2"/>
    </row>
    <row r="64" ht="15.75" customHeight="1">
      <c r="A64" s="35" t="s">
        <v>2363</v>
      </c>
      <c r="B64" s="36"/>
      <c r="C64" s="37"/>
      <c r="D64" s="37"/>
      <c r="E64" s="37"/>
      <c r="F64" s="37"/>
      <c r="G64" s="71">
        <f>(G14-G62)</f>
        <v>-408556</v>
      </c>
    </row>
    <row r="65" ht="15.75" customHeight="1">
      <c r="A65" s="22" t="s">
        <v>254</v>
      </c>
      <c r="B65" s="43" t="s">
        <v>255</v>
      </c>
      <c r="C65" s="1"/>
      <c r="D65" s="1"/>
      <c r="E65" s="1"/>
      <c r="F65" s="1"/>
      <c r="G65" s="2"/>
    </row>
    <row r="66" ht="15.75" customHeight="1">
      <c r="A66" s="22"/>
      <c r="B66" s="43"/>
      <c r="C66" s="1"/>
      <c r="D66" s="1"/>
      <c r="E66" s="1"/>
      <c r="F66" s="1"/>
      <c r="G66" s="2"/>
    </row>
    <row r="67" ht="15.75" customHeight="1">
      <c r="A67" s="22"/>
      <c r="B67" s="43"/>
      <c r="C67" s="1"/>
      <c r="D67" s="1"/>
      <c r="E67" s="1"/>
      <c r="F67" s="1"/>
      <c r="G67" s="2"/>
    </row>
    <row r="68" ht="15.75" customHeight="1">
      <c r="A68" s="44"/>
      <c r="B68" s="72" t="s">
        <v>51</v>
      </c>
      <c r="C68" s="27"/>
      <c r="D68" s="27"/>
      <c r="E68" s="27"/>
      <c r="F68" s="27"/>
      <c r="G68" s="73"/>
    </row>
    <row r="69" ht="15.75" customHeight="1">
      <c r="A69" s="44"/>
      <c r="B69" s="45" t="s">
        <v>2364</v>
      </c>
      <c r="C69" s="45"/>
      <c r="D69" s="45"/>
      <c r="E69" s="46"/>
      <c r="F69" s="46"/>
      <c r="G69" s="47">
        <f>G3+G64-G68</f>
        <v>2430348</v>
      </c>
    </row>
    <row r="70" ht="15.75" customHeight="1">
      <c r="A70" s="1"/>
      <c r="B70" s="32" t="s">
        <v>2365</v>
      </c>
    </row>
    <row r="71" ht="15.75" customHeight="1">
      <c r="A71" s="1"/>
      <c r="B71" s="1"/>
      <c r="C71" s="1" t="s">
        <v>2227</v>
      </c>
      <c r="D71" s="1"/>
      <c r="E71" s="1"/>
      <c r="F71" s="1"/>
      <c r="G71" s="2">
        <v>0.0</v>
      </c>
    </row>
    <row r="72" ht="15.75" customHeight="1">
      <c r="A72" s="1"/>
      <c r="B72" s="1"/>
      <c r="C72" s="1" t="s">
        <v>1364</v>
      </c>
      <c r="D72" s="1"/>
      <c r="E72" s="1"/>
      <c r="F72" s="1"/>
      <c r="G72" s="2">
        <v>469500.0</v>
      </c>
    </row>
    <row r="73" ht="15.75" customHeight="1">
      <c r="A73" s="1"/>
      <c r="B73" s="1"/>
      <c r="C73" s="43" t="s">
        <v>115</v>
      </c>
      <c r="D73" s="1"/>
      <c r="E73" s="1"/>
      <c r="F73" s="1"/>
      <c r="G73" s="2">
        <v>469500.0</v>
      </c>
    </row>
    <row r="74" ht="15.75" customHeight="1">
      <c r="A74" s="1"/>
      <c r="B74" s="1"/>
      <c r="C74" s="43"/>
      <c r="D74" s="1"/>
      <c r="E74" s="1"/>
      <c r="F74" s="1"/>
      <c r="G74" s="2" t="s">
        <v>1585</v>
      </c>
    </row>
    <row r="75" ht="15.75" customHeight="1">
      <c r="A75" s="1"/>
      <c r="B75" s="43" t="s">
        <v>1825</v>
      </c>
      <c r="C75" s="43"/>
      <c r="D75" s="1"/>
      <c r="E75" s="1"/>
      <c r="F75" s="1"/>
      <c r="G75" s="2"/>
    </row>
    <row r="76" ht="15.75" customHeight="1">
      <c r="A76" s="1"/>
      <c r="B76" s="43" t="s">
        <v>2366</v>
      </c>
      <c r="C76" s="43"/>
      <c r="D76" s="1"/>
      <c r="E76" s="1"/>
      <c r="F76" s="1"/>
      <c r="G76" s="1"/>
    </row>
    <row r="77" ht="15.75" customHeight="1">
      <c r="A77" s="1"/>
      <c r="B77" s="43" t="s">
        <v>2367</v>
      </c>
      <c r="C77" s="43"/>
      <c r="D77" s="1"/>
      <c r="E77" s="1"/>
      <c r="F77" s="1"/>
      <c r="G77" s="1"/>
    </row>
    <row r="78" ht="15.75" customHeight="1">
      <c r="A78" s="1"/>
      <c r="B78" s="43"/>
      <c r="C78" s="43"/>
      <c r="D78" s="1"/>
      <c r="E78" s="1"/>
      <c r="F78" s="1"/>
      <c r="G78" s="1"/>
    </row>
    <row r="79" ht="15.75" customHeight="1">
      <c r="A79" s="1"/>
      <c r="B79" s="33" t="s">
        <v>2368</v>
      </c>
      <c r="C79" s="1"/>
      <c r="D79" s="1"/>
      <c r="E79" s="1"/>
      <c r="F79" s="1"/>
      <c r="G79" s="2"/>
    </row>
    <row r="80" ht="15.75" customHeight="1">
      <c r="A80" s="1"/>
      <c r="B80" s="33"/>
      <c r="C80" s="1"/>
      <c r="D80" s="1"/>
      <c r="E80" s="1"/>
      <c r="F80" s="1"/>
      <c r="G80" s="2"/>
    </row>
    <row r="81" ht="15.75" customHeight="1">
      <c r="A81" s="1"/>
      <c r="B81" s="55" t="s">
        <v>531</v>
      </c>
      <c r="C81" s="56"/>
      <c r="D81" s="56"/>
      <c r="E81" s="56"/>
      <c r="F81" s="1"/>
      <c r="G81" s="2"/>
    </row>
    <row r="82" ht="15.75" customHeight="1">
      <c r="A82" s="1"/>
      <c r="B82" s="55"/>
      <c r="C82" s="56"/>
      <c r="D82" s="56"/>
      <c r="E82" s="56"/>
      <c r="F82" s="1"/>
      <c r="G82" s="2"/>
    </row>
    <row r="83" ht="15.75" customHeight="1">
      <c r="A83" s="1"/>
      <c r="B83" s="55" t="s">
        <v>2369</v>
      </c>
      <c r="C83" s="56"/>
      <c r="D83" s="56"/>
      <c r="E83" s="56"/>
      <c r="F83" s="1"/>
      <c r="G83" s="2"/>
    </row>
    <row r="84" ht="15.75" customHeight="1">
      <c r="A84" s="1"/>
      <c r="B84" s="55"/>
      <c r="C84" s="56"/>
      <c r="D84" s="56"/>
      <c r="E84" s="56"/>
      <c r="F84" s="1"/>
      <c r="G84" s="2"/>
    </row>
    <row r="85" ht="15.75" customHeight="1">
      <c r="A85" s="1"/>
      <c r="B85" s="55" t="s">
        <v>533</v>
      </c>
      <c r="F85" s="1"/>
      <c r="G85" s="2"/>
    </row>
    <row r="86" ht="15.75" customHeight="1">
      <c r="A86" s="1"/>
      <c r="B86" s="55"/>
      <c r="C86" s="55"/>
      <c r="D86" s="55"/>
      <c r="E86" s="55"/>
      <c r="F86" s="1"/>
      <c r="G86" s="2"/>
    </row>
    <row r="87" ht="15.75" customHeight="1">
      <c r="A87" s="1"/>
      <c r="B87" s="55" t="s">
        <v>2370</v>
      </c>
      <c r="C87" s="56"/>
      <c r="D87" s="57"/>
      <c r="E87" s="56"/>
      <c r="F87" s="1"/>
      <c r="G87" s="2"/>
    </row>
    <row r="88" ht="15.75" customHeight="1">
      <c r="A88" s="1"/>
      <c r="B88" s="55"/>
      <c r="C88" s="56"/>
      <c r="D88" s="57"/>
      <c r="E88" s="56"/>
      <c r="F88" s="1"/>
      <c r="G88" s="2"/>
    </row>
    <row r="89" ht="15.75" customHeight="1">
      <c r="A89" s="1"/>
      <c r="B89" s="55" t="s">
        <v>535</v>
      </c>
      <c r="C89" s="56"/>
      <c r="D89" s="57"/>
      <c r="E89" s="56"/>
      <c r="F89" s="1"/>
      <c r="G89" s="2"/>
    </row>
    <row r="90" ht="15.75" customHeight="1">
      <c r="A90" s="1"/>
      <c r="B90" s="55"/>
      <c r="C90" s="56"/>
      <c r="D90" s="57"/>
      <c r="E90" s="56"/>
      <c r="F90" s="1"/>
      <c r="G90" s="2"/>
    </row>
    <row r="91" ht="15.75" customHeight="1">
      <c r="B91" s="55" t="s">
        <v>536</v>
      </c>
      <c r="C91" s="56"/>
      <c r="D91" s="57"/>
      <c r="E91" s="57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3:D13"/>
    <mergeCell ref="B14:F14"/>
    <mergeCell ref="B70:G70"/>
    <mergeCell ref="B85:E85"/>
  </mergeCells>
  <printOptions/>
  <pageMargins bottom="0.75" footer="0.0" header="0.0" left="0.7" right="0.7" top="0.7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0"/>
    <col customWidth="1" min="8" max="26" width="10.71"/>
  </cols>
  <sheetData>
    <row r="2">
      <c r="A2" s="1" t="s">
        <v>721</v>
      </c>
      <c r="B2" s="3" t="s">
        <v>2371</v>
      </c>
      <c r="C2" s="1"/>
      <c r="D2" s="1"/>
      <c r="E2" s="1"/>
      <c r="F2" s="1"/>
      <c r="G2" s="2"/>
    </row>
    <row r="3">
      <c r="A3" s="1"/>
      <c r="B3" s="75" t="s">
        <v>2372</v>
      </c>
      <c r="G3" s="47">
        <v>2430348.0</v>
      </c>
    </row>
    <row r="4">
      <c r="A4" s="1"/>
      <c r="G4" s="2"/>
    </row>
    <row r="5">
      <c r="A5" s="6" t="s">
        <v>2373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467700.0</v>
      </c>
      <c r="G6" s="7">
        <v>108000.0</v>
      </c>
    </row>
    <row r="7">
      <c r="A7" s="1"/>
      <c r="B7" s="4" t="s">
        <v>64</v>
      </c>
      <c r="C7" s="1"/>
      <c r="D7" s="1"/>
      <c r="E7" s="1"/>
      <c r="F7" s="2">
        <v>507800.0</v>
      </c>
      <c r="G7" s="7">
        <v>129000.0</v>
      </c>
    </row>
    <row r="8">
      <c r="A8" s="1"/>
      <c r="B8" s="4" t="s">
        <v>65</v>
      </c>
      <c r="C8" s="1"/>
      <c r="D8" s="1"/>
      <c r="E8" s="1"/>
      <c r="F8" s="2">
        <v>425200.0</v>
      </c>
      <c r="G8" s="7">
        <v>183000.0</v>
      </c>
    </row>
    <row r="9">
      <c r="A9" s="1"/>
      <c r="B9" s="4" t="s">
        <v>66</v>
      </c>
      <c r="C9" s="1"/>
      <c r="D9" s="1"/>
      <c r="E9" s="1"/>
      <c r="F9" s="2">
        <v>347800.0</v>
      </c>
      <c r="G9" s="76">
        <v>187000.0</v>
      </c>
    </row>
    <row r="10">
      <c r="A10" s="1"/>
      <c r="B10" s="4" t="s">
        <v>67</v>
      </c>
      <c r="C10" s="1"/>
      <c r="D10" s="49" t="s">
        <v>8</v>
      </c>
      <c r="E10" s="49"/>
      <c r="F10" s="7">
        <v>102600.0</v>
      </c>
      <c r="G10" s="7">
        <v>40000.0</v>
      </c>
    </row>
    <row r="11">
      <c r="A11" s="1"/>
      <c r="B11" s="4" t="s">
        <v>2374</v>
      </c>
      <c r="C11" s="1"/>
      <c r="D11" s="49"/>
      <c r="E11" s="49"/>
      <c r="F11" s="7">
        <v>323000.0</v>
      </c>
      <c r="G11" s="7" t="s">
        <v>480</v>
      </c>
    </row>
    <row r="12">
      <c r="A12" s="1"/>
      <c r="B12" s="4" t="s">
        <v>2375</v>
      </c>
      <c r="C12" s="1"/>
      <c r="D12" s="49"/>
      <c r="E12" s="49"/>
      <c r="F12" s="7">
        <v>295000.0</v>
      </c>
      <c r="G12" s="7"/>
    </row>
    <row r="13">
      <c r="A13" s="1"/>
      <c r="B13" s="4"/>
      <c r="C13" s="50" t="s">
        <v>405</v>
      </c>
      <c r="E13" s="4"/>
      <c r="F13" s="2">
        <f>SUM(F6:F12)</f>
        <v>2469100</v>
      </c>
      <c r="G13" s="7">
        <f>SUM(G6:G10)</f>
        <v>647000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3116100</v>
      </c>
    </row>
    <row r="15">
      <c r="A15" s="6" t="s">
        <v>2376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2016</v>
      </c>
      <c r="C17" s="1"/>
      <c r="D17" s="1"/>
      <c r="E17" s="1"/>
      <c r="F17" s="1"/>
      <c r="G17" s="77">
        <v>193800.0</v>
      </c>
    </row>
    <row r="18">
      <c r="A18" s="1"/>
      <c r="B18" s="4" t="s">
        <v>1594</v>
      </c>
      <c r="C18" s="1"/>
      <c r="D18" s="1"/>
      <c r="E18" s="1"/>
      <c r="F18" s="1"/>
      <c r="G18" s="77">
        <v>150000.0</v>
      </c>
    </row>
    <row r="19">
      <c r="A19" s="1"/>
      <c r="B19" s="4" t="s">
        <v>13</v>
      </c>
      <c r="C19" s="1"/>
      <c r="D19" s="1"/>
      <c r="E19" s="1"/>
      <c r="F19" s="1"/>
      <c r="G19" s="13">
        <v>150000.0</v>
      </c>
    </row>
    <row r="20">
      <c r="A20" s="1"/>
      <c r="B20" s="4" t="s">
        <v>14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150000.0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125000.0</v>
      </c>
    </row>
    <row r="25" ht="15.75" customHeight="1">
      <c r="A25" s="1"/>
      <c r="B25" s="4" t="s">
        <v>2149</v>
      </c>
      <c r="C25" s="1"/>
      <c r="D25" s="1"/>
      <c r="E25" s="1"/>
      <c r="F25" s="1"/>
      <c r="G25" s="77">
        <v>100000.0</v>
      </c>
    </row>
    <row r="26" ht="15.75" customHeight="1">
      <c r="A26" s="1"/>
      <c r="B26" s="4" t="s">
        <v>2241</v>
      </c>
      <c r="C26" s="1"/>
      <c r="D26" s="1"/>
      <c r="E26" s="1"/>
      <c r="F26" s="1"/>
      <c r="G26" s="77">
        <v>0.0</v>
      </c>
    </row>
    <row r="27" ht="15.75" customHeight="1">
      <c r="A27" s="1"/>
      <c r="B27" s="4" t="s">
        <v>2242</v>
      </c>
      <c r="C27" s="1"/>
      <c r="D27" s="1"/>
      <c r="E27" s="1"/>
      <c r="F27" s="1"/>
      <c r="G27" s="77">
        <v>177000.0</v>
      </c>
    </row>
    <row r="28" ht="15.75" customHeight="1">
      <c r="A28" s="1"/>
      <c r="B28" s="9" t="s">
        <v>18</v>
      </c>
      <c r="C28" s="10"/>
      <c r="D28" s="10"/>
      <c r="E28" s="10"/>
      <c r="F28" s="10"/>
      <c r="G28" s="69">
        <f>SUM(G17:G27)</f>
        <v>1420800</v>
      </c>
    </row>
    <row r="29" ht="15.75" customHeight="1">
      <c r="A29" s="1"/>
      <c r="B29" s="12" t="s">
        <v>19</v>
      </c>
      <c r="C29" s="15"/>
      <c r="D29" s="1"/>
      <c r="E29" s="1"/>
      <c r="F29" s="1"/>
      <c r="G29" s="2"/>
    </row>
    <row r="30" ht="15.75" customHeight="1">
      <c r="A30" s="1"/>
      <c r="B30" s="4" t="s">
        <v>480</v>
      </c>
      <c r="C30" s="15"/>
      <c r="D30" s="1"/>
      <c r="E30" s="1"/>
      <c r="F30" s="1"/>
      <c r="G30" s="2"/>
    </row>
    <row r="31" ht="15.75" customHeight="1">
      <c r="A31" s="1"/>
      <c r="B31" s="4" t="s">
        <v>2377</v>
      </c>
      <c r="C31" s="15"/>
      <c r="D31" s="1"/>
      <c r="E31" s="1"/>
      <c r="F31" s="1"/>
      <c r="G31" s="2">
        <v>4000.0</v>
      </c>
    </row>
    <row r="32" ht="15.75" customHeight="1">
      <c r="A32" s="1"/>
      <c r="B32" s="4" t="s">
        <v>2378</v>
      </c>
      <c r="C32" s="15"/>
      <c r="D32" s="1"/>
      <c r="E32" s="1"/>
      <c r="F32" s="1"/>
      <c r="G32" s="2">
        <v>75000.0</v>
      </c>
    </row>
    <row r="33" ht="15.75" customHeight="1">
      <c r="A33" s="1"/>
      <c r="B33" s="4" t="s">
        <v>2379</v>
      </c>
      <c r="C33" s="15"/>
      <c r="D33" s="1"/>
      <c r="E33" s="1"/>
      <c r="F33" s="1"/>
      <c r="G33" s="2">
        <v>9000.0</v>
      </c>
    </row>
    <row r="34" ht="15.75" customHeight="1">
      <c r="A34" s="1"/>
      <c r="B34" s="4" t="s">
        <v>2380</v>
      </c>
      <c r="C34" s="15"/>
      <c r="D34" s="1"/>
      <c r="E34" s="1"/>
      <c r="F34" s="1"/>
      <c r="G34" s="2">
        <v>3000.0</v>
      </c>
    </row>
    <row r="35" ht="15.75" customHeight="1">
      <c r="A35" s="1"/>
      <c r="B35" s="4" t="s">
        <v>2381</v>
      </c>
      <c r="C35" s="15"/>
      <c r="D35" s="1"/>
      <c r="E35" s="1"/>
      <c r="F35" s="1"/>
      <c r="G35" s="2">
        <v>65250.0</v>
      </c>
    </row>
    <row r="36" ht="15.75" customHeight="1">
      <c r="A36" s="1"/>
      <c r="B36" s="4" t="s">
        <v>2382</v>
      </c>
      <c r="C36" s="15"/>
      <c r="D36" s="1"/>
      <c r="E36" s="1"/>
      <c r="F36" s="1"/>
      <c r="G36" s="2">
        <v>125000.0</v>
      </c>
    </row>
    <row r="37" ht="15.75" customHeight="1">
      <c r="A37" s="1"/>
      <c r="B37" s="4" t="s">
        <v>2383</v>
      </c>
      <c r="C37" s="15"/>
      <c r="D37" s="1"/>
      <c r="E37" s="1"/>
      <c r="F37" s="1"/>
      <c r="G37" s="2">
        <v>25000.0</v>
      </c>
    </row>
    <row r="38" ht="15.75" customHeight="1">
      <c r="A38" s="1"/>
      <c r="B38" s="4" t="s">
        <v>2384</v>
      </c>
      <c r="C38" s="15"/>
      <c r="D38" s="1"/>
      <c r="E38" s="1"/>
      <c r="F38" s="1"/>
      <c r="G38" s="2">
        <v>1000.0</v>
      </c>
    </row>
    <row r="39" ht="15.75" customHeight="1">
      <c r="A39" s="1"/>
      <c r="B39" s="4" t="s">
        <v>2385</v>
      </c>
      <c r="C39" s="15"/>
      <c r="D39" s="1"/>
      <c r="E39" s="1"/>
      <c r="F39" s="1"/>
      <c r="G39" s="2">
        <v>30000.0</v>
      </c>
    </row>
    <row r="40" ht="15.75" customHeight="1">
      <c r="A40" s="1"/>
      <c r="B40" s="4" t="s">
        <v>2386</v>
      </c>
      <c r="C40" s="15"/>
      <c r="D40" s="1"/>
      <c r="E40" s="1"/>
      <c r="F40" s="1"/>
      <c r="G40" s="2">
        <v>1500.0</v>
      </c>
    </row>
    <row r="41" ht="15.75" customHeight="1">
      <c r="A41" s="1"/>
      <c r="B41" s="4" t="s">
        <v>1542</v>
      </c>
      <c r="C41" s="15"/>
      <c r="D41" s="1"/>
      <c r="E41" s="1"/>
      <c r="F41" s="1"/>
      <c r="G41" s="2">
        <v>1500.0</v>
      </c>
    </row>
    <row r="42" ht="15.75" customHeight="1">
      <c r="A42" s="1"/>
      <c r="B42" s="4" t="s">
        <v>2387</v>
      </c>
      <c r="C42" s="15"/>
      <c r="D42" s="78"/>
      <c r="E42" s="1"/>
      <c r="F42" s="1"/>
      <c r="G42" s="79">
        <v>30000.0</v>
      </c>
    </row>
    <row r="43" ht="15.75" customHeight="1">
      <c r="A43" s="1"/>
      <c r="B43" s="4" t="s">
        <v>2388</v>
      </c>
      <c r="C43" s="15"/>
      <c r="D43" s="1"/>
      <c r="E43" s="1"/>
      <c r="F43" s="1"/>
      <c r="G43" s="2">
        <v>5000.0</v>
      </c>
    </row>
    <row r="44" ht="15.75" customHeight="1">
      <c r="A44" s="1"/>
      <c r="B44" s="4" t="s">
        <v>2389</v>
      </c>
      <c r="C44" s="15"/>
      <c r="D44" s="1"/>
      <c r="E44" s="1"/>
      <c r="F44" s="1"/>
      <c r="G44" s="2">
        <v>14000.0</v>
      </c>
    </row>
    <row r="45" ht="15.75" customHeight="1">
      <c r="A45" s="1"/>
      <c r="B45" s="4" t="s">
        <v>2390</v>
      </c>
      <c r="C45" s="15"/>
      <c r="D45" s="1"/>
      <c r="E45" s="1"/>
      <c r="F45" s="1"/>
      <c r="G45" s="2">
        <v>26850.0</v>
      </c>
    </row>
    <row r="46" ht="15.75" customHeight="1">
      <c r="A46" s="1"/>
      <c r="B46" s="4" t="s">
        <v>2391</v>
      </c>
      <c r="C46" s="15"/>
      <c r="D46" s="1"/>
      <c r="E46" s="1"/>
      <c r="F46" s="1"/>
      <c r="G46" s="2">
        <v>30000.0</v>
      </c>
    </row>
    <row r="47" ht="15.75" customHeight="1">
      <c r="A47" s="1"/>
      <c r="B47" s="1" t="s">
        <v>2392</v>
      </c>
      <c r="C47" s="1"/>
      <c r="D47" s="1"/>
      <c r="E47" s="1"/>
      <c r="F47" s="1"/>
      <c r="G47" s="13">
        <v>60000.0</v>
      </c>
    </row>
    <row r="48" ht="15.75" customHeight="1">
      <c r="A48" s="1"/>
      <c r="B48" s="1" t="s">
        <v>2393</v>
      </c>
      <c r="C48" s="1"/>
      <c r="D48" s="1"/>
      <c r="E48" s="1"/>
      <c r="F48" s="1"/>
      <c r="G48" s="13">
        <v>7500.0</v>
      </c>
    </row>
    <row r="49" ht="15.75" customHeight="1">
      <c r="A49" s="1"/>
      <c r="B49" s="1" t="s">
        <v>2394</v>
      </c>
      <c r="C49" s="1"/>
      <c r="D49" s="1"/>
      <c r="E49" s="1"/>
      <c r="F49" s="1"/>
      <c r="G49" s="13">
        <v>75000.0</v>
      </c>
    </row>
    <row r="50" ht="15.75" customHeight="1">
      <c r="A50" s="1"/>
      <c r="B50" s="1" t="s">
        <v>2395</v>
      </c>
      <c r="C50" s="1"/>
      <c r="D50" s="1"/>
      <c r="E50" s="1"/>
      <c r="F50" s="1"/>
      <c r="G50" s="13">
        <v>52000.0</v>
      </c>
    </row>
    <row r="51" ht="15.75" customHeight="1">
      <c r="A51" s="1"/>
      <c r="B51" s="1" t="s">
        <v>2396</v>
      </c>
      <c r="C51" s="1"/>
      <c r="D51" s="1"/>
      <c r="E51" s="1"/>
      <c r="F51" s="1"/>
      <c r="G51" s="13">
        <v>23500.0</v>
      </c>
    </row>
    <row r="52" ht="15.75" customHeight="1">
      <c r="A52" s="1"/>
      <c r="B52" s="1" t="s">
        <v>2397</v>
      </c>
      <c r="C52" s="1"/>
      <c r="D52" s="1"/>
      <c r="E52" s="1"/>
      <c r="F52" s="1"/>
      <c r="G52" s="13">
        <v>18000.0</v>
      </c>
    </row>
    <row r="53" ht="15.75" customHeight="1">
      <c r="A53" s="1"/>
      <c r="B53" s="1" t="s">
        <v>2398</v>
      </c>
      <c r="C53" s="1"/>
      <c r="D53" s="1"/>
      <c r="E53" s="1"/>
      <c r="F53" s="1"/>
      <c r="G53" s="13">
        <v>431403.0</v>
      </c>
    </row>
    <row r="54" ht="15.75" customHeight="1">
      <c r="A54" s="1"/>
      <c r="B54" s="1" t="s">
        <v>2399</v>
      </c>
      <c r="C54" s="1"/>
      <c r="D54" s="1"/>
      <c r="E54" s="1"/>
      <c r="F54" s="1"/>
      <c r="G54" s="13">
        <v>100000.0</v>
      </c>
    </row>
    <row r="55" ht="15.75" customHeight="1">
      <c r="A55" s="1"/>
      <c r="B55" s="1" t="s">
        <v>2400</v>
      </c>
      <c r="C55" s="1"/>
      <c r="D55" s="1"/>
      <c r="E55" s="1"/>
      <c r="F55" s="1"/>
      <c r="G55" s="13">
        <v>4140.0</v>
      </c>
    </row>
    <row r="56" ht="15.75" customHeight="1">
      <c r="A56" s="1"/>
      <c r="B56" s="1" t="s">
        <v>2401</v>
      </c>
      <c r="C56" s="1"/>
      <c r="D56" s="1"/>
      <c r="E56" s="1"/>
      <c r="F56" s="1"/>
      <c r="G56" s="13">
        <v>125000.0</v>
      </c>
    </row>
    <row r="57" ht="15.75" customHeight="1">
      <c r="A57" s="1"/>
      <c r="B57" s="1" t="s">
        <v>2402</v>
      </c>
      <c r="C57" s="1"/>
      <c r="D57" s="1"/>
      <c r="E57" s="1"/>
      <c r="F57" s="1"/>
      <c r="G57" s="13">
        <v>55755.0</v>
      </c>
    </row>
    <row r="58" ht="15.75" customHeight="1">
      <c r="A58" s="1"/>
      <c r="B58" s="1" t="s">
        <v>2403</v>
      </c>
      <c r="C58" s="1"/>
      <c r="D58" s="1"/>
      <c r="E58" s="1"/>
      <c r="F58" s="1"/>
      <c r="G58" s="13">
        <v>65250.0</v>
      </c>
    </row>
    <row r="59" ht="15.75" customHeight="1">
      <c r="A59" s="1"/>
      <c r="B59" s="1" t="s">
        <v>2404</v>
      </c>
      <c r="C59" s="1"/>
      <c r="D59" s="1"/>
      <c r="E59" s="1"/>
      <c r="F59" s="1"/>
      <c r="G59" s="13">
        <v>65250.0</v>
      </c>
    </row>
    <row r="60" ht="15.75" customHeight="1">
      <c r="A60" s="1"/>
      <c r="B60" s="1" t="s">
        <v>2405</v>
      </c>
      <c r="C60" s="1"/>
      <c r="D60" s="1"/>
      <c r="E60" s="1"/>
      <c r="F60" s="1"/>
      <c r="G60" s="13">
        <v>42000.0</v>
      </c>
    </row>
    <row r="61" ht="15.75" customHeight="1">
      <c r="A61" s="1"/>
      <c r="B61" s="1" t="s">
        <v>2406</v>
      </c>
      <c r="C61" s="1"/>
      <c r="D61" s="1"/>
      <c r="E61" s="1"/>
      <c r="F61" s="1"/>
      <c r="G61" s="13">
        <v>3000.0</v>
      </c>
    </row>
    <row r="62" ht="15.75" customHeight="1">
      <c r="A62" s="1"/>
      <c r="B62" s="1" t="s">
        <v>2407</v>
      </c>
      <c r="C62" s="1"/>
      <c r="D62" s="1"/>
      <c r="E62" s="1"/>
      <c r="F62" s="1"/>
      <c r="G62" s="13">
        <v>8000.0</v>
      </c>
    </row>
    <row r="63" ht="15.75" customHeight="1">
      <c r="A63" s="1"/>
      <c r="B63" s="1" t="s">
        <v>2408</v>
      </c>
      <c r="C63" s="1"/>
      <c r="D63" s="1"/>
      <c r="E63" s="1"/>
      <c r="F63" s="1"/>
      <c r="G63" s="13">
        <v>12000.0</v>
      </c>
    </row>
    <row r="64" ht="15.75" customHeight="1">
      <c r="A64" s="1"/>
      <c r="B64" s="1"/>
      <c r="C64" s="1"/>
      <c r="D64" s="1"/>
      <c r="E64" s="1"/>
      <c r="F64" s="1"/>
      <c r="G64" s="13"/>
    </row>
    <row r="65" ht="15.75" customHeight="1">
      <c r="A65" s="1"/>
      <c r="B65" s="43" t="s">
        <v>43</v>
      </c>
      <c r="C65" s="1"/>
      <c r="D65" s="1"/>
      <c r="E65" s="1"/>
      <c r="F65" s="1"/>
      <c r="G65" s="18">
        <f>SUM(G31:G63)</f>
        <v>1593898</v>
      </c>
    </row>
    <row r="66" ht="15.75" customHeight="1">
      <c r="A66" s="1"/>
      <c r="B66" s="19" t="s">
        <v>45</v>
      </c>
      <c r="C66" s="20"/>
      <c r="D66" s="20"/>
      <c r="E66" s="20"/>
      <c r="F66" s="20"/>
      <c r="G66" s="70">
        <f>SUM(G28+G65)</f>
        <v>3014698</v>
      </c>
    </row>
    <row r="67" ht="15.75" customHeight="1">
      <c r="A67" s="1"/>
      <c r="B67" s="4" t="s">
        <v>46</v>
      </c>
      <c r="C67" s="1"/>
      <c r="D67" s="1"/>
      <c r="E67" s="1"/>
      <c r="F67" s="1"/>
      <c r="G67" s="2"/>
    </row>
    <row r="68" ht="15.75" customHeight="1">
      <c r="A68" s="35" t="s">
        <v>2363</v>
      </c>
      <c r="B68" s="36"/>
      <c r="C68" s="37"/>
      <c r="D68" s="37"/>
      <c r="E68" s="37"/>
      <c r="F68" s="37"/>
      <c r="G68" s="71">
        <f>(G14-G66)</f>
        <v>101402</v>
      </c>
    </row>
    <row r="69" ht="15.75" customHeight="1">
      <c r="A69" s="22" t="s">
        <v>254</v>
      </c>
      <c r="B69" s="43" t="s">
        <v>255</v>
      </c>
      <c r="C69" s="1"/>
      <c r="D69" s="1"/>
      <c r="E69" s="1"/>
      <c r="F69" s="1"/>
      <c r="G69" s="2"/>
    </row>
    <row r="70" ht="15.75" customHeight="1">
      <c r="A70" s="22"/>
      <c r="B70" s="43"/>
      <c r="C70" s="1"/>
      <c r="D70" s="1"/>
      <c r="E70" s="1"/>
      <c r="F70" s="1"/>
      <c r="G70" s="2"/>
    </row>
    <row r="71" ht="15.75" customHeight="1">
      <c r="A71" s="22"/>
      <c r="B71" s="43"/>
      <c r="C71" s="1"/>
      <c r="D71" s="1"/>
      <c r="E71" s="1"/>
      <c r="F71" s="1"/>
      <c r="G71" s="2"/>
    </row>
    <row r="72" ht="15.75" customHeight="1">
      <c r="A72" s="44"/>
      <c r="B72" s="72" t="s">
        <v>51</v>
      </c>
      <c r="C72" s="27"/>
      <c r="D72" s="27"/>
      <c r="E72" s="27"/>
      <c r="F72" s="27"/>
      <c r="G72" s="73">
        <v>0.0</v>
      </c>
    </row>
    <row r="73" ht="15.75" customHeight="1">
      <c r="A73" s="44"/>
      <c r="B73" s="45" t="s">
        <v>2409</v>
      </c>
      <c r="C73" s="45"/>
      <c r="D73" s="45"/>
      <c r="E73" s="46"/>
      <c r="F73" s="46"/>
      <c r="G73" s="47">
        <f>G3+G68-G72</f>
        <v>2531750</v>
      </c>
    </row>
    <row r="74" ht="15.75" customHeight="1">
      <c r="A74" s="1"/>
      <c r="B74" s="32" t="s">
        <v>2410</v>
      </c>
    </row>
    <row r="75" ht="15.75" customHeight="1">
      <c r="A75" s="1"/>
      <c r="B75" s="1"/>
      <c r="C75" s="1" t="s">
        <v>2227</v>
      </c>
      <c r="D75" s="1"/>
      <c r="E75" s="1"/>
      <c r="F75" s="1"/>
      <c r="G75" s="2">
        <v>0.0</v>
      </c>
      <c r="N75" s="67" t="s">
        <v>480</v>
      </c>
    </row>
    <row r="76" ht="15.75" customHeight="1">
      <c r="A76" s="1"/>
      <c r="B76" s="1"/>
      <c r="C76" s="1" t="s">
        <v>1364</v>
      </c>
      <c r="D76" s="1"/>
      <c r="E76" s="1"/>
      <c r="F76" s="1"/>
      <c r="G76" s="2">
        <v>371700.0</v>
      </c>
    </row>
    <row r="77" ht="15.75" customHeight="1">
      <c r="A77" s="1"/>
      <c r="B77" s="1"/>
      <c r="C77" s="43" t="s">
        <v>115</v>
      </c>
      <c r="D77" s="1"/>
      <c r="E77" s="1"/>
      <c r="F77" s="1"/>
      <c r="G77" s="2">
        <v>371700.0</v>
      </c>
    </row>
    <row r="78" ht="15.75" customHeight="1">
      <c r="A78" s="1"/>
      <c r="B78" s="1"/>
      <c r="C78" s="43"/>
      <c r="D78" s="1"/>
      <c r="E78" s="1"/>
      <c r="F78" s="1"/>
      <c r="G78" s="2" t="s">
        <v>1585</v>
      </c>
    </row>
    <row r="79" ht="15.75" customHeight="1">
      <c r="A79" s="1"/>
      <c r="B79" s="43" t="s">
        <v>2411</v>
      </c>
      <c r="C79" s="43"/>
      <c r="D79" s="1"/>
      <c r="E79" s="1"/>
      <c r="F79" s="1"/>
      <c r="G79" s="2"/>
    </row>
    <row r="80" ht="15.75" customHeight="1">
      <c r="A80" s="1"/>
      <c r="B80" s="43" t="s">
        <v>2412</v>
      </c>
      <c r="C80" s="43"/>
      <c r="D80" s="1"/>
      <c r="E80" s="1"/>
      <c r="F80" s="1"/>
      <c r="G80" s="1"/>
    </row>
    <row r="81" ht="15.75" customHeight="1">
      <c r="A81" s="1"/>
      <c r="B81" s="43" t="s">
        <v>2367</v>
      </c>
      <c r="C81" s="43"/>
      <c r="D81" s="1"/>
      <c r="E81" s="1"/>
      <c r="F81" s="1"/>
      <c r="G81" s="1"/>
    </row>
    <row r="82" ht="15.75" customHeight="1">
      <c r="A82" s="1"/>
      <c r="B82" s="43"/>
      <c r="C82" s="43"/>
      <c r="D82" s="1"/>
      <c r="E82" s="1"/>
      <c r="F82" s="1"/>
      <c r="G82" s="1"/>
    </row>
    <row r="83" ht="15.75" customHeight="1">
      <c r="A83" s="1"/>
      <c r="B83" s="33" t="s">
        <v>2413</v>
      </c>
      <c r="C83" s="1"/>
      <c r="D83" s="1"/>
      <c r="E83" s="1"/>
      <c r="F83" s="1"/>
      <c r="G83" s="2"/>
    </row>
    <row r="84" ht="15.75" customHeight="1">
      <c r="A84" s="1"/>
      <c r="B84" s="33"/>
      <c r="C84" s="1"/>
      <c r="D84" s="1"/>
      <c r="E84" s="1"/>
      <c r="F84" s="1"/>
      <c r="G84" s="2"/>
    </row>
    <row r="85" ht="15.75" customHeight="1">
      <c r="A85" s="1"/>
      <c r="B85" s="55" t="s">
        <v>531</v>
      </c>
      <c r="C85" s="56"/>
      <c r="D85" s="56"/>
      <c r="E85" s="56"/>
      <c r="F85" s="1"/>
      <c r="G85" s="2"/>
    </row>
    <row r="86" ht="15.75" customHeight="1">
      <c r="A86" s="1"/>
      <c r="B86" s="55"/>
      <c r="C86" s="56"/>
      <c r="D86" s="56"/>
      <c r="E86" s="56"/>
      <c r="F86" s="1"/>
      <c r="G86" s="2"/>
    </row>
    <row r="87" ht="15.75" customHeight="1">
      <c r="A87" s="1"/>
      <c r="B87" s="55" t="s">
        <v>2414</v>
      </c>
      <c r="C87" s="56"/>
      <c r="D87" s="56"/>
      <c r="E87" s="56"/>
      <c r="F87" s="1"/>
      <c r="G87" s="2"/>
    </row>
    <row r="88" ht="15.75" customHeight="1">
      <c r="A88" s="1"/>
      <c r="B88" s="55"/>
      <c r="C88" s="56"/>
      <c r="D88" s="56"/>
      <c r="E88" s="56"/>
      <c r="F88" s="1"/>
      <c r="G88" s="2"/>
    </row>
    <row r="89" ht="15.75" customHeight="1">
      <c r="A89" s="1"/>
      <c r="B89" s="55" t="s">
        <v>533</v>
      </c>
      <c r="F89" s="1"/>
      <c r="G89" s="2"/>
    </row>
    <row r="90" ht="15.75" customHeight="1">
      <c r="A90" s="1"/>
      <c r="B90" s="55"/>
      <c r="C90" s="55"/>
      <c r="D90" s="55"/>
      <c r="E90" s="55"/>
      <c r="F90" s="1"/>
      <c r="G90" s="2"/>
    </row>
    <row r="91" ht="15.75" customHeight="1">
      <c r="A91" s="1"/>
      <c r="B91" s="55" t="s">
        <v>2415</v>
      </c>
      <c r="C91" s="56"/>
      <c r="D91" s="57"/>
      <c r="E91" s="56"/>
      <c r="F91" s="1"/>
      <c r="G91" s="2"/>
    </row>
    <row r="92" ht="15.75" customHeight="1">
      <c r="A92" s="1"/>
      <c r="B92" s="55"/>
      <c r="C92" s="56"/>
      <c r="D92" s="57"/>
      <c r="E92" s="56"/>
      <c r="F92" s="1"/>
      <c r="G92" s="2"/>
    </row>
    <row r="93" ht="15.75" customHeight="1">
      <c r="A93" s="1"/>
      <c r="B93" s="55" t="s">
        <v>535</v>
      </c>
      <c r="C93" s="56"/>
      <c r="D93" s="57"/>
      <c r="E93" s="56"/>
      <c r="F93" s="1"/>
      <c r="G93" s="2"/>
    </row>
    <row r="94" ht="15.75" customHeight="1">
      <c r="A94" s="1"/>
      <c r="B94" s="55"/>
      <c r="C94" s="56"/>
      <c r="D94" s="57"/>
      <c r="E94" s="56"/>
      <c r="F94" s="1"/>
      <c r="G94" s="2"/>
    </row>
    <row r="95" ht="15.75" customHeight="1">
      <c r="B95" s="55" t="s">
        <v>536</v>
      </c>
      <c r="C95" s="56"/>
      <c r="D95" s="57"/>
      <c r="E95" s="57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3:D13"/>
    <mergeCell ref="B14:F14"/>
    <mergeCell ref="B74:G74"/>
    <mergeCell ref="B89:E89"/>
  </mergeCells>
  <printOptions/>
  <pageMargins bottom="0.75" footer="0.0" header="0.0" left="0.7" right="0.7" top="0.7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0"/>
    <col customWidth="1" min="8" max="26" width="10.71"/>
  </cols>
  <sheetData>
    <row r="2">
      <c r="A2" s="1" t="s">
        <v>721</v>
      </c>
      <c r="B2" s="3" t="s">
        <v>2416</v>
      </c>
      <c r="C2" s="1"/>
      <c r="D2" s="1"/>
      <c r="E2" s="1"/>
      <c r="F2" s="1"/>
      <c r="G2" s="2"/>
    </row>
    <row r="3">
      <c r="A3" s="1"/>
      <c r="B3" s="75" t="s">
        <v>2417</v>
      </c>
      <c r="G3" s="47">
        <v>2531750.0</v>
      </c>
    </row>
    <row r="4">
      <c r="A4" s="1"/>
      <c r="G4" s="2"/>
    </row>
    <row r="5">
      <c r="A5" s="6" t="s">
        <v>2418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208100.0</v>
      </c>
      <c r="G6" s="7">
        <v>155000.0</v>
      </c>
    </row>
    <row r="7">
      <c r="A7" s="1"/>
      <c r="B7" s="4" t="s">
        <v>64</v>
      </c>
      <c r="C7" s="1"/>
      <c r="D7" s="1"/>
      <c r="E7" s="1"/>
      <c r="F7" s="2">
        <v>577100.0</v>
      </c>
      <c r="G7" s="7">
        <v>233000.0</v>
      </c>
    </row>
    <row r="8">
      <c r="A8" s="1"/>
      <c r="B8" s="4" t="s">
        <v>65</v>
      </c>
      <c r="C8" s="1"/>
      <c r="D8" s="1"/>
      <c r="E8" s="1"/>
      <c r="F8" s="2">
        <v>273000.0</v>
      </c>
      <c r="G8" s="7">
        <v>189000.0</v>
      </c>
    </row>
    <row r="9">
      <c r="A9" s="1"/>
      <c r="B9" s="4" t="s">
        <v>66</v>
      </c>
      <c r="C9" s="1"/>
      <c r="D9" s="1"/>
      <c r="E9" s="1"/>
      <c r="F9" s="2">
        <v>477800.0</v>
      </c>
      <c r="G9" s="76">
        <v>213000.0</v>
      </c>
    </row>
    <row r="10">
      <c r="A10" s="1"/>
      <c r="B10" s="4" t="s">
        <v>67</v>
      </c>
      <c r="C10" s="1"/>
      <c r="D10" s="49" t="s">
        <v>8</v>
      </c>
      <c r="E10" s="49"/>
      <c r="F10" s="7">
        <v>307200.0</v>
      </c>
      <c r="G10" s="7">
        <v>105000.0</v>
      </c>
    </row>
    <row r="11">
      <c r="A11" s="1"/>
      <c r="B11" s="4" t="s">
        <v>2419</v>
      </c>
      <c r="C11" s="1"/>
      <c r="D11" s="49"/>
      <c r="E11" s="49"/>
      <c r="F11" s="7">
        <v>355000.0</v>
      </c>
      <c r="G11" s="7" t="s">
        <v>480</v>
      </c>
    </row>
    <row r="12">
      <c r="A12" s="1"/>
      <c r="B12" s="4" t="s">
        <v>2420</v>
      </c>
      <c r="C12" s="1"/>
      <c r="D12" s="49"/>
      <c r="E12" s="49"/>
      <c r="F12" s="7">
        <v>250000.0</v>
      </c>
      <c r="G12" s="7"/>
    </row>
    <row r="13">
      <c r="A13" s="1"/>
      <c r="B13" s="4"/>
      <c r="C13" s="50" t="s">
        <v>405</v>
      </c>
      <c r="E13" s="4"/>
      <c r="F13" s="2">
        <f>SUM(F6:F12)</f>
        <v>2448200</v>
      </c>
      <c r="G13" s="7">
        <f>SUM(G6:G10)</f>
        <v>895000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3343200</v>
      </c>
    </row>
    <row r="15">
      <c r="A15" s="6" t="s">
        <v>2421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2422</v>
      </c>
      <c r="C17" s="1"/>
      <c r="D17" s="1"/>
      <c r="E17" s="1"/>
      <c r="F17" s="1"/>
      <c r="G17" s="77">
        <v>260000.0</v>
      </c>
    </row>
    <row r="18">
      <c r="A18" s="1"/>
      <c r="B18" s="4" t="s">
        <v>1594</v>
      </c>
      <c r="C18" s="1"/>
      <c r="D18" s="1"/>
      <c r="E18" s="1"/>
      <c r="F18" s="1"/>
      <c r="G18" s="77">
        <v>150000.0</v>
      </c>
    </row>
    <row r="19">
      <c r="A19" s="1"/>
      <c r="B19" s="4" t="s">
        <v>13</v>
      </c>
      <c r="C19" s="1"/>
      <c r="D19" s="1"/>
      <c r="E19" s="1"/>
      <c r="F19" s="1"/>
      <c r="G19" s="13">
        <v>150000.0</v>
      </c>
    </row>
    <row r="20">
      <c r="A20" s="1"/>
      <c r="B20" s="4" t="s">
        <v>14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150000.0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125000.0</v>
      </c>
    </row>
    <row r="25" ht="15.75" customHeight="1">
      <c r="A25" s="1"/>
      <c r="B25" s="4" t="s">
        <v>2149</v>
      </c>
      <c r="C25" s="1"/>
      <c r="D25" s="1"/>
      <c r="E25" s="1"/>
      <c r="F25" s="1"/>
      <c r="G25" s="77">
        <v>100000.0</v>
      </c>
    </row>
    <row r="26" ht="15.75" customHeight="1">
      <c r="A26" s="1"/>
      <c r="B26" s="4" t="s">
        <v>2241</v>
      </c>
      <c r="C26" s="1"/>
      <c r="D26" s="1"/>
      <c r="E26" s="1"/>
      <c r="F26" s="1"/>
      <c r="G26" s="77">
        <v>0.0</v>
      </c>
    </row>
    <row r="27" ht="15.75" customHeight="1">
      <c r="A27" s="1"/>
      <c r="B27" s="4" t="s">
        <v>2242</v>
      </c>
      <c r="C27" s="1"/>
      <c r="D27" s="1"/>
      <c r="E27" s="1"/>
      <c r="F27" s="1"/>
      <c r="G27" s="77">
        <v>150000.0</v>
      </c>
    </row>
    <row r="28" ht="15.75" customHeight="1">
      <c r="A28" s="1"/>
      <c r="B28" s="9" t="s">
        <v>18</v>
      </c>
      <c r="C28" s="10"/>
      <c r="D28" s="10"/>
      <c r="E28" s="10"/>
      <c r="F28" s="10"/>
      <c r="G28" s="69">
        <f>SUM(G17:G27)</f>
        <v>1460000</v>
      </c>
    </row>
    <row r="29" ht="15.75" customHeight="1">
      <c r="A29" s="1"/>
      <c r="B29" s="12" t="s">
        <v>19</v>
      </c>
      <c r="C29" s="15"/>
      <c r="D29" s="1"/>
      <c r="E29" s="1"/>
      <c r="F29" s="1"/>
      <c r="G29" s="2"/>
    </row>
    <row r="30" ht="15.75" customHeight="1">
      <c r="A30" s="1"/>
      <c r="B30" s="4" t="s">
        <v>480</v>
      </c>
      <c r="C30" s="15"/>
      <c r="D30" s="1"/>
      <c r="E30" s="1"/>
      <c r="F30" s="1"/>
      <c r="G30" s="2"/>
    </row>
    <row r="31" ht="15.75" customHeight="1">
      <c r="A31" s="1"/>
      <c r="B31" s="4" t="s">
        <v>1488</v>
      </c>
      <c r="C31" s="15"/>
      <c r="D31" s="1"/>
      <c r="E31" s="1"/>
      <c r="F31" s="1"/>
      <c r="G31" s="2">
        <v>6500.0</v>
      </c>
    </row>
    <row r="32" ht="15.75" customHeight="1">
      <c r="A32" s="1"/>
      <c r="B32" s="4" t="s">
        <v>2378</v>
      </c>
      <c r="C32" s="15"/>
      <c r="D32" s="1"/>
      <c r="E32" s="1"/>
      <c r="F32" s="1"/>
      <c r="G32" s="2">
        <v>75000.0</v>
      </c>
    </row>
    <row r="33" ht="15.75" customHeight="1">
      <c r="A33" s="1"/>
      <c r="B33" s="4" t="s">
        <v>2423</v>
      </c>
      <c r="C33" s="15"/>
      <c r="D33" s="1"/>
      <c r="E33" s="1"/>
      <c r="F33" s="1"/>
      <c r="G33" s="2">
        <v>65250.0</v>
      </c>
    </row>
    <row r="34" ht="15.75" customHeight="1">
      <c r="A34" s="1"/>
      <c r="B34" s="4" t="s">
        <v>2424</v>
      </c>
      <c r="C34" s="15"/>
      <c r="D34" s="1"/>
      <c r="E34" s="1"/>
      <c r="F34" s="1"/>
      <c r="G34" s="2">
        <v>10500.0</v>
      </c>
    </row>
    <row r="35" ht="15.75" customHeight="1">
      <c r="A35" s="1"/>
      <c r="B35" s="4" t="s">
        <v>2425</v>
      </c>
      <c r="C35" s="15"/>
      <c r="D35" s="1"/>
      <c r="E35" s="1"/>
      <c r="F35" s="1"/>
      <c r="G35" s="2">
        <v>10000.0</v>
      </c>
    </row>
    <row r="36" ht="15.75" customHeight="1">
      <c r="A36" s="1"/>
      <c r="B36" s="4" t="s">
        <v>2426</v>
      </c>
      <c r="C36" s="15"/>
      <c r="D36" s="1"/>
      <c r="E36" s="1"/>
      <c r="F36" s="1"/>
      <c r="G36" s="2">
        <v>84400.0</v>
      </c>
    </row>
    <row r="37" ht="15.75" customHeight="1">
      <c r="A37" s="1"/>
      <c r="B37" s="4" t="s">
        <v>1501</v>
      </c>
      <c r="C37" s="15"/>
      <c r="D37" s="1"/>
      <c r="E37" s="1"/>
      <c r="F37" s="1"/>
      <c r="G37" s="2">
        <v>50000.0</v>
      </c>
    </row>
    <row r="38" ht="15.75" customHeight="1">
      <c r="A38" s="1"/>
      <c r="B38" s="4" t="s">
        <v>2427</v>
      </c>
      <c r="C38" s="15"/>
      <c r="D38" s="1"/>
      <c r="E38" s="1"/>
      <c r="F38" s="1"/>
      <c r="G38" s="2">
        <v>47000.0</v>
      </c>
    </row>
    <row r="39" ht="15.75" customHeight="1">
      <c r="A39" s="1"/>
      <c r="B39" s="4" t="s">
        <v>245</v>
      </c>
      <c r="C39" s="15"/>
      <c r="D39" s="1"/>
      <c r="E39" s="1"/>
      <c r="F39" s="1"/>
      <c r="G39" s="2">
        <v>6000.0</v>
      </c>
    </row>
    <row r="40" ht="15.75" customHeight="1">
      <c r="A40" s="1"/>
      <c r="B40" s="4" t="s">
        <v>2428</v>
      </c>
      <c r="C40" s="15"/>
      <c r="D40" s="1"/>
      <c r="E40" s="1"/>
      <c r="F40" s="1"/>
      <c r="G40" s="2">
        <v>59020.0</v>
      </c>
    </row>
    <row r="41" ht="15.75" customHeight="1">
      <c r="A41" s="1"/>
      <c r="B41" s="4" t="s">
        <v>2345</v>
      </c>
      <c r="C41" s="15"/>
      <c r="D41" s="1"/>
      <c r="E41" s="1"/>
      <c r="F41" s="1"/>
      <c r="G41" s="2">
        <v>188636.0</v>
      </c>
    </row>
    <row r="42" ht="15.75" customHeight="1">
      <c r="A42" s="1"/>
      <c r="B42" s="4" t="s">
        <v>2429</v>
      </c>
      <c r="C42" s="15"/>
      <c r="D42" s="78"/>
      <c r="E42" s="1"/>
      <c r="F42" s="1"/>
      <c r="G42" s="79">
        <v>16000.0</v>
      </c>
    </row>
    <row r="43" ht="15.75" customHeight="1">
      <c r="A43" s="1"/>
      <c r="B43" s="4" t="s">
        <v>2430</v>
      </c>
      <c r="C43" s="15"/>
      <c r="D43" s="1"/>
      <c r="E43" s="1"/>
      <c r="F43" s="1"/>
      <c r="G43" s="2">
        <v>5000.0</v>
      </c>
    </row>
    <row r="44" ht="15.75" customHeight="1">
      <c r="A44" s="1"/>
      <c r="B44" s="4" t="s">
        <v>2431</v>
      </c>
      <c r="C44" s="15"/>
      <c r="D44" s="1"/>
      <c r="E44" s="1"/>
      <c r="F44" s="1"/>
      <c r="G44" s="2">
        <v>340504.0</v>
      </c>
    </row>
    <row r="45" ht="15.75" customHeight="1">
      <c r="A45" s="1"/>
      <c r="B45" s="4" t="s">
        <v>2432</v>
      </c>
      <c r="C45" s="15"/>
      <c r="D45" s="1"/>
      <c r="E45" s="1"/>
      <c r="F45" s="1"/>
      <c r="G45" s="2">
        <v>75000.0</v>
      </c>
    </row>
    <row r="46" ht="15.75" customHeight="1">
      <c r="A46" s="1"/>
      <c r="B46" s="4" t="s">
        <v>2433</v>
      </c>
      <c r="C46" s="15"/>
      <c r="D46" s="1"/>
      <c r="E46" s="1"/>
      <c r="F46" s="1"/>
      <c r="G46" s="2">
        <v>49725.0</v>
      </c>
    </row>
    <row r="47" ht="15.75" customHeight="1">
      <c r="A47" s="1"/>
      <c r="B47" s="1" t="s">
        <v>2434</v>
      </c>
      <c r="C47" s="1"/>
      <c r="D47" s="1"/>
      <c r="E47" s="1"/>
      <c r="F47" s="1"/>
      <c r="G47" s="13">
        <v>75000.0</v>
      </c>
    </row>
    <row r="48" ht="15.75" customHeight="1">
      <c r="A48" s="1"/>
      <c r="B48" s="1" t="s">
        <v>2435</v>
      </c>
      <c r="C48" s="1"/>
      <c r="D48" s="1"/>
      <c r="E48" s="1"/>
      <c r="F48" s="1"/>
      <c r="G48" s="13">
        <v>40000.0</v>
      </c>
    </row>
    <row r="49" ht="15.75" customHeight="1">
      <c r="A49" s="1"/>
      <c r="B49" s="1" t="s">
        <v>2436</v>
      </c>
      <c r="C49" s="1"/>
      <c r="D49" s="1"/>
      <c r="E49" s="1"/>
      <c r="F49" s="1"/>
      <c r="G49" s="13">
        <v>18000.0</v>
      </c>
    </row>
    <row r="50" ht="15.75" customHeight="1">
      <c r="A50" s="1"/>
      <c r="B50" s="1" t="s">
        <v>2344</v>
      </c>
      <c r="C50" s="1"/>
      <c r="D50" s="1"/>
      <c r="E50" s="1"/>
      <c r="F50" s="1"/>
      <c r="G50" s="13">
        <v>1000.0</v>
      </c>
    </row>
    <row r="51" ht="15.75" customHeight="1">
      <c r="A51" s="1"/>
      <c r="B51" s="1" t="s">
        <v>1964</v>
      </c>
      <c r="C51" s="1"/>
      <c r="D51" s="1"/>
      <c r="E51" s="1"/>
      <c r="F51" s="1"/>
      <c r="G51" s="13">
        <v>30000.0</v>
      </c>
    </row>
    <row r="52" ht="15.75" customHeight="1">
      <c r="A52" s="1"/>
      <c r="B52" s="1" t="s">
        <v>2437</v>
      </c>
      <c r="C52" s="1"/>
      <c r="D52" s="1"/>
      <c r="E52" s="1"/>
      <c r="F52" s="1"/>
      <c r="G52" s="13">
        <v>2494.0</v>
      </c>
    </row>
    <row r="53" ht="15.75" customHeight="1">
      <c r="A53" s="1"/>
      <c r="B53" s="1" t="s">
        <v>2438</v>
      </c>
      <c r="C53" s="1"/>
      <c r="D53" s="1"/>
      <c r="E53" s="1"/>
      <c r="F53" s="1"/>
      <c r="G53" s="13">
        <v>4000.0</v>
      </c>
    </row>
    <row r="54" ht="15.75" customHeight="1">
      <c r="A54" s="1"/>
      <c r="B54" s="1" t="s">
        <v>2439</v>
      </c>
      <c r="C54" s="1"/>
      <c r="D54" s="1"/>
      <c r="E54" s="1"/>
      <c r="F54" s="1"/>
      <c r="G54" s="13">
        <v>30000.0</v>
      </c>
    </row>
    <row r="55" ht="15.75" customHeight="1">
      <c r="A55" s="1"/>
      <c r="B55" s="1" t="s">
        <v>2440</v>
      </c>
      <c r="C55" s="1"/>
      <c r="D55" s="1"/>
      <c r="E55" s="1"/>
      <c r="F55" s="1"/>
      <c r="G55" s="13">
        <v>5000.0</v>
      </c>
    </row>
    <row r="56" ht="15.75" customHeight="1">
      <c r="A56" s="1"/>
      <c r="B56" s="1" t="s">
        <v>245</v>
      </c>
      <c r="C56" s="1"/>
      <c r="D56" s="1"/>
      <c r="E56" s="1"/>
      <c r="F56" s="1"/>
      <c r="G56" s="13">
        <v>6000.0</v>
      </c>
    </row>
    <row r="57" ht="15.75" customHeight="1">
      <c r="A57" s="1"/>
      <c r="B57" s="1" t="s">
        <v>2441</v>
      </c>
      <c r="C57" s="1"/>
      <c r="D57" s="1"/>
      <c r="E57" s="1"/>
      <c r="F57" s="1"/>
      <c r="G57" s="13">
        <v>60000.0</v>
      </c>
    </row>
    <row r="58" ht="15.75" customHeight="1">
      <c r="A58" s="1"/>
      <c r="B58" s="1" t="s">
        <v>2442</v>
      </c>
      <c r="C58" s="1"/>
      <c r="D58" s="1"/>
      <c r="E58" s="1"/>
      <c r="F58" s="1"/>
      <c r="G58" s="13">
        <v>5000.0</v>
      </c>
    </row>
    <row r="59" ht="15.75" customHeight="1">
      <c r="A59" s="1"/>
      <c r="B59" s="1" t="s">
        <v>2443</v>
      </c>
      <c r="C59" s="1"/>
      <c r="D59" s="1"/>
      <c r="E59" s="1"/>
      <c r="F59" s="1"/>
      <c r="G59" s="13">
        <v>17700.0</v>
      </c>
    </row>
    <row r="60" ht="15.75" customHeight="1">
      <c r="A60" s="1"/>
      <c r="B60" s="1" t="s">
        <v>2444</v>
      </c>
      <c r="C60" s="1"/>
      <c r="D60" s="1"/>
      <c r="E60" s="1"/>
      <c r="F60" s="1"/>
      <c r="G60" s="13">
        <v>10000.0</v>
      </c>
    </row>
    <row r="61" ht="15.75" customHeight="1">
      <c r="A61" s="1"/>
      <c r="B61" s="1" t="s">
        <v>1488</v>
      </c>
      <c r="C61" s="1"/>
      <c r="D61" s="1"/>
      <c r="E61" s="1"/>
      <c r="F61" s="1"/>
      <c r="G61" s="13">
        <v>7000.0</v>
      </c>
      <c r="M61" s="67" t="s">
        <v>480</v>
      </c>
    </row>
    <row r="62" ht="15.75" customHeight="1">
      <c r="A62" s="1"/>
      <c r="B62" s="1" t="s">
        <v>2163</v>
      </c>
      <c r="C62" s="1"/>
      <c r="D62" s="1"/>
      <c r="E62" s="1"/>
      <c r="F62" s="1"/>
      <c r="G62" s="13">
        <v>5000.0</v>
      </c>
    </row>
    <row r="63" ht="15.75" customHeight="1">
      <c r="A63" s="1"/>
      <c r="B63" s="1" t="s">
        <v>2445</v>
      </c>
      <c r="C63" s="1"/>
      <c r="D63" s="1"/>
      <c r="E63" s="1"/>
      <c r="F63" s="1"/>
      <c r="G63" s="13">
        <v>2000.0</v>
      </c>
    </row>
    <row r="64" ht="15.75" customHeight="1">
      <c r="A64" s="1"/>
      <c r="B64" s="1" t="s">
        <v>2446</v>
      </c>
      <c r="C64" s="1"/>
      <c r="D64" s="1"/>
      <c r="E64" s="1"/>
      <c r="F64" s="1"/>
      <c r="G64" s="13">
        <v>60000.0</v>
      </c>
    </row>
    <row r="65" ht="15.75" customHeight="1">
      <c r="A65" s="1"/>
      <c r="B65" s="1" t="s">
        <v>2068</v>
      </c>
      <c r="C65" s="1"/>
      <c r="D65" s="1"/>
      <c r="E65" s="1"/>
      <c r="F65" s="1"/>
      <c r="G65" s="13">
        <v>12000.0</v>
      </c>
    </row>
    <row r="66" ht="15.75" customHeight="1">
      <c r="A66" s="1"/>
      <c r="B66" s="1" t="s">
        <v>2447</v>
      </c>
      <c r="C66" s="1"/>
      <c r="D66" s="1"/>
      <c r="E66" s="1"/>
      <c r="F66" s="1"/>
      <c r="G66" s="13">
        <v>268351.0</v>
      </c>
    </row>
    <row r="67" ht="15.75" customHeight="1">
      <c r="A67" s="1"/>
      <c r="B67" s="1" t="s">
        <v>2448</v>
      </c>
      <c r="C67" s="1"/>
      <c r="D67" s="1"/>
      <c r="E67" s="1"/>
      <c r="F67" s="1"/>
      <c r="G67" s="13">
        <v>5000.0</v>
      </c>
    </row>
    <row r="68" ht="15.75" customHeight="1">
      <c r="A68" s="1"/>
      <c r="B68" s="1" t="s">
        <v>2449</v>
      </c>
      <c r="C68" s="1"/>
      <c r="D68" s="1"/>
      <c r="E68" s="1"/>
      <c r="F68" s="1"/>
      <c r="G68" s="13">
        <v>2000.0</v>
      </c>
    </row>
    <row r="69" ht="15.75" customHeight="1">
      <c r="A69" s="1"/>
      <c r="B69" s="43" t="s">
        <v>43</v>
      </c>
      <c r="C69" s="1"/>
      <c r="D69" s="1"/>
      <c r="E69" s="1"/>
      <c r="F69" s="1"/>
      <c r="G69" s="18">
        <f>SUM(G31:G68)</f>
        <v>1754080</v>
      </c>
    </row>
    <row r="70" ht="15.75" customHeight="1">
      <c r="A70" s="1"/>
      <c r="B70" s="19" t="s">
        <v>45</v>
      </c>
      <c r="C70" s="20"/>
      <c r="D70" s="20"/>
      <c r="E70" s="20"/>
      <c r="F70" s="20"/>
      <c r="G70" s="70">
        <f>SUM(G28+G69)</f>
        <v>3214080</v>
      </c>
    </row>
    <row r="71" ht="15.75" customHeight="1">
      <c r="A71" s="1"/>
      <c r="B71" s="4" t="s">
        <v>46</v>
      </c>
      <c r="C71" s="1"/>
      <c r="D71" s="1"/>
      <c r="E71" s="1"/>
      <c r="F71" s="1"/>
      <c r="G71" s="2"/>
    </row>
    <row r="72" ht="15.75" customHeight="1">
      <c r="A72" s="35" t="s">
        <v>2450</v>
      </c>
      <c r="B72" s="36"/>
      <c r="C72" s="37"/>
      <c r="D72" s="37"/>
      <c r="E72" s="37"/>
      <c r="F72" s="37"/>
      <c r="G72" s="71">
        <f>(G14-G70)</f>
        <v>129120</v>
      </c>
    </row>
    <row r="73" ht="15.75" customHeight="1">
      <c r="A73" s="22" t="s">
        <v>254</v>
      </c>
      <c r="B73" s="43" t="s">
        <v>255</v>
      </c>
      <c r="C73" s="1"/>
      <c r="D73" s="1"/>
      <c r="E73" s="1"/>
      <c r="F73" s="1"/>
      <c r="G73" s="2"/>
    </row>
    <row r="74" ht="15.75" customHeight="1">
      <c r="A74" s="22"/>
      <c r="B74" s="43"/>
      <c r="C74" s="1"/>
      <c r="D74" s="1"/>
      <c r="E74" s="1"/>
      <c r="F74" s="1"/>
      <c r="G74" s="2"/>
    </row>
    <row r="75" ht="15.75" customHeight="1">
      <c r="A75" s="22"/>
      <c r="B75" s="43"/>
      <c r="C75" s="1"/>
      <c r="D75" s="1"/>
      <c r="E75" s="1"/>
      <c r="F75" s="1"/>
      <c r="G75" s="2"/>
    </row>
    <row r="76" ht="15.75" customHeight="1">
      <c r="A76" s="44"/>
      <c r="B76" s="72" t="s">
        <v>51</v>
      </c>
      <c r="C76" s="27"/>
      <c r="D76" s="27"/>
      <c r="E76" s="27"/>
      <c r="F76" s="27"/>
      <c r="G76" s="73">
        <v>0.0</v>
      </c>
    </row>
    <row r="77" ht="15.75" customHeight="1">
      <c r="A77" s="44"/>
      <c r="B77" s="45" t="s">
        <v>2451</v>
      </c>
      <c r="C77" s="45"/>
      <c r="D77" s="45"/>
      <c r="E77" s="46"/>
      <c r="F77" s="46"/>
      <c r="G77" s="47">
        <f>G3+G72-G76</f>
        <v>2660870</v>
      </c>
    </row>
    <row r="78" ht="15.75" customHeight="1">
      <c r="A78" s="1"/>
      <c r="B78" s="32" t="s">
        <v>2452</v>
      </c>
    </row>
    <row r="79" ht="15.75" customHeight="1">
      <c r="A79" s="1"/>
      <c r="B79" s="1"/>
      <c r="C79" s="1" t="s">
        <v>1076</v>
      </c>
      <c r="D79" s="1"/>
      <c r="E79" s="1"/>
      <c r="F79" s="1"/>
      <c r="G79" s="2">
        <v>9600.0</v>
      </c>
    </row>
    <row r="80" ht="15.75" customHeight="1">
      <c r="A80" s="1"/>
      <c r="B80" s="1"/>
      <c r="C80" s="1" t="s">
        <v>1314</v>
      </c>
      <c r="D80" s="1"/>
      <c r="E80" s="1"/>
      <c r="F80" s="1"/>
      <c r="G80" s="2">
        <v>612100.0</v>
      </c>
    </row>
    <row r="81" ht="15.75" customHeight="1">
      <c r="A81" s="1"/>
      <c r="B81" s="1"/>
      <c r="C81" s="43" t="s">
        <v>115</v>
      </c>
      <c r="D81" s="1"/>
      <c r="E81" s="1"/>
      <c r="F81" s="1"/>
      <c r="G81" s="2">
        <v>621700.0</v>
      </c>
    </row>
    <row r="82" ht="15.75" customHeight="1">
      <c r="A82" s="1"/>
      <c r="B82" s="1"/>
      <c r="C82" s="43"/>
      <c r="D82" s="1"/>
      <c r="E82" s="1"/>
      <c r="F82" s="1"/>
      <c r="G82" s="2" t="s">
        <v>1585</v>
      </c>
    </row>
    <row r="83" ht="15.75" customHeight="1">
      <c r="A83" s="1"/>
      <c r="B83" s="43" t="s">
        <v>2453</v>
      </c>
      <c r="C83" s="43"/>
      <c r="D83" s="1"/>
      <c r="E83" s="1"/>
      <c r="F83" s="1"/>
      <c r="G83" s="2"/>
    </row>
    <row r="84" ht="15.75" customHeight="1">
      <c r="A84" s="1"/>
      <c r="B84" s="43" t="s">
        <v>2454</v>
      </c>
      <c r="C84" s="43"/>
      <c r="D84" s="1"/>
      <c r="E84" s="1"/>
      <c r="F84" s="1"/>
      <c r="G84" s="1"/>
    </row>
    <row r="85" ht="15.75" customHeight="1">
      <c r="A85" s="1"/>
      <c r="B85" s="43" t="s">
        <v>2455</v>
      </c>
      <c r="C85" s="43"/>
      <c r="D85" s="1"/>
      <c r="E85" s="1"/>
      <c r="F85" s="1"/>
      <c r="G85" s="1"/>
    </row>
    <row r="86" ht="15.75" customHeight="1">
      <c r="A86" s="1"/>
      <c r="B86" s="43"/>
      <c r="C86" s="43"/>
      <c r="D86" s="1"/>
      <c r="E86" s="1"/>
      <c r="F86" s="1"/>
      <c r="G86" s="1"/>
    </row>
    <row r="87" ht="15.75" customHeight="1">
      <c r="A87" s="1"/>
      <c r="B87" s="33" t="s">
        <v>2456</v>
      </c>
      <c r="C87" s="1"/>
      <c r="D87" s="1"/>
      <c r="E87" s="1"/>
      <c r="F87" s="1"/>
      <c r="G87" s="2"/>
    </row>
    <row r="88" ht="15.75" customHeight="1">
      <c r="A88" s="1"/>
      <c r="B88" s="33"/>
      <c r="C88" s="1"/>
      <c r="D88" s="1"/>
      <c r="E88" s="1"/>
      <c r="F88" s="1"/>
      <c r="G88" s="2"/>
    </row>
    <row r="89" ht="15.75" customHeight="1">
      <c r="A89" s="1"/>
      <c r="B89" s="55" t="s">
        <v>531</v>
      </c>
      <c r="C89" s="56"/>
      <c r="D89" s="56"/>
      <c r="E89" s="56"/>
      <c r="F89" s="1"/>
      <c r="G89" s="2"/>
    </row>
    <row r="90" ht="15.75" customHeight="1">
      <c r="A90" s="1"/>
      <c r="B90" s="55" t="s">
        <v>2457</v>
      </c>
      <c r="C90" s="56"/>
      <c r="D90" s="56"/>
      <c r="E90" s="56"/>
      <c r="F90" s="1"/>
      <c r="G90" s="2"/>
    </row>
    <row r="91" ht="15.75" customHeight="1">
      <c r="A91" s="1"/>
      <c r="B91" s="55" t="s">
        <v>533</v>
      </c>
      <c r="F91" s="1"/>
      <c r="G91" s="2"/>
    </row>
    <row r="92" ht="15.75" customHeight="1">
      <c r="A92" s="1"/>
      <c r="B92" s="55" t="s">
        <v>2458</v>
      </c>
      <c r="C92" s="56"/>
      <c r="D92" s="57"/>
      <c r="E92" s="56"/>
      <c r="F92" s="1"/>
      <c r="G92" s="2"/>
    </row>
    <row r="93" ht="15.75" customHeight="1">
      <c r="A93" s="1"/>
      <c r="B93" s="55" t="s">
        <v>535</v>
      </c>
      <c r="C93" s="56"/>
      <c r="D93" s="57"/>
      <c r="E93" s="56"/>
      <c r="F93" s="1"/>
      <c r="G93" s="2"/>
    </row>
    <row r="94" ht="15.75" customHeight="1">
      <c r="B94" s="55" t="s">
        <v>536</v>
      </c>
      <c r="C94" s="56"/>
      <c r="D94" s="57"/>
      <c r="E94" s="5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3:D13"/>
    <mergeCell ref="B14:F14"/>
    <mergeCell ref="B78:G78"/>
    <mergeCell ref="B91:E91"/>
  </mergeCells>
  <printOptions/>
  <pageMargins bottom="0.75" footer="0.0" header="0.0" left="0.7" right="0.7" top="0.7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0"/>
    <col customWidth="1" min="8" max="26" width="10.71"/>
  </cols>
  <sheetData>
    <row r="2">
      <c r="A2" s="1" t="s">
        <v>721</v>
      </c>
      <c r="B2" s="3" t="s">
        <v>2459</v>
      </c>
      <c r="C2" s="1"/>
      <c r="D2" s="1"/>
      <c r="E2" s="1"/>
      <c r="F2" s="1"/>
      <c r="G2" s="2"/>
    </row>
    <row r="3">
      <c r="A3" s="1"/>
      <c r="B3" s="75" t="s">
        <v>2460</v>
      </c>
      <c r="G3" s="47">
        <v>2660870.0</v>
      </c>
    </row>
    <row r="4">
      <c r="A4" s="1"/>
      <c r="G4" s="2"/>
    </row>
    <row r="5">
      <c r="A5" s="6" t="s">
        <v>2461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45200.0</v>
      </c>
      <c r="G6" s="7">
        <v>21000.0</v>
      </c>
    </row>
    <row r="7">
      <c r="A7" s="1"/>
      <c r="B7" s="4" t="s">
        <v>64</v>
      </c>
      <c r="C7" s="1"/>
      <c r="D7" s="1"/>
      <c r="E7" s="1"/>
      <c r="F7" s="2">
        <v>271700.0</v>
      </c>
      <c r="G7" s="7">
        <v>88000.0</v>
      </c>
    </row>
    <row r="8">
      <c r="A8" s="1"/>
      <c r="B8" s="4" t="s">
        <v>65</v>
      </c>
      <c r="C8" s="1"/>
      <c r="D8" s="1"/>
      <c r="E8" s="1"/>
      <c r="F8" s="2">
        <v>459600.0</v>
      </c>
      <c r="G8" s="7">
        <v>152000.0</v>
      </c>
    </row>
    <row r="9">
      <c r="A9" s="1"/>
      <c r="B9" s="4" t="s">
        <v>66</v>
      </c>
      <c r="C9" s="1"/>
      <c r="D9" s="1"/>
      <c r="E9" s="1"/>
      <c r="F9" s="2">
        <v>404500.0</v>
      </c>
      <c r="G9" s="76">
        <v>186000.0</v>
      </c>
    </row>
    <row r="10">
      <c r="A10" s="1"/>
      <c r="B10" s="4" t="s">
        <v>67</v>
      </c>
      <c r="C10" s="1"/>
      <c r="D10" s="49" t="s">
        <v>8</v>
      </c>
      <c r="E10" s="49"/>
      <c r="F10" s="7">
        <v>273800.0</v>
      </c>
      <c r="G10" s="7">
        <v>64000.0</v>
      </c>
    </row>
    <row r="11">
      <c r="A11" s="1"/>
      <c r="B11" s="4" t="s">
        <v>2462</v>
      </c>
      <c r="C11" s="1"/>
      <c r="D11" s="49"/>
      <c r="E11" s="49"/>
      <c r="F11" s="7">
        <v>295000.0</v>
      </c>
      <c r="G11" s="7" t="s">
        <v>480</v>
      </c>
    </row>
    <row r="12">
      <c r="A12" s="1"/>
      <c r="B12" s="4" t="s">
        <v>2463</v>
      </c>
      <c r="C12" s="1"/>
      <c r="D12" s="49"/>
      <c r="E12" s="49"/>
      <c r="F12" s="7">
        <v>290000.0</v>
      </c>
      <c r="G12" s="7"/>
    </row>
    <row r="13">
      <c r="A13" s="1"/>
      <c r="B13" s="4"/>
      <c r="C13" s="50" t="s">
        <v>405</v>
      </c>
      <c r="E13" s="4"/>
      <c r="F13" s="2">
        <f>SUM(F6:F12)</f>
        <v>2039800</v>
      </c>
      <c r="G13" s="7">
        <f>SUM(G6:G10)</f>
        <v>511000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2550800</v>
      </c>
    </row>
    <row r="15">
      <c r="A15" s="6" t="s">
        <v>2464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2465</v>
      </c>
      <c r="C17" s="1"/>
      <c r="D17" s="1"/>
      <c r="E17" s="1"/>
      <c r="F17" s="1"/>
      <c r="G17" s="77">
        <v>280000.0</v>
      </c>
    </row>
    <row r="18">
      <c r="A18" s="1"/>
      <c r="B18" s="4" t="s">
        <v>1594</v>
      </c>
      <c r="C18" s="1"/>
      <c r="D18" s="1"/>
      <c r="E18" s="1"/>
      <c r="F18" s="1"/>
      <c r="G18" s="77">
        <v>150000.0</v>
      </c>
    </row>
    <row r="19">
      <c r="A19" s="1"/>
      <c r="B19" s="4" t="s">
        <v>13</v>
      </c>
      <c r="C19" s="1"/>
      <c r="D19" s="1"/>
      <c r="E19" s="1"/>
      <c r="F19" s="1"/>
      <c r="G19" s="13">
        <v>150000.0</v>
      </c>
    </row>
    <row r="20">
      <c r="A20" s="1"/>
      <c r="B20" s="4" t="s">
        <v>14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150000.0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125000.0</v>
      </c>
    </row>
    <row r="25" ht="15.75" customHeight="1">
      <c r="A25" s="1"/>
      <c r="B25" s="4" t="s">
        <v>2149</v>
      </c>
      <c r="C25" s="1"/>
      <c r="D25" s="1"/>
      <c r="E25" s="1"/>
      <c r="F25" s="1"/>
      <c r="G25" s="77">
        <v>100000.0</v>
      </c>
    </row>
    <row r="26" ht="15.75" customHeight="1">
      <c r="A26" s="1"/>
      <c r="B26" s="4" t="s">
        <v>2241</v>
      </c>
      <c r="C26" s="1"/>
      <c r="D26" s="1"/>
      <c r="E26" s="1"/>
      <c r="F26" s="1"/>
      <c r="G26" s="77">
        <v>0.0</v>
      </c>
    </row>
    <row r="27" ht="15.75" customHeight="1">
      <c r="A27" s="1"/>
      <c r="B27" s="4" t="s">
        <v>2242</v>
      </c>
      <c r="C27" s="1"/>
      <c r="D27" s="1"/>
      <c r="E27" s="1"/>
      <c r="F27" s="1"/>
      <c r="G27" s="77">
        <v>174000.0</v>
      </c>
    </row>
    <row r="28" ht="15.75" customHeight="1">
      <c r="A28" s="1"/>
      <c r="B28" s="9" t="s">
        <v>18</v>
      </c>
      <c r="C28" s="10"/>
      <c r="D28" s="10"/>
      <c r="E28" s="10"/>
      <c r="F28" s="10"/>
      <c r="G28" s="69">
        <f>SUM(G17:G27)</f>
        <v>1504000</v>
      </c>
    </row>
    <row r="29" ht="15.75" customHeight="1">
      <c r="A29" s="1"/>
      <c r="B29" s="12" t="s">
        <v>19</v>
      </c>
      <c r="C29" s="15"/>
      <c r="D29" s="1"/>
      <c r="E29" s="1"/>
      <c r="F29" s="1"/>
      <c r="G29" s="2"/>
    </row>
    <row r="30" ht="15.75" customHeight="1">
      <c r="A30" s="1"/>
      <c r="B30" s="12"/>
      <c r="C30" s="15"/>
      <c r="D30" s="1"/>
      <c r="E30" s="1"/>
      <c r="F30" s="1"/>
      <c r="G30" s="2"/>
    </row>
    <row r="31" ht="15.75" customHeight="1">
      <c r="A31" s="1"/>
      <c r="B31" s="4" t="s">
        <v>2466</v>
      </c>
      <c r="C31" s="15"/>
      <c r="D31" s="1"/>
      <c r="E31" s="1"/>
      <c r="F31" s="1"/>
      <c r="G31" s="2">
        <v>74849.0</v>
      </c>
    </row>
    <row r="32" ht="15.75" customHeight="1">
      <c r="A32" s="1"/>
      <c r="B32" s="4" t="s">
        <v>2467</v>
      </c>
      <c r="C32" s="15"/>
      <c r="D32" s="1"/>
      <c r="E32" s="1"/>
      <c r="F32" s="1"/>
      <c r="G32" s="2">
        <v>75000.0</v>
      </c>
    </row>
    <row r="33" ht="15.75" customHeight="1">
      <c r="A33" s="1"/>
      <c r="B33" s="4" t="s">
        <v>2468</v>
      </c>
      <c r="C33" s="15"/>
      <c r="D33" s="1"/>
      <c r="E33" s="1"/>
      <c r="F33" s="1"/>
      <c r="G33" s="2">
        <v>75000.0</v>
      </c>
    </row>
    <row r="34" ht="15.75" customHeight="1">
      <c r="A34" s="1"/>
      <c r="B34" s="4" t="s">
        <v>2469</v>
      </c>
      <c r="C34" s="15"/>
      <c r="D34" s="1"/>
      <c r="E34" s="1"/>
      <c r="F34" s="1"/>
      <c r="G34" s="2">
        <v>1000.0</v>
      </c>
    </row>
    <row r="35" ht="15.75" customHeight="1">
      <c r="A35" s="1"/>
      <c r="B35" s="4" t="s">
        <v>2470</v>
      </c>
      <c r="C35" s="15"/>
      <c r="D35" s="1"/>
      <c r="E35" s="1"/>
      <c r="F35" s="1"/>
      <c r="G35" s="2">
        <v>29525.0</v>
      </c>
    </row>
    <row r="36" ht="15.75" customHeight="1">
      <c r="A36" s="1"/>
      <c r="B36" s="4" t="s">
        <v>2471</v>
      </c>
      <c r="C36" s="15"/>
      <c r="D36" s="1"/>
      <c r="E36" s="1"/>
      <c r="F36" s="1"/>
      <c r="G36" s="2">
        <v>160000.0</v>
      </c>
    </row>
    <row r="37" ht="15.75" customHeight="1">
      <c r="A37" s="1"/>
      <c r="B37" s="4" t="s">
        <v>2472</v>
      </c>
      <c r="C37" s="15"/>
      <c r="D37" s="1"/>
      <c r="E37" s="1"/>
      <c r="F37" s="1"/>
      <c r="G37" s="2">
        <v>9600.0</v>
      </c>
    </row>
    <row r="38" ht="15.75" customHeight="1">
      <c r="A38" s="1"/>
      <c r="B38" s="4" t="s">
        <v>2473</v>
      </c>
      <c r="C38" s="15"/>
      <c r="D38" s="1"/>
      <c r="E38" s="1"/>
      <c r="F38" s="1"/>
      <c r="G38" s="2">
        <v>6089.0</v>
      </c>
    </row>
    <row r="39" ht="15.75" customHeight="1">
      <c r="A39" s="1"/>
      <c r="B39" s="4" t="s">
        <v>2474</v>
      </c>
      <c r="C39" s="15"/>
      <c r="D39" s="1"/>
      <c r="E39" s="1"/>
      <c r="F39" s="1"/>
      <c r="G39" s="2">
        <v>5029.0</v>
      </c>
    </row>
    <row r="40" ht="15.75" customHeight="1">
      <c r="A40" s="1"/>
      <c r="B40" s="4" t="s">
        <v>2475</v>
      </c>
      <c r="C40" s="15"/>
      <c r="D40" s="1"/>
      <c r="E40" s="1"/>
      <c r="F40" s="1"/>
      <c r="G40" s="2">
        <v>16000.0</v>
      </c>
    </row>
    <row r="41" ht="15.75" customHeight="1">
      <c r="A41" s="1"/>
      <c r="B41" s="4" t="s">
        <v>2476</v>
      </c>
      <c r="C41" s="15"/>
      <c r="D41" s="1"/>
      <c r="E41" s="1"/>
      <c r="F41" s="1"/>
      <c r="G41" s="2">
        <v>100000.0</v>
      </c>
    </row>
    <row r="42" ht="15.75" customHeight="1">
      <c r="A42" s="1"/>
      <c r="B42" s="4" t="s">
        <v>2477</v>
      </c>
      <c r="C42" s="15"/>
      <c r="D42" s="1"/>
      <c r="E42" s="1"/>
      <c r="F42" s="1"/>
      <c r="G42" s="2">
        <v>61000.0</v>
      </c>
    </row>
    <row r="43" ht="15.75" customHeight="1">
      <c r="A43" s="1"/>
      <c r="B43" s="4" t="s">
        <v>2478</v>
      </c>
      <c r="C43" s="15"/>
      <c r="D43" s="78"/>
      <c r="E43" s="1"/>
      <c r="F43" s="1"/>
      <c r="G43" s="79">
        <v>62500.0</v>
      </c>
    </row>
    <row r="44" ht="15.75" customHeight="1">
      <c r="A44" s="1"/>
      <c r="B44" s="4" t="s">
        <v>2479</v>
      </c>
      <c r="C44" s="15"/>
      <c r="D44" s="1"/>
      <c r="E44" s="1"/>
      <c r="F44" s="1"/>
      <c r="G44" s="2">
        <v>124018.0</v>
      </c>
    </row>
    <row r="45" ht="15.75" customHeight="1">
      <c r="A45" s="1"/>
      <c r="B45" s="4" t="s">
        <v>2480</v>
      </c>
      <c r="C45" s="15"/>
      <c r="D45" s="1"/>
      <c r="E45" s="1"/>
      <c r="F45" s="1"/>
      <c r="G45" s="2">
        <v>75000.0</v>
      </c>
    </row>
    <row r="46" ht="15.75" customHeight="1">
      <c r="A46" s="1"/>
      <c r="B46" s="4" t="s">
        <v>2481</v>
      </c>
      <c r="C46" s="15"/>
      <c r="D46" s="1"/>
      <c r="E46" s="1"/>
      <c r="F46" s="1"/>
      <c r="G46" s="2">
        <v>75000.0</v>
      </c>
    </row>
    <row r="47" ht="15.75" customHeight="1">
      <c r="A47" s="1"/>
      <c r="B47" s="4" t="s">
        <v>2482</v>
      </c>
      <c r="C47" s="15"/>
      <c r="D47" s="1"/>
      <c r="E47" s="1"/>
      <c r="F47" s="1"/>
      <c r="G47" s="2">
        <v>60882.0</v>
      </c>
    </row>
    <row r="48" ht="15.75" customHeight="1">
      <c r="A48" s="1"/>
      <c r="B48" s="1"/>
      <c r="C48" s="1"/>
      <c r="D48" s="1"/>
      <c r="E48" s="1"/>
      <c r="F48" s="1"/>
      <c r="G48" s="13" t="s">
        <v>480</v>
      </c>
    </row>
    <row r="49" ht="15.75" customHeight="1">
      <c r="A49" s="1"/>
      <c r="B49" s="43" t="s">
        <v>43</v>
      </c>
      <c r="C49" s="1"/>
      <c r="D49" s="1"/>
      <c r="E49" s="1"/>
      <c r="F49" s="1"/>
      <c r="G49" s="18">
        <f>SUM(G31:G48)</f>
        <v>1010492</v>
      </c>
    </row>
    <row r="50" ht="15.75" customHeight="1">
      <c r="A50" s="1"/>
      <c r="B50" s="19" t="s">
        <v>45</v>
      </c>
      <c r="C50" s="20"/>
      <c r="D50" s="20"/>
      <c r="E50" s="20"/>
      <c r="F50" s="20"/>
      <c r="G50" s="70">
        <f>SUM(G28+G49)</f>
        <v>2514492</v>
      </c>
    </row>
    <row r="51" ht="15.75" customHeight="1">
      <c r="A51" s="1"/>
      <c r="B51" s="4" t="s">
        <v>46</v>
      </c>
      <c r="C51" s="1"/>
      <c r="D51" s="1"/>
      <c r="E51" s="1"/>
      <c r="F51" s="1"/>
      <c r="G51" s="2"/>
    </row>
    <row r="52" ht="15.75" customHeight="1">
      <c r="A52" s="35" t="s">
        <v>2483</v>
      </c>
      <c r="B52" s="36"/>
      <c r="C52" s="37"/>
      <c r="D52" s="37"/>
      <c r="E52" s="37"/>
      <c r="F52" s="37"/>
      <c r="G52" s="71">
        <f>(G14-G50)</f>
        <v>36308</v>
      </c>
    </row>
    <row r="53" ht="15.75" customHeight="1">
      <c r="A53" s="22" t="s">
        <v>254</v>
      </c>
      <c r="B53" s="43" t="s">
        <v>255</v>
      </c>
      <c r="C53" s="1"/>
      <c r="D53" s="1"/>
      <c r="E53" s="1"/>
      <c r="F53" s="1"/>
      <c r="G53" s="2"/>
    </row>
    <row r="54" ht="15.75" customHeight="1">
      <c r="A54" s="22"/>
      <c r="B54" s="43"/>
      <c r="C54" s="1"/>
      <c r="D54" s="1"/>
      <c r="E54" s="1"/>
      <c r="F54" s="1"/>
      <c r="G54" s="2"/>
    </row>
    <row r="55" ht="15.75" customHeight="1">
      <c r="A55" s="22"/>
      <c r="B55" s="43"/>
      <c r="C55" s="1"/>
      <c r="D55" s="1"/>
      <c r="E55" s="1"/>
      <c r="F55" s="1"/>
      <c r="G55" s="2"/>
    </row>
    <row r="56" ht="15.75" customHeight="1">
      <c r="A56" s="44"/>
      <c r="B56" s="72" t="s">
        <v>51</v>
      </c>
      <c r="C56" s="27"/>
      <c r="D56" s="27"/>
      <c r="E56" s="27"/>
      <c r="F56" s="27"/>
      <c r="G56" s="73">
        <v>0.0</v>
      </c>
    </row>
    <row r="57" ht="15.75" customHeight="1">
      <c r="A57" s="44"/>
      <c r="B57" s="45" t="s">
        <v>2484</v>
      </c>
      <c r="C57" s="45"/>
      <c r="D57" s="45"/>
      <c r="E57" s="46"/>
      <c r="F57" s="46"/>
      <c r="G57" s="47">
        <f>G3+G52-G56</f>
        <v>2697178</v>
      </c>
    </row>
    <row r="58" ht="15.75" customHeight="1">
      <c r="A58" s="1"/>
      <c r="B58" s="32" t="s">
        <v>2485</v>
      </c>
    </row>
    <row r="59" ht="15.75" customHeight="1">
      <c r="A59" s="1"/>
      <c r="B59" s="1"/>
      <c r="C59" s="1" t="s">
        <v>1076</v>
      </c>
      <c r="D59" s="1"/>
      <c r="E59" s="1"/>
      <c r="F59" s="1"/>
      <c r="G59" s="2">
        <v>9600.0</v>
      </c>
    </row>
    <row r="60" ht="15.75" customHeight="1">
      <c r="A60" s="1"/>
      <c r="B60" s="1"/>
      <c r="C60" s="1" t="s">
        <v>1314</v>
      </c>
      <c r="D60" s="1"/>
      <c r="E60" s="1"/>
      <c r="F60" s="1"/>
      <c r="G60" s="2">
        <v>612100.0</v>
      </c>
    </row>
    <row r="61" ht="15.75" customHeight="1">
      <c r="A61" s="1"/>
      <c r="B61" s="1"/>
      <c r="C61" s="43" t="s">
        <v>115</v>
      </c>
      <c r="D61" s="1"/>
      <c r="E61" s="1"/>
      <c r="F61" s="1"/>
      <c r="G61" s="2">
        <v>621700.0</v>
      </c>
    </row>
    <row r="62" ht="15.75" customHeight="1">
      <c r="A62" s="1"/>
      <c r="B62" s="1"/>
      <c r="C62" s="43"/>
      <c r="D62" s="1"/>
      <c r="E62" s="1"/>
      <c r="F62" s="1"/>
      <c r="G62" s="2" t="s">
        <v>1585</v>
      </c>
    </row>
    <row r="63" ht="15.75" customHeight="1">
      <c r="A63" s="1"/>
      <c r="B63" s="43" t="s">
        <v>2453</v>
      </c>
      <c r="C63" s="43"/>
      <c r="D63" s="1"/>
      <c r="E63" s="1"/>
      <c r="F63" s="1"/>
      <c r="G63" s="2"/>
    </row>
    <row r="64" ht="15.75" customHeight="1">
      <c r="A64" s="1"/>
      <c r="B64" s="43" t="s">
        <v>2486</v>
      </c>
      <c r="C64" s="43"/>
      <c r="D64" s="1"/>
      <c r="E64" s="1"/>
      <c r="F64" s="1"/>
      <c r="G64" s="1"/>
    </row>
    <row r="65" ht="15.75" customHeight="1">
      <c r="A65" s="1"/>
      <c r="B65" s="43" t="s">
        <v>2487</v>
      </c>
      <c r="C65" s="43"/>
      <c r="D65" s="1"/>
      <c r="E65" s="1"/>
      <c r="F65" s="1"/>
      <c r="G65" s="1"/>
    </row>
    <row r="66" ht="15.75" customHeight="1">
      <c r="A66" s="1"/>
      <c r="B66" s="43"/>
      <c r="C66" s="43"/>
      <c r="D66" s="1"/>
      <c r="E66" s="1"/>
      <c r="F66" s="1"/>
      <c r="G66" s="1"/>
    </row>
    <row r="67" ht="15.75" customHeight="1">
      <c r="A67" s="1"/>
      <c r="B67" s="33" t="s">
        <v>2488</v>
      </c>
      <c r="C67" s="1"/>
      <c r="D67" s="1"/>
      <c r="E67" s="1"/>
      <c r="F67" s="1"/>
      <c r="G67" s="2"/>
    </row>
    <row r="68" ht="15.75" customHeight="1">
      <c r="A68" s="1"/>
      <c r="B68" s="33"/>
      <c r="C68" s="1"/>
      <c r="D68" s="1"/>
      <c r="E68" s="1"/>
      <c r="F68" s="1"/>
      <c r="G68" s="2"/>
    </row>
    <row r="69" ht="15.75" customHeight="1">
      <c r="A69" s="1"/>
      <c r="B69" s="55" t="s">
        <v>531</v>
      </c>
      <c r="C69" s="56"/>
      <c r="D69" s="56"/>
      <c r="E69" s="56"/>
      <c r="F69" s="1"/>
      <c r="G69" s="2"/>
    </row>
    <row r="70" ht="15.75" customHeight="1">
      <c r="A70" s="1"/>
      <c r="B70" s="55" t="s">
        <v>2489</v>
      </c>
      <c r="C70" s="56"/>
      <c r="D70" s="56"/>
      <c r="E70" s="56"/>
      <c r="F70" s="1"/>
      <c r="G70" s="2"/>
    </row>
    <row r="71" ht="15.75" customHeight="1">
      <c r="A71" s="1"/>
      <c r="B71" s="55" t="s">
        <v>533</v>
      </c>
      <c r="F71" s="1"/>
      <c r="G71" s="2"/>
    </row>
    <row r="72" ht="15.75" customHeight="1">
      <c r="A72" s="1"/>
      <c r="B72" s="55" t="s">
        <v>2490</v>
      </c>
      <c r="C72" s="56"/>
      <c r="D72" s="57"/>
      <c r="E72" s="56"/>
      <c r="F72" s="1"/>
      <c r="G72" s="2"/>
    </row>
    <row r="73" ht="15.75" customHeight="1">
      <c r="A73" s="1"/>
      <c r="B73" s="55" t="s">
        <v>535</v>
      </c>
      <c r="C73" s="56"/>
      <c r="D73" s="57"/>
      <c r="E73" s="56"/>
      <c r="F73" s="1"/>
      <c r="G73" s="2"/>
    </row>
    <row r="74" ht="15.75" customHeight="1">
      <c r="B74" s="55" t="s">
        <v>536</v>
      </c>
      <c r="C74" s="56"/>
      <c r="D74" s="57"/>
      <c r="E74" s="57"/>
    </row>
    <row r="75" ht="15.75" customHeight="1">
      <c r="N75" s="67" t="s">
        <v>480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3:D13"/>
    <mergeCell ref="B14:F14"/>
    <mergeCell ref="B58:G58"/>
    <mergeCell ref="B71:E71"/>
  </mergeCells>
  <printOptions/>
  <pageMargins bottom="0.75" footer="0.0" header="0.0" left="0.7" right="0.7" top="0.7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6" width="10.71"/>
    <col customWidth="1" min="7" max="7" width="14.71"/>
    <col customWidth="1" min="8" max="26" width="10.71"/>
  </cols>
  <sheetData>
    <row r="2">
      <c r="A2" s="1" t="s">
        <v>721</v>
      </c>
      <c r="B2" s="3" t="s">
        <v>2491</v>
      </c>
      <c r="C2" s="1"/>
      <c r="D2" s="1"/>
      <c r="E2" s="1"/>
      <c r="F2" s="1"/>
      <c r="G2" s="2"/>
    </row>
    <row r="3">
      <c r="A3" s="1"/>
      <c r="B3" s="75" t="s">
        <v>2492</v>
      </c>
      <c r="G3" s="47">
        <v>2697178.0</v>
      </c>
    </row>
    <row r="4">
      <c r="A4" s="1"/>
      <c r="G4" s="2"/>
    </row>
    <row r="5">
      <c r="A5" s="6" t="s">
        <v>2493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495600.0</v>
      </c>
      <c r="G6" s="7">
        <v>141000.0</v>
      </c>
    </row>
    <row r="7">
      <c r="A7" s="1"/>
      <c r="B7" s="4" t="s">
        <v>64</v>
      </c>
      <c r="C7" s="1"/>
      <c r="D7" s="1"/>
      <c r="E7" s="1"/>
      <c r="F7" s="2">
        <v>588000.0</v>
      </c>
      <c r="G7" s="7">
        <v>152000.0</v>
      </c>
    </row>
    <row r="8">
      <c r="A8" s="1"/>
      <c r="B8" s="4" t="s">
        <v>65</v>
      </c>
      <c r="C8" s="1"/>
      <c r="D8" s="1"/>
      <c r="E8" s="1"/>
      <c r="F8" s="2">
        <v>491600.0</v>
      </c>
      <c r="G8" s="7">
        <v>113000.0</v>
      </c>
    </row>
    <row r="9">
      <c r="A9" s="1"/>
      <c r="B9" s="4" t="s">
        <v>66</v>
      </c>
      <c r="C9" s="1"/>
      <c r="D9" s="1"/>
      <c r="E9" s="1"/>
      <c r="F9" s="2">
        <v>410400.0</v>
      </c>
      <c r="G9" s="76">
        <v>128000.0</v>
      </c>
    </row>
    <row r="10">
      <c r="A10" s="1"/>
      <c r="B10" s="4" t="s">
        <v>67</v>
      </c>
      <c r="C10" s="1"/>
      <c r="D10" s="49" t="s">
        <v>8</v>
      </c>
      <c r="E10" s="49"/>
      <c r="F10" s="7">
        <v>172300.0</v>
      </c>
      <c r="G10" s="7">
        <v>43000.0</v>
      </c>
    </row>
    <row r="11">
      <c r="A11" s="1"/>
      <c r="B11" s="4" t="s">
        <v>2494</v>
      </c>
      <c r="C11" s="1"/>
      <c r="D11" s="49"/>
      <c r="E11" s="49"/>
      <c r="F11" s="7">
        <v>474000.0</v>
      </c>
      <c r="G11" s="7" t="s">
        <v>480</v>
      </c>
    </row>
    <row r="12">
      <c r="A12" s="1"/>
      <c r="B12" s="4" t="s">
        <v>2495</v>
      </c>
      <c r="C12" s="1"/>
      <c r="D12" s="49"/>
      <c r="E12" s="49"/>
      <c r="F12" s="7">
        <v>500000.0</v>
      </c>
      <c r="G12" s="7"/>
    </row>
    <row r="13">
      <c r="A13" s="1"/>
      <c r="B13" s="4"/>
      <c r="C13" s="50" t="s">
        <v>405</v>
      </c>
      <c r="E13" s="4"/>
      <c r="F13" s="2">
        <f>SUM(F6:F12)</f>
        <v>3131900</v>
      </c>
      <c r="G13" s="7">
        <f>SUM(G6:G10)</f>
        <v>577000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3708900</v>
      </c>
    </row>
    <row r="15">
      <c r="A15" s="6" t="s">
        <v>2496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2465</v>
      </c>
      <c r="C17" s="1"/>
      <c r="D17" s="1"/>
      <c r="E17" s="1"/>
      <c r="F17" s="1"/>
      <c r="G17" s="77">
        <v>280000.0</v>
      </c>
    </row>
    <row r="18">
      <c r="A18" s="1"/>
      <c r="B18" s="4" t="s">
        <v>1594</v>
      </c>
      <c r="C18" s="1"/>
      <c r="D18" s="1"/>
      <c r="E18" s="1"/>
      <c r="F18" s="1"/>
      <c r="G18" s="77">
        <v>150000.0</v>
      </c>
    </row>
    <row r="19">
      <c r="A19" s="1"/>
      <c r="B19" s="4" t="s">
        <v>13</v>
      </c>
      <c r="C19" s="1"/>
      <c r="D19" s="1"/>
      <c r="E19" s="1"/>
      <c r="F19" s="1"/>
      <c r="G19" s="13">
        <v>150000.0</v>
      </c>
    </row>
    <row r="20">
      <c r="A20" s="1"/>
      <c r="B20" s="4" t="s">
        <v>14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150000.0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125000.0</v>
      </c>
    </row>
    <row r="25" ht="15.75" customHeight="1">
      <c r="A25" s="1"/>
      <c r="B25" s="4" t="s">
        <v>2149</v>
      </c>
      <c r="C25" s="1"/>
      <c r="D25" s="1"/>
      <c r="E25" s="1"/>
      <c r="F25" s="1"/>
      <c r="G25" s="77">
        <v>100000.0</v>
      </c>
    </row>
    <row r="26" ht="15.75" customHeight="1">
      <c r="A26" s="1"/>
      <c r="B26" s="4" t="s">
        <v>2242</v>
      </c>
      <c r="C26" s="1"/>
      <c r="D26" s="1"/>
      <c r="E26" s="1"/>
      <c r="F26" s="1"/>
      <c r="G26" s="77">
        <v>300000.0</v>
      </c>
    </row>
    <row r="27" ht="15.75" customHeight="1">
      <c r="A27" s="1"/>
      <c r="B27" s="9" t="s">
        <v>18</v>
      </c>
      <c r="C27" s="10"/>
      <c r="D27" s="10"/>
      <c r="E27" s="10"/>
      <c r="F27" s="10"/>
      <c r="G27" s="69">
        <f>SUM(G17:G26)</f>
        <v>1630000</v>
      </c>
    </row>
    <row r="28" ht="15.75" customHeight="1">
      <c r="A28" s="1"/>
      <c r="B28" s="12" t="s">
        <v>19</v>
      </c>
      <c r="C28" s="15"/>
      <c r="D28" s="1"/>
      <c r="E28" s="1"/>
      <c r="F28" s="1"/>
      <c r="G28" s="2"/>
    </row>
    <row r="29" ht="15.75" customHeight="1">
      <c r="A29" s="1"/>
      <c r="B29" s="4" t="s">
        <v>2497</v>
      </c>
      <c r="C29" s="15"/>
      <c r="D29" s="1"/>
      <c r="E29" s="1"/>
      <c r="F29" s="1"/>
      <c r="G29" s="2">
        <v>4368.0</v>
      </c>
    </row>
    <row r="30" ht="15.75" customHeight="1">
      <c r="A30" s="1"/>
      <c r="B30" s="4" t="s">
        <v>2498</v>
      </c>
      <c r="C30" s="15"/>
      <c r="D30" s="1"/>
      <c r="E30" s="1"/>
      <c r="F30" s="1"/>
      <c r="G30" s="2">
        <v>5000.0</v>
      </c>
    </row>
    <row r="31" ht="15.75" customHeight="1">
      <c r="A31" s="1"/>
      <c r="B31" s="4" t="s">
        <v>2468</v>
      </c>
      <c r="C31" s="15"/>
      <c r="D31" s="1"/>
      <c r="E31" s="1"/>
      <c r="F31" s="1"/>
      <c r="G31" s="2">
        <v>75000.0</v>
      </c>
    </row>
    <row r="32" ht="15.75" customHeight="1">
      <c r="A32" s="1"/>
      <c r="B32" s="4" t="s">
        <v>2499</v>
      </c>
      <c r="C32" s="15"/>
      <c r="D32" s="1"/>
      <c r="E32" s="1"/>
      <c r="F32" s="1"/>
      <c r="G32" s="2">
        <v>2000.0</v>
      </c>
    </row>
    <row r="33" ht="15.75" customHeight="1">
      <c r="A33" s="1"/>
      <c r="B33" s="4" t="s">
        <v>2500</v>
      </c>
      <c r="C33" s="15"/>
      <c r="D33" s="1"/>
      <c r="E33" s="1"/>
      <c r="F33" s="1"/>
      <c r="G33" s="2">
        <v>38350.0</v>
      </c>
    </row>
    <row r="34" ht="15.75" customHeight="1">
      <c r="A34" s="1"/>
      <c r="B34" s="4" t="s">
        <v>2501</v>
      </c>
      <c r="C34" s="15"/>
      <c r="D34" s="1"/>
      <c r="E34" s="1"/>
      <c r="F34" s="1"/>
      <c r="G34" s="2">
        <v>9340.0</v>
      </c>
    </row>
    <row r="35" ht="15.75" customHeight="1">
      <c r="A35" s="1"/>
      <c r="B35" s="4" t="s">
        <v>2502</v>
      </c>
      <c r="C35" s="15"/>
      <c r="D35" s="1"/>
      <c r="E35" s="1"/>
      <c r="F35" s="1"/>
      <c r="G35" s="2">
        <v>75300.0</v>
      </c>
    </row>
    <row r="36" ht="15.75" customHeight="1">
      <c r="A36" s="1"/>
      <c r="B36" s="4" t="s">
        <v>2503</v>
      </c>
      <c r="C36" s="15"/>
      <c r="D36" s="1"/>
      <c r="E36" s="1"/>
      <c r="F36" s="1"/>
      <c r="G36" s="2">
        <v>18000.0</v>
      </c>
    </row>
    <row r="37" ht="15.75" customHeight="1">
      <c r="A37" s="1"/>
      <c r="B37" s="4" t="s">
        <v>2157</v>
      </c>
      <c r="C37" s="15"/>
      <c r="D37" s="1"/>
      <c r="E37" s="1"/>
      <c r="F37" s="1"/>
      <c r="G37" s="2">
        <v>20000.0</v>
      </c>
    </row>
    <row r="38" ht="15.75" customHeight="1">
      <c r="A38" s="1"/>
      <c r="B38" s="4" t="s">
        <v>2504</v>
      </c>
      <c r="C38" s="15"/>
      <c r="D38" s="1"/>
      <c r="E38" s="1"/>
      <c r="F38" s="1"/>
      <c r="G38" s="2">
        <v>17000.0</v>
      </c>
    </row>
    <row r="39" ht="15.75" customHeight="1">
      <c r="A39" s="1"/>
      <c r="B39" s="4" t="s">
        <v>2505</v>
      </c>
      <c r="C39" s="15"/>
      <c r="D39" s="1"/>
      <c r="E39" s="1"/>
      <c r="F39" s="1"/>
      <c r="G39" s="2">
        <v>1600.0</v>
      </c>
    </row>
    <row r="40" ht="15.75" customHeight="1">
      <c r="A40" s="1"/>
      <c r="B40" s="4" t="s">
        <v>2506</v>
      </c>
      <c r="C40" s="15"/>
      <c r="D40" s="1"/>
      <c r="E40" s="1"/>
      <c r="F40" s="1"/>
      <c r="G40" s="2">
        <v>60000.0</v>
      </c>
    </row>
    <row r="41" ht="15.75" customHeight="1">
      <c r="A41" s="1"/>
      <c r="B41" s="4" t="s">
        <v>2507</v>
      </c>
      <c r="C41" s="15"/>
      <c r="D41" s="78"/>
      <c r="E41" s="1"/>
      <c r="F41" s="1"/>
      <c r="G41" s="79">
        <v>3000.0</v>
      </c>
    </row>
    <row r="42" ht="15.75" customHeight="1">
      <c r="A42" s="1"/>
      <c r="B42" s="4" t="s">
        <v>2508</v>
      </c>
      <c r="C42" s="15"/>
      <c r="D42" s="1"/>
      <c r="E42" s="1"/>
      <c r="F42" s="1"/>
      <c r="G42" s="2">
        <v>75000.0</v>
      </c>
    </row>
    <row r="43" ht="15.75" customHeight="1">
      <c r="A43" s="1"/>
      <c r="B43" s="4" t="s">
        <v>2509</v>
      </c>
      <c r="C43" s="15"/>
      <c r="D43" s="1"/>
      <c r="E43" s="1"/>
      <c r="F43" s="1"/>
      <c r="G43" s="2">
        <v>2524.0</v>
      </c>
    </row>
    <row r="44" ht="15.75" customHeight="1">
      <c r="A44" s="1"/>
      <c r="B44" s="4" t="s">
        <v>1090</v>
      </c>
      <c r="C44" s="15"/>
      <c r="D44" s="1"/>
      <c r="E44" s="1"/>
      <c r="F44" s="1"/>
      <c r="G44" s="2">
        <v>4000.0</v>
      </c>
    </row>
    <row r="45" ht="15.75" customHeight="1">
      <c r="A45" s="1"/>
      <c r="B45" s="4" t="s">
        <v>2510</v>
      </c>
      <c r="C45" s="15"/>
      <c r="D45" s="1"/>
      <c r="E45" s="1"/>
      <c r="F45" s="1"/>
      <c r="G45" s="2">
        <v>31000.0</v>
      </c>
    </row>
    <row r="46" ht="15.75" customHeight="1">
      <c r="A46" s="1"/>
      <c r="B46" s="1" t="s">
        <v>2511</v>
      </c>
      <c r="C46" s="1"/>
      <c r="D46" s="1"/>
      <c r="E46" s="1"/>
      <c r="F46" s="1"/>
      <c r="G46" s="13">
        <v>6235.0</v>
      </c>
    </row>
    <row r="47" ht="15.75" customHeight="1">
      <c r="A47" s="1"/>
      <c r="B47" s="1" t="s">
        <v>2512</v>
      </c>
      <c r="C47" s="1"/>
      <c r="D47" s="1"/>
      <c r="E47" s="1"/>
      <c r="F47" s="1"/>
      <c r="G47" s="13">
        <v>9600.0</v>
      </c>
    </row>
    <row r="48" ht="15.75" customHeight="1">
      <c r="A48" s="1"/>
      <c r="B48" s="1" t="s">
        <v>2498</v>
      </c>
      <c r="C48" s="1"/>
      <c r="D48" s="1"/>
      <c r="E48" s="1"/>
      <c r="F48" s="1"/>
      <c r="G48" s="13">
        <v>5000.0</v>
      </c>
    </row>
    <row r="49" ht="15.75" customHeight="1">
      <c r="A49" s="1"/>
      <c r="B49" s="1" t="s">
        <v>203</v>
      </c>
      <c r="C49" s="1"/>
      <c r="D49" s="1"/>
      <c r="E49" s="1"/>
      <c r="F49" s="1"/>
      <c r="G49" s="13">
        <v>7000.0</v>
      </c>
    </row>
    <row r="50" ht="15.75" customHeight="1">
      <c r="A50" s="1"/>
      <c r="B50" s="1" t="s">
        <v>2513</v>
      </c>
      <c r="C50" s="1"/>
      <c r="D50" s="1"/>
      <c r="E50" s="1"/>
      <c r="F50" s="1"/>
      <c r="G50" s="13">
        <v>3200.0</v>
      </c>
    </row>
    <row r="51" ht="15.75" customHeight="1">
      <c r="A51" s="1"/>
      <c r="B51" s="1" t="s">
        <v>2514</v>
      </c>
      <c r="C51" s="1"/>
      <c r="D51" s="1"/>
      <c r="E51" s="1"/>
      <c r="F51" s="1"/>
      <c r="G51" s="13">
        <v>125000.0</v>
      </c>
    </row>
    <row r="52" ht="15.75" customHeight="1">
      <c r="A52" s="1"/>
      <c r="B52" s="1" t="s">
        <v>2515</v>
      </c>
      <c r="C52" s="1"/>
      <c r="D52" s="1"/>
      <c r="E52" s="1"/>
      <c r="F52" s="1"/>
      <c r="G52" s="13">
        <v>75000.0</v>
      </c>
    </row>
    <row r="53" ht="15.75" customHeight="1">
      <c r="A53" s="1"/>
      <c r="B53" s="1" t="s">
        <v>2516</v>
      </c>
      <c r="C53" s="1"/>
      <c r="D53" s="1"/>
      <c r="E53" s="1"/>
      <c r="F53" s="1"/>
      <c r="G53" s="13">
        <v>48550.0</v>
      </c>
    </row>
    <row r="54" ht="15.75" customHeight="1">
      <c r="A54" s="1"/>
      <c r="B54" s="1" t="s">
        <v>2517</v>
      </c>
      <c r="C54" s="1"/>
      <c r="D54" s="1"/>
      <c r="E54" s="1"/>
      <c r="F54" s="1"/>
      <c r="G54" s="13">
        <v>150000.0</v>
      </c>
    </row>
    <row r="55" ht="15.75" customHeight="1">
      <c r="A55" s="1"/>
      <c r="B55" s="1" t="s">
        <v>2518</v>
      </c>
      <c r="C55" s="1"/>
      <c r="D55" s="1"/>
      <c r="E55" s="1"/>
      <c r="F55" s="1"/>
      <c r="G55" s="13">
        <v>448300.0</v>
      </c>
    </row>
    <row r="56" ht="15.75" customHeight="1">
      <c r="A56" s="1"/>
      <c r="B56" s="1" t="s">
        <v>2519</v>
      </c>
      <c r="C56" s="1"/>
      <c r="D56" s="1"/>
      <c r="E56" s="1"/>
      <c r="F56" s="1"/>
      <c r="G56" s="13">
        <v>30000.0</v>
      </c>
    </row>
    <row r="57" ht="15.75" customHeight="1">
      <c r="A57" s="1"/>
      <c r="B57" s="1" t="s">
        <v>2520</v>
      </c>
      <c r="C57" s="1"/>
      <c r="D57" s="1"/>
      <c r="E57" s="1"/>
      <c r="F57" s="1"/>
      <c r="G57" s="13">
        <v>25000.0</v>
      </c>
    </row>
    <row r="58" ht="15.75" customHeight="1">
      <c r="A58" s="1"/>
      <c r="B58" s="1" t="s">
        <v>2521</v>
      </c>
      <c r="C58" s="1"/>
      <c r="D58" s="1"/>
      <c r="E58" s="1"/>
      <c r="F58" s="1"/>
      <c r="G58" s="13">
        <v>40000.0</v>
      </c>
    </row>
    <row r="59" ht="15.75" customHeight="1">
      <c r="A59" s="1"/>
      <c r="B59" s="1" t="s">
        <v>2429</v>
      </c>
      <c r="C59" s="1"/>
      <c r="D59" s="1"/>
      <c r="E59" s="1"/>
      <c r="F59" s="1"/>
      <c r="G59" s="13">
        <v>16000.0</v>
      </c>
    </row>
    <row r="60" ht="15.75" customHeight="1">
      <c r="A60" s="1"/>
      <c r="B60" s="1" t="s">
        <v>2522</v>
      </c>
      <c r="C60" s="1"/>
      <c r="D60" s="1"/>
      <c r="E60" s="1"/>
      <c r="F60" s="1"/>
      <c r="G60" s="13">
        <v>7828.0</v>
      </c>
    </row>
    <row r="61" ht="15.75" customHeight="1">
      <c r="A61" s="1"/>
      <c r="B61" s="1" t="s">
        <v>2523</v>
      </c>
      <c r="C61" s="1"/>
      <c r="D61" s="1"/>
      <c r="E61" s="1"/>
      <c r="F61" s="1"/>
      <c r="G61" s="13">
        <v>2524.0</v>
      </c>
    </row>
    <row r="62" ht="15.75" customHeight="1">
      <c r="A62" s="1"/>
      <c r="B62" s="1" t="s">
        <v>2524</v>
      </c>
      <c r="C62" s="1"/>
      <c r="D62" s="1"/>
      <c r="E62" s="1"/>
      <c r="F62" s="1"/>
      <c r="G62" s="13">
        <v>10000.0</v>
      </c>
    </row>
    <row r="63" ht="15.75" customHeight="1">
      <c r="A63" s="1"/>
      <c r="B63" s="1" t="s">
        <v>2525</v>
      </c>
      <c r="C63" s="1"/>
      <c r="D63" s="1"/>
      <c r="E63" s="1"/>
      <c r="F63" s="1"/>
      <c r="G63" s="13">
        <v>1000.0</v>
      </c>
    </row>
    <row r="64" ht="15.75" customHeight="1">
      <c r="A64" s="1"/>
      <c r="B64" s="1" t="s">
        <v>2526</v>
      </c>
      <c r="C64" s="1"/>
      <c r="D64" s="1"/>
      <c r="E64" s="1"/>
      <c r="F64" s="1"/>
      <c r="G64" s="13">
        <v>10000.0</v>
      </c>
    </row>
    <row r="65" ht="15.75" customHeight="1">
      <c r="A65" s="1"/>
      <c r="B65" s="1" t="s">
        <v>2511</v>
      </c>
      <c r="C65" s="1"/>
      <c r="D65" s="1"/>
      <c r="E65" s="1"/>
      <c r="F65" s="1"/>
      <c r="G65" s="13">
        <v>18705.0</v>
      </c>
    </row>
    <row r="66" ht="15.75" customHeight="1">
      <c r="A66" s="1"/>
      <c r="B66" s="1" t="s">
        <v>2527</v>
      </c>
      <c r="C66" s="1"/>
      <c r="D66" s="1"/>
      <c r="E66" s="1"/>
      <c r="F66" s="1"/>
      <c r="G66" s="13">
        <v>61000.0</v>
      </c>
    </row>
    <row r="67" ht="15.75" customHeight="1">
      <c r="A67" s="1"/>
      <c r="B67" s="1" t="s">
        <v>2528</v>
      </c>
      <c r="C67" s="1"/>
      <c r="D67" s="1"/>
      <c r="E67" s="1"/>
      <c r="F67" s="1"/>
      <c r="G67" s="13">
        <v>60000.0</v>
      </c>
    </row>
    <row r="68" ht="15.75" customHeight="1">
      <c r="A68" s="1"/>
      <c r="B68" s="1" t="s">
        <v>2529</v>
      </c>
      <c r="C68" s="1"/>
      <c r="D68" s="1"/>
      <c r="E68" s="1"/>
      <c r="F68" s="1"/>
      <c r="G68" s="13">
        <v>20000.0</v>
      </c>
    </row>
    <row r="69" ht="15.75" customHeight="1">
      <c r="A69" s="1"/>
      <c r="B69" s="1" t="s">
        <v>2530</v>
      </c>
      <c r="C69" s="1"/>
      <c r="D69" s="1"/>
      <c r="E69" s="1"/>
      <c r="F69" s="1"/>
      <c r="G69" s="13">
        <v>2000.0</v>
      </c>
    </row>
    <row r="70" ht="15.75" customHeight="1">
      <c r="A70" s="1"/>
      <c r="B70" s="1" t="s">
        <v>2531</v>
      </c>
      <c r="C70" s="1"/>
      <c r="D70" s="1"/>
      <c r="E70" s="1"/>
      <c r="F70" s="1"/>
      <c r="G70" s="13">
        <v>65250.0</v>
      </c>
    </row>
    <row r="71" ht="15.75" customHeight="1">
      <c r="A71" s="1"/>
      <c r="B71" s="1" t="s">
        <v>2532</v>
      </c>
      <c r="C71" s="1"/>
      <c r="D71" s="1"/>
      <c r="E71" s="1"/>
      <c r="F71" s="1"/>
      <c r="G71" s="13">
        <v>30000.0</v>
      </c>
    </row>
    <row r="72" ht="15.75" customHeight="1">
      <c r="A72" s="1"/>
      <c r="B72" s="1" t="s">
        <v>2533</v>
      </c>
      <c r="C72" s="1"/>
      <c r="D72" s="1"/>
      <c r="E72" s="1"/>
      <c r="F72" s="1"/>
      <c r="G72" s="13">
        <v>10000.0</v>
      </c>
    </row>
    <row r="73" ht="15.75" customHeight="1">
      <c r="A73" s="1"/>
      <c r="B73" s="1" t="s">
        <v>2534</v>
      </c>
      <c r="C73" s="1"/>
      <c r="D73" s="1"/>
      <c r="E73" s="1"/>
      <c r="F73" s="1"/>
      <c r="G73" s="13">
        <v>500.0</v>
      </c>
    </row>
    <row r="74" ht="15.75" customHeight="1">
      <c r="A74" s="1"/>
      <c r="B74" s="1" t="s">
        <v>2535</v>
      </c>
      <c r="C74" s="1"/>
      <c r="D74" s="1"/>
      <c r="E74" s="1"/>
      <c r="F74" s="1"/>
      <c r="G74" s="13">
        <v>6400.0</v>
      </c>
    </row>
    <row r="75" ht="15.75" customHeight="1">
      <c r="A75" s="1"/>
      <c r="B75" s="1" t="s">
        <v>2536</v>
      </c>
      <c r="C75" s="1"/>
      <c r="D75" s="1"/>
      <c r="E75" s="1"/>
      <c r="F75" s="1"/>
      <c r="G75" s="13">
        <v>4500.0</v>
      </c>
    </row>
    <row r="76" ht="15.75" customHeight="1">
      <c r="A76" s="1"/>
      <c r="B76" s="43" t="s">
        <v>43</v>
      </c>
      <c r="C76" s="1"/>
      <c r="D76" s="1"/>
      <c r="E76" s="1"/>
      <c r="F76" s="1"/>
      <c r="G76" s="18">
        <f>SUM(G29:G75)</f>
        <v>1740074</v>
      </c>
    </row>
    <row r="77" ht="15.75" customHeight="1">
      <c r="A77" s="1"/>
      <c r="B77" s="19" t="s">
        <v>45</v>
      </c>
      <c r="C77" s="20"/>
      <c r="D77" s="20"/>
      <c r="E77" s="20"/>
      <c r="F77" s="20"/>
      <c r="G77" s="70">
        <f>SUM(G27+G76)</f>
        <v>3370074</v>
      </c>
    </row>
    <row r="78" ht="15.75" customHeight="1">
      <c r="A78" s="1"/>
      <c r="B78" s="4" t="s">
        <v>46</v>
      </c>
      <c r="C78" s="1"/>
      <c r="D78" s="1"/>
      <c r="E78" s="1"/>
      <c r="F78" s="1"/>
      <c r="G78" s="2"/>
    </row>
    <row r="79" ht="15.75" customHeight="1">
      <c r="A79" s="35" t="s">
        <v>2537</v>
      </c>
      <c r="B79" s="36"/>
      <c r="C79" s="37"/>
      <c r="D79" s="37"/>
      <c r="E79" s="37"/>
      <c r="F79" s="37"/>
      <c r="G79" s="71">
        <f>(G14-G77)</f>
        <v>338826</v>
      </c>
    </row>
    <row r="80" ht="15.75" customHeight="1">
      <c r="A80" s="22" t="s">
        <v>254</v>
      </c>
      <c r="B80" s="43" t="s">
        <v>255</v>
      </c>
      <c r="C80" s="1"/>
      <c r="D80" s="1"/>
      <c r="E80" s="1"/>
      <c r="F80" s="1"/>
      <c r="G80" s="2"/>
    </row>
    <row r="81" ht="15.75" customHeight="1">
      <c r="A81" s="44"/>
      <c r="B81" s="72" t="s">
        <v>51</v>
      </c>
      <c r="C81" s="27"/>
      <c r="D81" s="27"/>
      <c r="E81" s="27"/>
      <c r="F81" s="27"/>
      <c r="G81" s="73">
        <v>0.0</v>
      </c>
    </row>
    <row r="82" ht="15.75" customHeight="1">
      <c r="A82" s="44"/>
      <c r="B82" s="45" t="s">
        <v>2538</v>
      </c>
      <c r="C82" s="45"/>
      <c r="D82" s="45"/>
      <c r="E82" s="46"/>
      <c r="F82" s="46"/>
      <c r="G82" s="47">
        <f>G3+G79-G81</f>
        <v>3036004</v>
      </c>
    </row>
    <row r="83" ht="15.75" customHeight="1">
      <c r="A83" s="1"/>
      <c r="B83" s="32" t="s">
        <v>2539</v>
      </c>
    </row>
    <row r="84" ht="15.75" customHeight="1">
      <c r="A84" s="1"/>
      <c r="B84" s="1"/>
      <c r="C84" s="1" t="s">
        <v>1115</v>
      </c>
      <c r="D84" s="1"/>
      <c r="E84" s="1"/>
      <c r="F84" s="1"/>
      <c r="G84" s="2">
        <v>14000.0</v>
      </c>
    </row>
    <row r="85" ht="15.75" customHeight="1">
      <c r="A85" s="1"/>
      <c r="B85" s="1"/>
      <c r="C85" s="1" t="s">
        <v>1665</v>
      </c>
      <c r="D85" s="1"/>
      <c r="E85" s="1"/>
      <c r="F85" s="1"/>
      <c r="G85" s="2">
        <v>306100.0</v>
      </c>
      <c r="H85" s="67" t="s">
        <v>480</v>
      </c>
    </row>
    <row r="86" ht="15.75" customHeight="1">
      <c r="A86" s="1"/>
      <c r="B86" s="1"/>
      <c r="C86" s="43" t="s">
        <v>115</v>
      </c>
      <c r="D86" s="1"/>
      <c r="E86" s="1"/>
      <c r="F86" s="1"/>
      <c r="G86" s="2">
        <v>320100.0</v>
      </c>
    </row>
    <row r="87" ht="15.75" customHeight="1">
      <c r="A87" s="1"/>
      <c r="B87" s="43" t="s">
        <v>2453</v>
      </c>
      <c r="C87" s="43"/>
      <c r="D87" s="1"/>
      <c r="E87" s="1"/>
      <c r="F87" s="1"/>
      <c r="G87" s="2"/>
    </row>
    <row r="88" ht="15.75" customHeight="1">
      <c r="A88" s="1"/>
      <c r="B88" s="43" t="s">
        <v>2540</v>
      </c>
      <c r="C88" s="43"/>
      <c r="D88" s="1"/>
      <c r="E88" s="1"/>
      <c r="F88" s="1"/>
      <c r="G88" s="1"/>
    </row>
    <row r="89" ht="15.75" customHeight="1">
      <c r="A89" s="1"/>
      <c r="B89" s="43" t="s">
        <v>2541</v>
      </c>
      <c r="C89" s="43"/>
      <c r="D89" s="1"/>
      <c r="E89" s="1"/>
      <c r="F89" s="1"/>
      <c r="G89" s="1"/>
    </row>
    <row r="90" ht="15.75" customHeight="1">
      <c r="A90" s="1"/>
      <c r="B90" s="33" t="s">
        <v>2542</v>
      </c>
      <c r="C90" s="1"/>
      <c r="D90" s="1"/>
      <c r="E90" s="1"/>
      <c r="F90" s="1"/>
      <c r="G90" s="2"/>
    </row>
    <row r="91" ht="15.75" customHeight="1">
      <c r="A91" s="1"/>
      <c r="B91" s="55" t="s">
        <v>531</v>
      </c>
      <c r="C91" s="56"/>
      <c r="D91" s="56"/>
      <c r="E91" s="56"/>
      <c r="F91" s="1"/>
      <c r="G91" s="55" t="s">
        <v>2543</v>
      </c>
      <c r="H91" s="56"/>
    </row>
    <row r="92" ht="15.75" customHeight="1">
      <c r="A92" s="1"/>
      <c r="B92" s="55"/>
      <c r="C92" s="56"/>
      <c r="D92" s="56"/>
      <c r="E92" s="56"/>
      <c r="F92" s="1"/>
      <c r="G92" s="55"/>
      <c r="H92" s="56"/>
    </row>
    <row r="93" ht="15.75" customHeight="1">
      <c r="A93" s="1"/>
      <c r="B93" s="55" t="s">
        <v>2544</v>
      </c>
      <c r="C93" s="56"/>
      <c r="D93" s="56"/>
      <c r="E93" s="56"/>
      <c r="F93" s="1"/>
      <c r="G93" s="55" t="s">
        <v>535</v>
      </c>
      <c r="H93" s="56"/>
    </row>
    <row r="94" ht="15.75" customHeight="1">
      <c r="A94" s="1"/>
      <c r="B94" s="55"/>
      <c r="C94" s="56"/>
      <c r="D94" s="56"/>
      <c r="E94" s="56"/>
      <c r="F94" s="1"/>
      <c r="G94" s="55"/>
      <c r="H94" s="56"/>
    </row>
    <row r="95" ht="15.75" customHeight="1">
      <c r="A95" s="1"/>
      <c r="B95" s="55" t="s">
        <v>533</v>
      </c>
      <c r="F95" s="1"/>
      <c r="G95" s="55" t="s">
        <v>536</v>
      </c>
      <c r="H95" s="56"/>
    </row>
    <row r="96" ht="15.75" customHeight="1">
      <c r="A96" s="1"/>
      <c r="B96" s="55"/>
      <c r="C96" s="55"/>
      <c r="D96" s="55"/>
      <c r="E96" s="55"/>
      <c r="F96" s="1"/>
      <c r="G96" s="2"/>
    </row>
    <row r="97" ht="15.75" customHeight="1">
      <c r="A97" s="1"/>
      <c r="B97" s="55"/>
      <c r="C97" s="56"/>
      <c r="D97" s="57"/>
      <c r="E97" s="56"/>
      <c r="F97" s="1"/>
      <c r="G97" s="2"/>
    </row>
    <row r="98" ht="15.75" customHeight="1">
      <c r="A98" s="1"/>
      <c r="B98" s="55"/>
      <c r="C98" s="56"/>
      <c r="D98" s="57"/>
      <c r="E98" s="56"/>
      <c r="F98" s="1"/>
      <c r="G98" s="2"/>
    </row>
    <row r="99" ht="15.75" customHeight="1">
      <c r="A99" s="1"/>
      <c r="B99" s="55"/>
      <c r="C99" s="56"/>
      <c r="D99" s="57"/>
      <c r="E99" s="56"/>
      <c r="F99" s="1"/>
      <c r="G99" s="2"/>
    </row>
    <row r="100" ht="15.75" customHeight="1">
      <c r="A100" s="1"/>
      <c r="B100" s="55"/>
      <c r="C100" s="56"/>
      <c r="D100" s="57"/>
      <c r="E100" s="56"/>
      <c r="F100" s="1"/>
      <c r="G100" s="2"/>
    </row>
    <row r="101" ht="15.75" customHeight="1">
      <c r="B101" s="55"/>
      <c r="C101" s="56"/>
      <c r="D101" s="57"/>
      <c r="E101" s="57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3:D13"/>
    <mergeCell ref="B14:F14"/>
    <mergeCell ref="B83:G83"/>
    <mergeCell ref="B95:E95"/>
  </mergeCells>
  <printOptions/>
  <pageMargins bottom="0.75" footer="0.0" header="0.0" left="0.25" right="0.25" top="0.7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6" width="10.71"/>
    <col customWidth="1" min="7" max="7" width="14.71"/>
    <col customWidth="1" min="8" max="26" width="10.71"/>
  </cols>
  <sheetData>
    <row r="2">
      <c r="A2" s="1" t="s">
        <v>721</v>
      </c>
      <c r="B2" s="3" t="s">
        <v>2545</v>
      </c>
      <c r="C2" s="1"/>
      <c r="D2" s="1"/>
      <c r="E2" s="1"/>
      <c r="F2" s="1"/>
      <c r="G2" s="2"/>
    </row>
    <row r="3">
      <c r="A3" s="1"/>
      <c r="B3" s="75" t="s">
        <v>2546</v>
      </c>
      <c r="G3" s="47">
        <v>3036004.0</v>
      </c>
    </row>
    <row r="4">
      <c r="A4" s="1"/>
      <c r="G4" s="2"/>
    </row>
    <row r="5">
      <c r="A5" s="6" t="s">
        <v>2547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174000.0</v>
      </c>
      <c r="G6" s="7">
        <v>53000.0</v>
      </c>
    </row>
    <row r="7">
      <c r="A7" s="1"/>
      <c r="B7" s="4" t="s">
        <v>64</v>
      </c>
      <c r="C7" s="1"/>
      <c r="D7" s="1"/>
      <c r="E7" s="1"/>
      <c r="F7" s="2">
        <v>493600.0</v>
      </c>
      <c r="G7" s="7">
        <v>125000.0</v>
      </c>
    </row>
    <row r="8">
      <c r="A8" s="1"/>
      <c r="B8" s="4" t="s">
        <v>65</v>
      </c>
      <c r="C8" s="1"/>
      <c r="D8" s="1"/>
      <c r="E8" s="1"/>
      <c r="F8" s="2">
        <v>390100.0</v>
      </c>
      <c r="G8" s="7">
        <v>117000.0</v>
      </c>
      <c r="J8" s="67" t="s">
        <v>480</v>
      </c>
    </row>
    <row r="9">
      <c r="A9" s="1"/>
      <c r="B9" s="4" t="s">
        <v>66</v>
      </c>
      <c r="C9" s="1"/>
      <c r="D9" s="1"/>
      <c r="E9" s="1"/>
      <c r="F9" s="2">
        <v>361300.0</v>
      </c>
      <c r="G9" s="76">
        <v>145000.0</v>
      </c>
    </row>
    <row r="10">
      <c r="A10" s="1"/>
      <c r="B10" s="4" t="s">
        <v>67</v>
      </c>
      <c r="C10" s="1"/>
      <c r="D10" s="49" t="s">
        <v>8</v>
      </c>
      <c r="E10" s="49"/>
      <c r="F10" s="7">
        <v>432200.0</v>
      </c>
      <c r="G10" s="7">
        <v>78000.0</v>
      </c>
    </row>
    <row r="11">
      <c r="A11" s="1"/>
      <c r="B11" s="4" t="s">
        <v>2548</v>
      </c>
      <c r="C11" s="1"/>
      <c r="D11" s="49"/>
      <c r="E11" s="49"/>
      <c r="F11" s="7">
        <v>356000.0</v>
      </c>
      <c r="G11" s="7" t="s">
        <v>480</v>
      </c>
    </row>
    <row r="12">
      <c r="A12" s="1"/>
      <c r="B12" s="4" t="s">
        <v>2549</v>
      </c>
      <c r="C12" s="1"/>
      <c r="D12" s="49"/>
      <c r="E12" s="49"/>
      <c r="F12" s="7">
        <v>375000.0</v>
      </c>
      <c r="G12" s="7"/>
    </row>
    <row r="13">
      <c r="A13" s="1"/>
      <c r="B13" s="4"/>
      <c r="C13" s="50" t="s">
        <v>405</v>
      </c>
      <c r="E13" s="4"/>
      <c r="F13" s="2">
        <f>SUM(F6:F12)</f>
        <v>2582200</v>
      </c>
      <c r="G13" s="7">
        <f>SUM(G6:G10)</f>
        <v>518000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3100200</v>
      </c>
    </row>
    <row r="15">
      <c r="A15" s="6" t="s">
        <v>2550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2465</v>
      </c>
      <c r="C17" s="1"/>
      <c r="D17" s="1"/>
      <c r="E17" s="1"/>
      <c r="F17" s="1"/>
      <c r="G17" s="77">
        <v>240000.0</v>
      </c>
    </row>
    <row r="18">
      <c r="A18" s="1"/>
      <c r="B18" s="4" t="s">
        <v>1594</v>
      </c>
      <c r="C18" s="1"/>
      <c r="D18" s="1"/>
      <c r="E18" s="1"/>
      <c r="F18" s="1"/>
      <c r="G18" s="77">
        <v>150000.0</v>
      </c>
    </row>
    <row r="19">
      <c r="A19" s="1"/>
      <c r="B19" s="4" t="s">
        <v>13</v>
      </c>
      <c r="C19" s="1"/>
      <c r="D19" s="1"/>
      <c r="E19" s="1"/>
      <c r="F19" s="1"/>
      <c r="G19" s="13">
        <v>150000.0</v>
      </c>
      <c r="K19" s="67" t="s">
        <v>480</v>
      </c>
    </row>
    <row r="20">
      <c r="A20" s="1"/>
      <c r="B20" s="4" t="s">
        <v>14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150000.0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125000.0</v>
      </c>
    </row>
    <row r="25" ht="15.75" customHeight="1">
      <c r="A25" s="1"/>
      <c r="B25" s="4" t="s">
        <v>2149</v>
      </c>
      <c r="C25" s="1"/>
      <c r="D25" s="1"/>
      <c r="E25" s="1"/>
      <c r="F25" s="1"/>
      <c r="G25" s="77">
        <v>100000.0</v>
      </c>
    </row>
    <row r="26" ht="15.75" customHeight="1">
      <c r="A26" s="1"/>
      <c r="B26" s="4" t="s">
        <v>2242</v>
      </c>
      <c r="C26" s="1"/>
      <c r="D26" s="1"/>
      <c r="E26" s="1"/>
      <c r="F26" s="1"/>
      <c r="G26" s="77">
        <v>225000.0</v>
      </c>
    </row>
    <row r="27" ht="15.75" customHeight="1">
      <c r="A27" s="1"/>
      <c r="B27" s="9" t="s">
        <v>18</v>
      </c>
      <c r="C27" s="10"/>
      <c r="D27" s="10"/>
      <c r="E27" s="10"/>
      <c r="F27" s="10"/>
      <c r="G27" s="69">
        <f>SUM(G17:G26)</f>
        <v>1515000</v>
      </c>
    </row>
    <row r="28" ht="15.75" customHeight="1">
      <c r="A28" s="1"/>
      <c r="B28" s="12" t="s">
        <v>19</v>
      </c>
      <c r="C28" s="15"/>
      <c r="D28" s="1"/>
      <c r="E28" s="1"/>
      <c r="F28" s="1"/>
      <c r="G28" s="2"/>
    </row>
    <row r="29" ht="15.75" customHeight="1">
      <c r="A29" s="1"/>
      <c r="B29" s="4" t="s">
        <v>2551</v>
      </c>
      <c r="C29" s="15"/>
      <c r="D29" s="1"/>
      <c r="E29" s="1"/>
      <c r="F29" s="1"/>
      <c r="G29" s="2">
        <v>2293.0</v>
      </c>
    </row>
    <row r="30" ht="15.75" customHeight="1">
      <c r="A30" s="1"/>
      <c r="B30" s="4" t="s">
        <v>2552</v>
      </c>
      <c r="C30" s="15"/>
      <c r="D30" s="1"/>
      <c r="E30" s="1"/>
      <c r="F30" s="1"/>
      <c r="G30" s="2">
        <v>17207.0</v>
      </c>
    </row>
    <row r="31" ht="15.75" customHeight="1">
      <c r="A31" s="1"/>
      <c r="B31" s="4" t="s">
        <v>2553</v>
      </c>
      <c r="C31" s="15"/>
      <c r="D31" s="1"/>
      <c r="E31" s="1"/>
      <c r="F31" s="1"/>
      <c r="G31" s="2">
        <v>17207.0</v>
      </c>
    </row>
    <row r="32" ht="15.75" customHeight="1">
      <c r="A32" s="1"/>
      <c r="B32" s="4" t="s">
        <v>2554</v>
      </c>
      <c r="C32" s="15"/>
      <c r="D32" s="1"/>
      <c r="E32" s="1"/>
      <c r="F32" s="1"/>
      <c r="G32" s="2">
        <v>60000.0</v>
      </c>
    </row>
    <row r="33" ht="15.75" customHeight="1">
      <c r="A33" s="1"/>
      <c r="B33" s="4" t="s">
        <v>2555</v>
      </c>
      <c r="C33" s="15"/>
      <c r="D33" s="1"/>
      <c r="E33" s="1"/>
      <c r="F33" s="1"/>
      <c r="G33" s="2">
        <v>100000.0</v>
      </c>
    </row>
    <row r="34" ht="15.75" customHeight="1">
      <c r="A34" s="1"/>
      <c r="B34" s="4" t="s">
        <v>2556</v>
      </c>
      <c r="C34" s="15"/>
      <c r="D34" s="1"/>
      <c r="E34" s="1"/>
      <c r="F34" s="1"/>
      <c r="G34" s="2">
        <v>15000.0</v>
      </c>
    </row>
    <row r="35" ht="15.75" customHeight="1">
      <c r="A35" s="1"/>
      <c r="B35" s="4" t="s">
        <v>2557</v>
      </c>
      <c r="C35" s="15"/>
      <c r="D35" s="1"/>
      <c r="E35" s="1"/>
      <c r="F35" s="1"/>
      <c r="G35" s="2">
        <v>2000.0</v>
      </c>
    </row>
    <row r="36" ht="15.75" customHeight="1">
      <c r="A36" s="1"/>
      <c r="B36" s="4" t="s">
        <v>79</v>
      </c>
      <c r="C36" s="15"/>
      <c r="D36" s="1"/>
      <c r="E36" s="1"/>
      <c r="F36" s="1"/>
      <c r="G36" s="2">
        <v>2500.0</v>
      </c>
    </row>
    <row r="37" ht="15.75" customHeight="1">
      <c r="A37" s="1"/>
      <c r="B37" s="4" t="s">
        <v>2558</v>
      </c>
      <c r="C37" s="15"/>
      <c r="D37" s="1"/>
      <c r="E37" s="1"/>
      <c r="F37" s="1"/>
      <c r="G37" s="2">
        <v>25500.0</v>
      </c>
    </row>
    <row r="38" ht="15.75" customHeight="1">
      <c r="A38" s="1"/>
      <c r="B38" s="4" t="s">
        <v>2397</v>
      </c>
      <c r="C38" s="15"/>
      <c r="D38" s="1"/>
      <c r="E38" s="1"/>
      <c r="F38" s="1"/>
      <c r="G38" s="2">
        <v>18000.0</v>
      </c>
    </row>
    <row r="39" ht="15.75" customHeight="1">
      <c r="A39" s="1"/>
      <c r="B39" s="4" t="s">
        <v>79</v>
      </c>
      <c r="C39" s="15"/>
      <c r="D39" s="1"/>
      <c r="E39" s="1"/>
      <c r="F39" s="1"/>
      <c r="G39" s="2">
        <v>2500.0</v>
      </c>
    </row>
    <row r="40" ht="15.75" customHeight="1">
      <c r="A40" s="1"/>
      <c r="B40" s="4" t="s">
        <v>2559</v>
      </c>
      <c r="C40" s="15"/>
      <c r="D40" s="1"/>
      <c r="E40" s="1"/>
      <c r="F40" s="1"/>
      <c r="G40" s="2">
        <v>30000.0</v>
      </c>
    </row>
    <row r="41" ht="15.75" customHeight="1">
      <c r="A41" s="1"/>
      <c r="B41" s="4" t="s">
        <v>2560</v>
      </c>
      <c r="C41" s="15"/>
      <c r="D41" s="1"/>
      <c r="E41" s="1"/>
      <c r="F41" s="1"/>
      <c r="G41" s="2">
        <v>125000.0</v>
      </c>
    </row>
    <row r="42" ht="15.75" customHeight="1">
      <c r="A42" s="1"/>
      <c r="B42" s="4" t="s">
        <v>2561</v>
      </c>
      <c r="C42" s="15"/>
      <c r="D42" s="78"/>
      <c r="E42" s="1"/>
      <c r="F42" s="1"/>
      <c r="G42" s="79">
        <v>3246.0</v>
      </c>
    </row>
    <row r="43" ht="15.75" customHeight="1">
      <c r="A43" s="1"/>
      <c r="B43" s="4" t="s">
        <v>2562</v>
      </c>
      <c r="C43" s="15"/>
      <c r="D43" s="1"/>
      <c r="E43" s="1"/>
      <c r="F43" s="1"/>
      <c r="G43" s="2">
        <v>125000.0</v>
      </c>
    </row>
    <row r="44" ht="15.75" customHeight="1">
      <c r="A44" s="1"/>
      <c r="B44" s="4" t="s">
        <v>2563</v>
      </c>
      <c r="C44" s="15"/>
      <c r="D44" s="1"/>
      <c r="E44" s="1"/>
      <c r="F44" s="1"/>
      <c r="G44" s="2">
        <v>75000.0</v>
      </c>
    </row>
    <row r="45" ht="15.75" customHeight="1">
      <c r="A45" s="1"/>
      <c r="B45" s="4" t="s">
        <v>2564</v>
      </c>
      <c r="C45" s="15"/>
      <c r="D45" s="1"/>
      <c r="E45" s="1"/>
      <c r="F45" s="1"/>
      <c r="G45" s="2">
        <v>27500.0</v>
      </c>
    </row>
    <row r="46" ht="15.75" customHeight="1">
      <c r="A46" s="1"/>
      <c r="B46" s="4" t="s">
        <v>2565</v>
      </c>
      <c r="C46" s="15"/>
      <c r="D46" s="1"/>
      <c r="E46" s="1"/>
      <c r="F46" s="1"/>
      <c r="G46" s="2">
        <v>4152.0</v>
      </c>
    </row>
    <row r="47" ht="15.75" customHeight="1">
      <c r="A47" s="1"/>
      <c r="B47" s="1" t="s">
        <v>2498</v>
      </c>
      <c r="C47" s="1"/>
      <c r="D47" s="1"/>
      <c r="E47" s="1"/>
      <c r="F47" s="1"/>
      <c r="G47" s="13">
        <v>5000.0</v>
      </c>
    </row>
    <row r="48" ht="15.75" customHeight="1">
      <c r="A48" s="1"/>
      <c r="B48" s="1" t="s">
        <v>2359</v>
      </c>
      <c r="C48" s="1"/>
      <c r="D48" s="1"/>
      <c r="E48" s="1"/>
      <c r="F48" s="1"/>
      <c r="G48" s="13">
        <v>16000.0</v>
      </c>
    </row>
    <row r="49" ht="15.75" customHeight="1">
      <c r="A49" s="1"/>
      <c r="B49" s="1" t="s">
        <v>2566</v>
      </c>
      <c r="C49" s="1"/>
      <c r="D49" s="1"/>
      <c r="E49" s="1"/>
      <c r="F49" s="1"/>
      <c r="G49" s="13">
        <v>75000.0</v>
      </c>
    </row>
    <row r="50" ht="15.75" customHeight="1">
      <c r="A50" s="1"/>
      <c r="B50" s="1" t="s">
        <v>2567</v>
      </c>
      <c r="C50" s="1"/>
      <c r="D50" s="1"/>
      <c r="E50" s="1"/>
      <c r="F50" s="1"/>
      <c r="G50" s="13">
        <v>7000.0</v>
      </c>
    </row>
    <row r="51" ht="15.75" customHeight="1">
      <c r="A51" s="1"/>
      <c r="B51" s="1" t="s">
        <v>2568</v>
      </c>
      <c r="C51" s="1"/>
      <c r="D51" s="1"/>
      <c r="E51" s="1"/>
      <c r="F51" s="1"/>
      <c r="G51" s="13">
        <v>70000.0</v>
      </c>
    </row>
    <row r="52" ht="15.75" customHeight="1">
      <c r="A52" s="1"/>
      <c r="B52" s="1" t="s">
        <v>2569</v>
      </c>
      <c r="C52" s="1"/>
      <c r="D52" s="1"/>
      <c r="E52" s="1"/>
      <c r="F52" s="1"/>
      <c r="G52" s="13">
        <v>15000.0</v>
      </c>
    </row>
    <row r="53" ht="15.75" customHeight="1">
      <c r="A53" s="1"/>
      <c r="B53" s="1" t="s">
        <v>2510</v>
      </c>
      <c r="C53" s="1"/>
      <c r="D53" s="1"/>
      <c r="E53" s="1"/>
      <c r="F53" s="1"/>
      <c r="G53" s="13">
        <v>30000.0</v>
      </c>
    </row>
    <row r="54" ht="15.75" customHeight="1">
      <c r="A54" s="1"/>
      <c r="B54" s="1" t="s">
        <v>2570</v>
      </c>
      <c r="C54" s="1"/>
      <c r="D54" s="1"/>
      <c r="E54" s="1"/>
      <c r="F54" s="1"/>
      <c r="G54" s="13">
        <v>160000.0</v>
      </c>
    </row>
    <row r="55" ht="15.75" customHeight="1">
      <c r="A55" s="1"/>
      <c r="B55" s="1" t="s">
        <v>2571</v>
      </c>
      <c r="C55" s="1"/>
      <c r="D55" s="1"/>
      <c r="E55" s="1"/>
      <c r="F55" s="1"/>
      <c r="G55" s="13">
        <v>8000.0</v>
      </c>
    </row>
    <row r="56" ht="15.75" customHeight="1">
      <c r="A56" s="1"/>
      <c r="B56" s="1" t="s">
        <v>2572</v>
      </c>
      <c r="C56" s="1"/>
      <c r="D56" s="1"/>
      <c r="E56" s="1"/>
      <c r="F56" s="1"/>
      <c r="G56" s="13">
        <v>9800.0</v>
      </c>
    </row>
    <row r="57" ht="15.75" customHeight="1">
      <c r="A57" s="1"/>
      <c r="B57" s="1" t="s">
        <v>2573</v>
      </c>
      <c r="C57" s="1"/>
      <c r="D57" s="1"/>
      <c r="E57" s="1"/>
      <c r="F57" s="1"/>
      <c r="G57" s="13">
        <v>22000.0</v>
      </c>
    </row>
    <row r="58" ht="15.75" customHeight="1">
      <c r="A58" s="1"/>
      <c r="B58" s="1" t="s">
        <v>2574</v>
      </c>
      <c r="C58" s="1"/>
      <c r="D58" s="1"/>
      <c r="E58" s="1"/>
      <c r="F58" s="1"/>
      <c r="G58" s="13">
        <v>500.0</v>
      </c>
    </row>
    <row r="59" ht="15.75" customHeight="1">
      <c r="A59" s="1"/>
      <c r="B59" s="1" t="s">
        <v>2575</v>
      </c>
      <c r="C59" s="1"/>
      <c r="D59" s="1"/>
      <c r="E59" s="1"/>
      <c r="F59" s="1"/>
      <c r="G59" s="13">
        <v>300.0</v>
      </c>
    </row>
    <row r="60" ht="15.75" customHeight="1">
      <c r="A60" s="1"/>
      <c r="B60" s="1" t="s">
        <v>2576</v>
      </c>
      <c r="C60" s="1"/>
      <c r="D60" s="1"/>
      <c r="E60" s="1"/>
      <c r="F60" s="1"/>
      <c r="G60" s="13">
        <v>60000.0</v>
      </c>
    </row>
    <row r="61" ht="15.75" customHeight="1">
      <c r="A61" s="1"/>
      <c r="B61" s="1" t="s">
        <v>2577</v>
      </c>
      <c r="C61" s="1"/>
      <c r="D61" s="1"/>
      <c r="E61" s="1"/>
      <c r="F61" s="1"/>
      <c r="G61" s="13">
        <v>242400.0</v>
      </c>
    </row>
    <row r="62" ht="15.75" customHeight="1">
      <c r="A62" s="1"/>
      <c r="B62" s="1" t="s">
        <v>480</v>
      </c>
      <c r="C62" s="1"/>
      <c r="D62" s="1"/>
      <c r="E62" s="1"/>
      <c r="F62" s="1"/>
      <c r="G62" s="13"/>
    </row>
    <row r="63" ht="15.75" customHeight="1">
      <c r="A63" s="1"/>
      <c r="B63" s="43" t="s">
        <v>43</v>
      </c>
      <c r="C63" s="1"/>
      <c r="D63" s="1"/>
      <c r="E63" s="1"/>
      <c r="F63" s="1"/>
      <c r="G63" s="18">
        <f>SUM(G29:G62)</f>
        <v>1373105</v>
      </c>
    </row>
    <row r="64" ht="15.75" customHeight="1">
      <c r="A64" s="1"/>
      <c r="B64" s="19" t="s">
        <v>45</v>
      </c>
      <c r="C64" s="20"/>
      <c r="D64" s="20"/>
      <c r="E64" s="20"/>
      <c r="F64" s="20"/>
      <c r="G64" s="70">
        <f>SUM(G27+G63)</f>
        <v>2888105</v>
      </c>
      <c r="I64" s="67" t="s">
        <v>1585</v>
      </c>
    </row>
    <row r="65" ht="15.75" customHeight="1">
      <c r="A65" s="1"/>
      <c r="B65" s="4" t="s">
        <v>46</v>
      </c>
      <c r="C65" s="1"/>
      <c r="D65" s="1"/>
      <c r="E65" s="1"/>
      <c r="F65" s="1"/>
      <c r="G65" s="2"/>
    </row>
    <row r="66" ht="15.75" customHeight="1">
      <c r="A66" s="35" t="s">
        <v>2578</v>
      </c>
      <c r="B66" s="36"/>
      <c r="C66" s="37"/>
      <c r="D66" s="37"/>
      <c r="E66" s="37"/>
      <c r="F66" s="37"/>
      <c r="G66" s="71">
        <f>(G14-G64)</f>
        <v>212095</v>
      </c>
    </row>
    <row r="67" ht="15.75" customHeight="1">
      <c r="A67" s="22" t="s">
        <v>254</v>
      </c>
      <c r="B67" s="43" t="s">
        <v>255</v>
      </c>
      <c r="C67" s="1"/>
      <c r="D67" s="1"/>
      <c r="E67" s="1"/>
      <c r="F67" s="1"/>
      <c r="G67" s="2"/>
    </row>
    <row r="68" ht="15.75" customHeight="1">
      <c r="A68" s="22"/>
      <c r="B68" s="43" t="s">
        <v>2579</v>
      </c>
      <c r="C68" s="1"/>
      <c r="D68" s="1"/>
      <c r="E68" s="1"/>
      <c r="F68" s="1"/>
      <c r="G68" s="2">
        <v>1000000.0</v>
      </c>
    </row>
    <row r="69" ht="15.75" customHeight="1">
      <c r="A69" s="22"/>
      <c r="B69" s="43" t="s">
        <v>2580</v>
      </c>
      <c r="C69" s="1"/>
      <c r="D69" s="1"/>
      <c r="E69" s="1"/>
      <c r="F69" s="1"/>
      <c r="G69" s="2">
        <v>250000.0</v>
      </c>
    </row>
    <row r="70" ht="15.75" customHeight="1">
      <c r="A70" s="44"/>
      <c r="B70" s="72" t="s">
        <v>51</v>
      </c>
      <c r="C70" s="27"/>
      <c r="D70" s="27"/>
      <c r="E70" s="27"/>
      <c r="F70" s="27"/>
      <c r="G70" s="73">
        <v>1250000.0</v>
      </c>
    </row>
    <row r="71" ht="15.75" customHeight="1">
      <c r="A71" s="44"/>
      <c r="B71" s="45" t="s">
        <v>2581</v>
      </c>
      <c r="C71" s="45"/>
      <c r="D71" s="45"/>
      <c r="E71" s="46"/>
      <c r="F71" s="46"/>
      <c r="G71" s="47">
        <f>G3+G66-G70</f>
        <v>1998099</v>
      </c>
    </row>
    <row r="72" ht="15.75" customHeight="1">
      <c r="A72" s="1"/>
      <c r="B72" s="32" t="s">
        <v>2582</v>
      </c>
    </row>
    <row r="73" ht="15.75" customHeight="1">
      <c r="A73" s="1"/>
      <c r="B73" s="1"/>
      <c r="C73" s="1" t="s">
        <v>1115</v>
      </c>
      <c r="D73" s="1"/>
      <c r="E73" s="1"/>
      <c r="F73" s="1"/>
      <c r="G73" s="2">
        <v>0.0</v>
      </c>
    </row>
    <row r="74" ht="15.75" customHeight="1">
      <c r="A74" s="1"/>
      <c r="B74" s="1"/>
      <c r="C74" s="1" t="s">
        <v>1665</v>
      </c>
      <c r="D74" s="1"/>
      <c r="E74" s="1"/>
      <c r="F74" s="1"/>
      <c r="G74" s="2">
        <v>278600.0</v>
      </c>
    </row>
    <row r="75" ht="15.75" customHeight="1">
      <c r="A75" s="1"/>
      <c r="B75" s="1"/>
      <c r="C75" s="43" t="s">
        <v>115</v>
      </c>
      <c r="D75" s="1"/>
      <c r="E75" s="1"/>
      <c r="F75" s="1"/>
      <c r="G75" s="2">
        <v>278600.0</v>
      </c>
    </row>
    <row r="76" ht="15.75" customHeight="1">
      <c r="A76" s="1"/>
      <c r="B76" s="43" t="s">
        <v>2453</v>
      </c>
      <c r="C76" s="43"/>
      <c r="D76" s="1"/>
      <c r="E76" s="1"/>
      <c r="F76" s="1"/>
      <c r="G76" s="2"/>
      <c r="J76" s="67" t="s">
        <v>1585</v>
      </c>
    </row>
    <row r="77" ht="15.75" customHeight="1">
      <c r="A77" s="1"/>
      <c r="B77" s="43" t="s">
        <v>2583</v>
      </c>
      <c r="C77" s="43"/>
      <c r="D77" s="1"/>
      <c r="E77" s="1"/>
      <c r="F77" s="1"/>
      <c r="G77" s="1"/>
    </row>
    <row r="78" ht="15.75" customHeight="1">
      <c r="A78" s="1"/>
      <c r="B78" s="43" t="s">
        <v>2584</v>
      </c>
      <c r="C78" s="43"/>
      <c r="D78" s="1"/>
      <c r="E78" s="1"/>
      <c r="F78" s="1"/>
      <c r="G78" s="1"/>
    </row>
    <row r="79" ht="15.75" customHeight="1">
      <c r="A79" s="1"/>
      <c r="B79" s="33" t="s">
        <v>2585</v>
      </c>
      <c r="C79" s="1"/>
      <c r="D79" s="1"/>
      <c r="E79" s="1"/>
      <c r="F79" s="1"/>
      <c r="G79" s="2"/>
    </row>
    <row r="80" ht="15.75" customHeight="1">
      <c r="A80" s="1"/>
      <c r="B80" s="55" t="s">
        <v>531</v>
      </c>
      <c r="C80" s="56"/>
      <c r="D80" s="56"/>
      <c r="E80" s="56"/>
      <c r="F80" s="1"/>
      <c r="G80" s="55" t="s">
        <v>2586</v>
      </c>
    </row>
    <row r="81" ht="15.75" customHeight="1">
      <c r="A81" s="1"/>
      <c r="B81" s="55"/>
      <c r="C81" s="56"/>
      <c r="D81" s="56"/>
      <c r="E81" s="56"/>
      <c r="F81" s="1"/>
      <c r="G81" s="55"/>
    </row>
    <row r="82" ht="15.75" customHeight="1">
      <c r="A82" s="1"/>
      <c r="B82" s="55" t="s">
        <v>2587</v>
      </c>
      <c r="C82" s="56"/>
      <c r="D82" s="56"/>
      <c r="E82" s="56"/>
      <c r="F82" s="1"/>
      <c r="G82" s="55" t="s">
        <v>535</v>
      </c>
    </row>
    <row r="83" ht="15.75" customHeight="1">
      <c r="A83" s="1"/>
      <c r="B83" s="55"/>
      <c r="C83" s="56"/>
      <c r="D83" s="56"/>
      <c r="E83" s="56"/>
      <c r="F83" s="1"/>
      <c r="G83" s="55"/>
    </row>
    <row r="84" ht="15.75" customHeight="1">
      <c r="A84" s="1"/>
      <c r="B84" s="55" t="s">
        <v>533</v>
      </c>
      <c r="F84" s="1"/>
      <c r="G84" s="55" t="s">
        <v>536</v>
      </c>
    </row>
    <row r="85" ht="15.75" customHeight="1">
      <c r="A85" s="1"/>
      <c r="B85" s="55"/>
      <c r="C85" s="55"/>
      <c r="D85" s="55"/>
      <c r="E85" s="55"/>
      <c r="F85" s="1"/>
      <c r="G85" s="2"/>
    </row>
    <row r="86" ht="15.75" customHeight="1">
      <c r="A86" s="1"/>
      <c r="B86" s="55"/>
      <c r="C86" s="56"/>
      <c r="D86" s="57"/>
      <c r="E86" s="56"/>
      <c r="F86" s="1"/>
      <c r="G86" s="2"/>
    </row>
    <row r="87" ht="15.75" customHeight="1">
      <c r="A87" s="1"/>
      <c r="B87" s="55"/>
      <c r="C87" s="56"/>
      <c r="D87" s="57"/>
      <c r="E87" s="56"/>
      <c r="F87" s="1"/>
      <c r="G87" s="2"/>
    </row>
    <row r="88" ht="15.75" customHeight="1">
      <c r="A88" s="1"/>
      <c r="B88" s="55"/>
      <c r="C88" s="56"/>
      <c r="D88" s="57"/>
      <c r="E88" s="56"/>
      <c r="F88" s="1"/>
      <c r="G88" s="2"/>
    </row>
    <row r="89" ht="15.75" customHeight="1">
      <c r="A89" s="1"/>
      <c r="B89" s="55"/>
      <c r="C89" s="56"/>
      <c r="D89" s="57"/>
      <c r="E89" s="56"/>
      <c r="F89" s="1"/>
      <c r="G89" s="2"/>
    </row>
    <row r="90" ht="15.75" customHeight="1">
      <c r="B90" s="55"/>
      <c r="C90" s="56"/>
      <c r="D90" s="57"/>
      <c r="E90" s="57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3:D13"/>
    <mergeCell ref="B14:F14"/>
    <mergeCell ref="B72:G72"/>
    <mergeCell ref="B84:E84"/>
  </mergeCells>
  <printOptions/>
  <pageMargins bottom="0.75" footer="0.0" header="0.0" left="0.7" right="0.7" top="0.7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6" width="10.71"/>
    <col customWidth="1" min="7" max="7" width="14.71"/>
    <col customWidth="1" min="8" max="26" width="10.71"/>
  </cols>
  <sheetData>
    <row r="2">
      <c r="A2" s="1" t="s">
        <v>721</v>
      </c>
      <c r="B2" s="3" t="s">
        <v>2588</v>
      </c>
      <c r="C2" s="1"/>
      <c r="D2" s="1"/>
      <c r="E2" s="1"/>
      <c r="F2" s="1"/>
      <c r="G2" s="2"/>
    </row>
    <row r="3">
      <c r="A3" s="1"/>
      <c r="B3" s="75" t="s">
        <v>2589</v>
      </c>
      <c r="G3" s="47">
        <v>1998099.0</v>
      </c>
    </row>
    <row r="4">
      <c r="A4" s="1"/>
      <c r="G4" s="2"/>
    </row>
    <row r="5">
      <c r="A5" s="6" t="s">
        <v>2590</v>
      </c>
      <c r="B5" s="1"/>
      <c r="C5" s="1"/>
      <c r="D5" s="1"/>
      <c r="E5" s="1"/>
      <c r="F5" s="48" t="s">
        <v>403</v>
      </c>
      <c r="G5" s="7" t="s">
        <v>404</v>
      </c>
    </row>
    <row r="6">
      <c r="A6" s="1"/>
      <c r="B6" s="4" t="s">
        <v>63</v>
      </c>
      <c r="C6" s="1"/>
      <c r="D6" s="1"/>
      <c r="E6" s="1"/>
      <c r="F6" s="2">
        <v>40800.0</v>
      </c>
      <c r="G6" s="7">
        <v>17000.0</v>
      </c>
    </row>
    <row r="7">
      <c r="A7" s="1"/>
      <c r="B7" s="4" t="s">
        <v>64</v>
      </c>
      <c r="C7" s="1"/>
      <c r="D7" s="1"/>
      <c r="E7" s="1"/>
      <c r="F7" s="2">
        <v>495900.0</v>
      </c>
      <c r="G7" s="7">
        <v>113000.0</v>
      </c>
    </row>
    <row r="8">
      <c r="A8" s="1"/>
      <c r="B8" s="4" t="s">
        <v>65</v>
      </c>
      <c r="C8" s="1"/>
      <c r="D8" s="1"/>
      <c r="E8" s="1"/>
      <c r="F8" s="2">
        <v>362900.0</v>
      </c>
      <c r="G8" s="7">
        <v>128000.0</v>
      </c>
    </row>
    <row r="9">
      <c r="A9" s="1"/>
      <c r="B9" s="4" t="s">
        <v>66</v>
      </c>
      <c r="C9" s="1"/>
      <c r="D9" s="1"/>
      <c r="E9" s="1"/>
      <c r="F9" s="2">
        <v>273300.0</v>
      </c>
      <c r="G9" s="76">
        <v>106000.0</v>
      </c>
    </row>
    <row r="10">
      <c r="A10" s="1"/>
      <c r="B10" s="4" t="s">
        <v>67</v>
      </c>
      <c r="C10" s="1"/>
      <c r="D10" s="49" t="s">
        <v>8</v>
      </c>
      <c r="E10" s="49"/>
      <c r="F10" s="7">
        <v>388900.0</v>
      </c>
      <c r="G10" s="7">
        <v>70000.0</v>
      </c>
    </row>
    <row r="11">
      <c r="A11" s="1"/>
      <c r="B11" s="4" t="s">
        <v>2591</v>
      </c>
      <c r="C11" s="1"/>
      <c r="D11" s="49"/>
      <c r="E11" s="49"/>
      <c r="F11" s="7">
        <v>307000.0</v>
      </c>
      <c r="G11" s="7" t="s">
        <v>480</v>
      </c>
    </row>
    <row r="12">
      <c r="A12" s="1"/>
      <c r="B12" s="4" t="s">
        <v>2592</v>
      </c>
      <c r="C12" s="1"/>
      <c r="D12" s="49"/>
      <c r="E12" s="49"/>
      <c r="F12" s="7">
        <v>495000.0</v>
      </c>
      <c r="G12" s="7"/>
    </row>
    <row r="13">
      <c r="A13" s="1"/>
      <c r="B13" s="4"/>
      <c r="C13" s="50" t="s">
        <v>405</v>
      </c>
      <c r="E13" s="4"/>
      <c r="F13" s="2">
        <f>SUM(F6:F12)</f>
        <v>2363800</v>
      </c>
      <c r="G13" s="7">
        <f>SUM(G6:G10)</f>
        <v>434000</v>
      </c>
    </row>
    <row r="14">
      <c r="A14" s="1"/>
      <c r="B14" s="51" t="s">
        <v>9</v>
      </c>
      <c r="C14" s="52"/>
      <c r="D14" s="52"/>
      <c r="E14" s="52"/>
      <c r="F14" s="53"/>
      <c r="G14" s="68">
        <f>SUM(F13:G13)</f>
        <v>2797800</v>
      </c>
    </row>
    <row r="15">
      <c r="A15" s="6" t="s">
        <v>2593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2465</v>
      </c>
      <c r="C17" s="1"/>
      <c r="D17" s="1"/>
      <c r="E17" s="1"/>
      <c r="F17" s="1"/>
      <c r="G17" s="77">
        <v>200000.0</v>
      </c>
    </row>
    <row r="18">
      <c r="A18" s="1"/>
      <c r="B18" s="4" t="s">
        <v>1594</v>
      </c>
      <c r="C18" s="1"/>
      <c r="D18" s="1"/>
      <c r="E18" s="1"/>
      <c r="F18" s="1"/>
      <c r="G18" s="77">
        <v>150000.0</v>
      </c>
    </row>
    <row r="19">
      <c r="A19" s="1"/>
      <c r="B19" s="4" t="s">
        <v>13</v>
      </c>
      <c r="C19" s="1"/>
      <c r="D19" s="1"/>
      <c r="E19" s="1"/>
      <c r="F19" s="1"/>
      <c r="G19" s="13">
        <v>150000.0</v>
      </c>
    </row>
    <row r="20">
      <c r="A20" s="1"/>
      <c r="B20" s="4" t="s">
        <v>14</v>
      </c>
      <c r="C20" s="1"/>
      <c r="D20" s="1"/>
      <c r="E20" s="1"/>
      <c r="F20" s="1"/>
      <c r="G20" s="13">
        <v>150000.0</v>
      </c>
    </row>
    <row r="21" ht="15.75" customHeight="1">
      <c r="A21" s="1"/>
      <c r="B21" s="4" t="s">
        <v>15</v>
      </c>
      <c r="C21" s="1"/>
      <c r="D21" s="1"/>
      <c r="E21" s="1"/>
      <c r="F21" s="1"/>
      <c r="G21" s="77">
        <v>125000.0</v>
      </c>
    </row>
    <row r="22" ht="15.75" customHeight="1">
      <c r="A22" s="1"/>
      <c r="B22" s="4" t="s">
        <v>16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17</v>
      </c>
      <c r="C23" s="1"/>
      <c r="D23" s="1"/>
      <c r="E23" s="1"/>
      <c r="F23" s="1"/>
      <c r="G23" s="77">
        <v>150000.0</v>
      </c>
    </row>
    <row r="24" ht="15.75" customHeight="1">
      <c r="A24" s="1"/>
      <c r="B24" s="4" t="s">
        <v>1836</v>
      </c>
      <c r="C24" s="1"/>
      <c r="D24" s="1"/>
      <c r="E24" s="1"/>
      <c r="F24" s="1"/>
      <c r="G24" s="77">
        <v>125000.0</v>
      </c>
    </row>
    <row r="25" ht="15.75" customHeight="1">
      <c r="A25" s="1"/>
      <c r="B25" s="4" t="s">
        <v>2149</v>
      </c>
      <c r="C25" s="1"/>
      <c r="D25" s="1"/>
      <c r="E25" s="1"/>
      <c r="F25" s="1"/>
      <c r="G25" s="77">
        <v>100000.0</v>
      </c>
    </row>
    <row r="26" ht="15.75" customHeight="1">
      <c r="A26" s="1"/>
      <c r="B26" s="4" t="s">
        <v>2242</v>
      </c>
      <c r="C26" s="1"/>
      <c r="D26" s="1"/>
      <c r="E26" s="1"/>
      <c r="F26" s="1"/>
      <c r="G26" s="77">
        <v>297000.0</v>
      </c>
    </row>
    <row r="27" ht="15.75" customHeight="1">
      <c r="A27" s="1"/>
      <c r="B27" s="9" t="s">
        <v>18</v>
      </c>
      <c r="C27" s="10"/>
      <c r="D27" s="10"/>
      <c r="E27" s="10"/>
      <c r="F27" s="10"/>
      <c r="G27" s="69">
        <f>SUM(G17:G26)</f>
        <v>1547000</v>
      </c>
    </row>
    <row r="28" ht="15.75" customHeight="1">
      <c r="A28" s="1"/>
      <c r="B28" s="12" t="s">
        <v>19</v>
      </c>
      <c r="C28" s="15"/>
      <c r="D28" s="1"/>
      <c r="E28" s="1"/>
      <c r="F28" s="1"/>
      <c r="G28" s="2"/>
    </row>
    <row r="29" ht="15.75" customHeight="1">
      <c r="A29" s="1"/>
      <c r="B29" s="4" t="s">
        <v>2594</v>
      </c>
      <c r="C29" s="15"/>
      <c r="D29" s="1"/>
      <c r="E29" s="1"/>
      <c r="F29" s="1"/>
      <c r="G29" s="2">
        <v>4988.0</v>
      </c>
    </row>
    <row r="30" ht="15.75" customHeight="1">
      <c r="A30" s="1"/>
      <c r="B30" s="4" t="s">
        <v>2595</v>
      </c>
      <c r="C30" s="15"/>
      <c r="D30" s="1"/>
      <c r="E30" s="1"/>
      <c r="F30" s="1"/>
      <c r="G30" s="2">
        <v>10000.0</v>
      </c>
    </row>
    <row r="31" ht="15.75" customHeight="1">
      <c r="A31" s="1"/>
      <c r="B31" s="4" t="s">
        <v>2596</v>
      </c>
      <c r="C31" s="15"/>
      <c r="D31" s="1"/>
      <c r="E31" s="1"/>
      <c r="F31" s="1"/>
      <c r="G31" s="2">
        <v>65250.0</v>
      </c>
    </row>
    <row r="32" ht="15.75" customHeight="1">
      <c r="A32" s="1"/>
      <c r="B32" s="4" t="s">
        <v>2597</v>
      </c>
      <c r="C32" s="15"/>
      <c r="D32" s="1"/>
      <c r="E32" s="1"/>
      <c r="F32" s="1"/>
      <c r="G32" s="2">
        <v>28000.0</v>
      </c>
    </row>
    <row r="33" ht="15.75" customHeight="1">
      <c r="A33" s="1"/>
      <c r="B33" s="4" t="s">
        <v>203</v>
      </c>
      <c r="C33" s="15"/>
      <c r="D33" s="1"/>
      <c r="E33" s="1"/>
      <c r="F33" s="1"/>
      <c r="G33" s="2">
        <v>6500.0</v>
      </c>
    </row>
    <row r="34" ht="15.75" customHeight="1">
      <c r="A34" s="1"/>
      <c r="B34" s="4" t="s">
        <v>2598</v>
      </c>
      <c r="C34" s="15"/>
      <c r="D34" s="1"/>
      <c r="E34" s="1"/>
      <c r="F34" s="1"/>
      <c r="G34" s="2">
        <v>286414.0</v>
      </c>
    </row>
    <row r="35" ht="15.75" customHeight="1">
      <c r="A35" s="1"/>
      <c r="B35" s="4" t="s">
        <v>2599</v>
      </c>
      <c r="C35" s="15"/>
      <c r="D35" s="1"/>
      <c r="E35" s="1"/>
      <c r="F35" s="1"/>
      <c r="G35" s="2">
        <v>187500.0</v>
      </c>
    </row>
    <row r="36" ht="15.75" customHeight="1">
      <c r="A36" s="1"/>
      <c r="B36" s="4" t="s">
        <v>2600</v>
      </c>
      <c r="C36" s="15"/>
      <c r="D36" s="1"/>
      <c r="E36" s="1"/>
      <c r="F36" s="1"/>
      <c r="G36" s="2">
        <v>60000.0</v>
      </c>
    </row>
    <row r="37" ht="15.75" customHeight="1">
      <c r="A37" s="1"/>
      <c r="B37" s="4" t="s">
        <v>2601</v>
      </c>
      <c r="C37" s="15"/>
      <c r="D37" s="1"/>
      <c r="E37" s="1"/>
      <c r="F37" s="1"/>
      <c r="G37" s="2">
        <v>30000.0</v>
      </c>
    </row>
    <row r="38" ht="15.75" customHeight="1">
      <c r="A38" s="1"/>
      <c r="B38" s="4" t="s">
        <v>2602</v>
      </c>
      <c r="C38" s="15"/>
      <c r="D38" s="1"/>
      <c r="E38" s="1"/>
      <c r="F38" s="1"/>
      <c r="G38" s="2">
        <v>5000.0</v>
      </c>
    </row>
    <row r="39" ht="15.75" customHeight="1">
      <c r="A39" s="1"/>
      <c r="B39" s="4" t="s">
        <v>2603</v>
      </c>
      <c r="C39" s="15"/>
      <c r="D39" s="1"/>
      <c r="E39" s="1"/>
      <c r="F39" s="1"/>
      <c r="G39" s="2">
        <v>800.0</v>
      </c>
    </row>
    <row r="40" ht="15.75" customHeight="1">
      <c r="A40" s="1"/>
      <c r="B40" s="4" t="s">
        <v>666</v>
      </c>
      <c r="C40" s="15"/>
      <c r="D40" s="1"/>
      <c r="E40" s="1"/>
      <c r="F40" s="1"/>
      <c r="G40" s="2">
        <v>1783.0</v>
      </c>
    </row>
    <row r="41" ht="15.75" customHeight="1">
      <c r="A41" s="1"/>
      <c r="B41" s="4" t="s">
        <v>2604</v>
      </c>
      <c r="C41" s="15"/>
      <c r="D41" s="1"/>
      <c r="E41" s="1"/>
      <c r="F41" s="1"/>
      <c r="G41" s="2">
        <v>4991.0</v>
      </c>
    </row>
    <row r="42" ht="15.75" customHeight="1">
      <c r="A42" s="1"/>
      <c r="B42" s="4" t="s">
        <v>2429</v>
      </c>
      <c r="C42" s="15"/>
      <c r="D42" s="78"/>
      <c r="E42" s="1"/>
      <c r="F42" s="1"/>
      <c r="G42" s="79">
        <v>16000.0</v>
      </c>
    </row>
    <row r="43" ht="15.75" customHeight="1">
      <c r="A43" s="1"/>
      <c r="B43" s="4" t="s">
        <v>2151</v>
      </c>
      <c r="C43" s="15"/>
      <c r="D43" s="1"/>
      <c r="E43" s="1"/>
      <c r="F43" s="1"/>
      <c r="G43" s="2">
        <v>30000.0</v>
      </c>
    </row>
    <row r="44" ht="15.75" customHeight="1">
      <c r="A44" s="1"/>
      <c r="B44" s="4" t="s">
        <v>245</v>
      </c>
      <c r="C44" s="15"/>
      <c r="D44" s="1"/>
      <c r="E44" s="1"/>
      <c r="F44" s="1"/>
      <c r="G44" s="2">
        <v>6000.0</v>
      </c>
    </row>
    <row r="45" ht="15.75" customHeight="1">
      <c r="A45" s="1"/>
      <c r="B45" s="4" t="s">
        <v>2605</v>
      </c>
      <c r="C45" s="15"/>
      <c r="D45" s="1"/>
      <c r="E45" s="1"/>
      <c r="F45" s="1"/>
      <c r="G45" s="2">
        <v>2300.0</v>
      </c>
    </row>
    <row r="46" ht="15.75" customHeight="1">
      <c r="A46" s="1"/>
      <c r="B46" s="4" t="s">
        <v>2606</v>
      </c>
      <c r="C46" s="15"/>
      <c r="D46" s="1"/>
      <c r="E46" s="1"/>
      <c r="F46" s="1"/>
      <c r="G46" s="2">
        <v>40000.0</v>
      </c>
    </row>
    <row r="47" ht="15.75" customHeight="1">
      <c r="A47" s="1"/>
      <c r="B47" s="1" t="s">
        <v>2607</v>
      </c>
      <c r="C47" s="1"/>
      <c r="D47" s="1"/>
      <c r="E47" s="1"/>
      <c r="F47" s="1"/>
      <c r="G47" s="13">
        <v>3500.0</v>
      </c>
    </row>
    <row r="48" ht="15.75" customHeight="1">
      <c r="A48" s="1"/>
      <c r="B48" s="1" t="s">
        <v>2608</v>
      </c>
      <c r="C48" s="1"/>
      <c r="D48" s="1"/>
      <c r="E48" s="1"/>
      <c r="F48" s="1"/>
      <c r="G48" s="13">
        <v>75000.0</v>
      </c>
    </row>
    <row r="49" ht="15.75" customHeight="1">
      <c r="A49" s="1"/>
      <c r="B49" s="1" t="s">
        <v>2609</v>
      </c>
      <c r="C49" s="1"/>
      <c r="D49" s="1"/>
      <c r="E49" s="1"/>
      <c r="F49" s="1"/>
      <c r="G49" s="13">
        <v>75000.0</v>
      </c>
    </row>
    <row r="50" ht="15.75" customHeight="1">
      <c r="A50" s="1"/>
      <c r="B50" s="1" t="s">
        <v>2610</v>
      </c>
      <c r="C50" s="1"/>
      <c r="D50" s="1"/>
      <c r="E50" s="1"/>
      <c r="F50" s="1"/>
      <c r="G50" s="13">
        <v>39200.0</v>
      </c>
    </row>
    <row r="51" ht="15.75" customHeight="1">
      <c r="A51" s="1"/>
      <c r="B51" s="1" t="s">
        <v>2611</v>
      </c>
      <c r="C51" s="1"/>
      <c r="D51" s="1"/>
      <c r="E51" s="1"/>
      <c r="F51" s="1"/>
      <c r="G51" s="13">
        <v>1000.0</v>
      </c>
    </row>
    <row r="52" ht="15.75" customHeight="1">
      <c r="A52" s="1"/>
      <c r="B52" s="1" t="s">
        <v>2612</v>
      </c>
      <c r="C52" s="1"/>
      <c r="D52" s="1"/>
      <c r="E52" s="1"/>
      <c r="F52" s="1"/>
      <c r="G52" s="13">
        <v>1500.0</v>
      </c>
    </row>
    <row r="53" ht="15.75" customHeight="1">
      <c r="A53" s="1"/>
      <c r="B53" s="1" t="s">
        <v>1723</v>
      </c>
      <c r="C53" s="1"/>
      <c r="D53" s="1"/>
      <c r="E53" s="1"/>
      <c r="F53" s="1"/>
      <c r="G53" s="13">
        <v>2000.0</v>
      </c>
    </row>
    <row r="54" ht="15.75" customHeight="1">
      <c r="A54" s="1"/>
      <c r="B54" s="1" t="s">
        <v>2613</v>
      </c>
      <c r="C54" s="1"/>
      <c r="D54" s="1"/>
      <c r="E54" s="1"/>
      <c r="F54" s="1"/>
      <c r="G54" s="13">
        <v>2000.0</v>
      </c>
    </row>
    <row r="55" ht="15.75" customHeight="1">
      <c r="A55" s="1"/>
      <c r="B55" s="1" t="s">
        <v>2614</v>
      </c>
      <c r="C55" s="1"/>
      <c r="D55" s="1"/>
      <c r="E55" s="1"/>
      <c r="F55" s="1"/>
      <c r="G55" s="13">
        <v>500.0</v>
      </c>
    </row>
    <row r="56" ht="15.75" customHeight="1">
      <c r="A56" s="1"/>
      <c r="B56" s="1" t="s">
        <v>2615</v>
      </c>
      <c r="C56" s="1"/>
      <c r="D56" s="1"/>
      <c r="E56" s="1"/>
      <c r="F56" s="1"/>
      <c r="G56" s="13">
        <v>2000.0</v>
      </c>
    </row>
    <row r="57" ht="15.75" customHeight="1">
      <c r="A57" s="1"/>
      <c r="B57" s="1" t="s">
        <v>2616</v>
      </c>
      <c r="C57" s="1"/>
      <c r="D57" s="1"/>
      <c r="E57" s="1"/>
      <c r="F57" s="1"/>
      <c r="G57" s="13">
        <v>2000.0</v>
      </c>
      <c r="H57" s="67" t="s">
        <v>480</v>
      </c>
    </row>
    <row r="58" ht="15.75" customHeight="1">
      <c r="A58" s="1"/>
      <c r="B58" s="1" t="s">
        <v>2617</v>
      </c>
      <c r="C58" s="1"/>
      <c r="D58" s="1"/>
      <c r="E58" s="1"/>
      <c r="F58" s="1"/>
      <c r="G58" s="13">
        <v>1000.0</v>
      </c>
    </row>
    <row r="59" ht="15.75" customHeight="1">
      <c r="A59" s="1"/>
      <c r="B59" s="1" t="s">
        <v>2618</v>
      </c>
      <c r="C59" s="1"/>
      <c r="D59" s="1"/>
      <c r="E59" s="1"/>
      <c r="F59" s="1"/>
      <c r="G59" s="13">
        <v>15000.0</v>
      </c>
    </row>
    <row r="60" ht="15.75" customHeight="1">
      <c r="A60" s="1"/>
      <c r="B60" s="1" t="s">
        <v>2619</v>
      </c>
      <c r="C60" s="1"/>
      <c r="D60" s="1"/>
      <c r="E60" s="1"/>
      <c r="F60" s="1"/>
      <c r="G60" s="13">
        <v>6000.0</v>
      </c>
    </row>
    <row r="61" ht="15.75" customHeight="1">
      <c r="A61" s="1"/>
      <c r="B61" s="1" t="s">
        <v>2620</v>
      </c>
      <c r="C61" s="1"/>
      <c r="D61" s="1"/>
      <c r="E61" s="1"/>
      <c r="F61" s="1"/>
      <c r="G61" s="13">
        <v>7000.0</v>
      </c>
    </row>
    <row r="62" ht="15.75" customHeight="1">
      <c r="A62" s="1"/>
      <c r="B62" s="1" t="s">
        <v>2621</v>
      </c>
      <c r="C62" s="1"/>
      <c r="D62" s="1"/>
      <c r="E62" s="1"/>
      <c r="F62" s="1"/>
      <c r="G62" s="13">
        <v>6500.0</v>
      </c>
    </row>
    <row r="63" ht="15.75" customHeight="1">
      <c r="A63" s="1"/>
      <c r="B63" s="1" t="s">
        <v>2622</v>
      </c>
      <c r="C63" s="1"/>
      <c r="D63" s="1"/>
      <c r="E63" s="1"/>
      <c r="F63" s="1"/>
      <c r="G63" s="13">
        <v>87000.0</v>
      </c>
    </row>
    <row r="64" ht="15.75" customHeight="1">
      <c r="A64" s="1"/>
      <c r="B64" s="1" t="s">
        <v>2619</v>
      </c>
      <c r="C64" s="1"/>
      <c r="D64" s="1"/>
      <c r="E64" s="1"/>
      <c r="F64" s="1"/>
      <c r="G64" s="13">
        <v>4500.0</v>
      </c>
    </row>
    <row r="65" ht="15.75" customHeight="1">
      <c r="A65" s="1"/>
      <c r="B65" s="1"/>
      <c r="C65" s="1"/>
      <c r="D65" s="1"/>
      <c r="E65" s="1"/>
      <c r="F65" s="1"/>
      <c r="G65" s="13"/>
    </row>
    <row r="66" ht="15.75" customHeight="1">
      <c r="A66" s="1"/>
      <c r="B66" s="43" t="s">
        <v>43</v>
      </c>
      <c r="C66" s="1"/>
      <c r="D66" s="1"/>
      <c r="E66" s="1"/>
      <c r="F66" s="1"/>
      <c r="G66" s="18">
        <f>SUM(G29:G64)</f>
        <v>1116226</v>
      </c>
    </row>
    <row r="67" ht="15.75" customHeight="1">
      <c r="A67" s="1"/>
      <c r="B67" s="19" t="s">
        <v>45</v>
      </c>
      <c r="C67" s="20"/>
      <c r="D67" s="20"/>
      <c r="E67" s="20"/>
      <c r="F67" s="20"/>
      <c r="G67" s="70">
        <f>SUM(G27+G66)</f>
        <v>2663226</v>
      </c>
    </row>
    <row r="68" ht="15.75" customHeight="1">
      <c r="A68" s="1"/>
      <c r="B68" s="4" t="s">
        <v>46</v>
      </c>
      <c r="C68" s="1"/>
      <c r="D68" s="1"/>
      <c r="E68" s="1"/>
      <c r="F68" s="1"/>
      <c r="G68" s="2"/>
    </row>
    <row r="69" ht="15.75" customHeight="1">
      <c r="A69" s="35" t="s">
        <v>2623</v>
      </c>
      <c r="B69" s="36"/>
      <c r="C69" s="37"/>
      <c r="D69" s="37"/>
      <c r="E69" s="37"/>
      <c r="F69" s="37"/>
      <c r="G69" s="71">
        <f>(G14-G67)</f>
        <v>134574</v>
      </c>
    </row>
    <row r="70" ht="15.75" customHeight="1">
      <c r="A70" s="22" t="s">
        <v>254</v>
      </c>
      <c r="B70" s="43" t="s">
        <v>255</v>
      </c>
      <c r="C70" s="1"/>
      <c r="D70" s="1"/>
      <c r="E70" s="1"/>
      <c r="F70" s="1"/>
      <c r="G70" s="2"/>
    </row>
    <row r="71" ht="15.75" customHeight="1">
      <c r="A71" s="22"/>
      <c r="B71" s="43"/>
      <c r="C71" s="1"/>
      <c r="D71" s="1"/>
      <c r="E71" s="1"/>
      <c r="F71" s="1"/>
      <c r="G71" s="2"/>
    </row>
    <row r="72" ht="15.75" customHeight="1">
      <c r="A72" s="22"/>
      <c r="B72" s="43"/>
      <c r="C72" s="1"/>
      <c r="D72" s="1"/>
      <c r="E72" s="1"/>
      <c r="F72" s="1"/>
      <c r="G72" s="2"/>
    </row>
    <row r="73" ht="15.75" customHeight="1">
      <c r="A73" s="44"/>
      <c r="B73" s="72" t="s">
        <v>51</v>
      </c>
      <c r="C73" s="27"/>
      <c r="D73" s="27"/>
      <c r="E73" s="27"/>
      <c r="F73" s="27"/>
      <c r="G73" s="73"/>
    </row>
    <row r="74" ht="15.75" customHeight="1">
      <c r="A74" s="44"/>
      <c r="B74" s="45" t="s">
        <v>2624</v>
      </c>
      <c r="C74" s="45"/>
      <c r="D74" s="45"/>
      <c r="E74" s="46"/>
      <c r="F74" s="46"/>
      <c r="G74" s="47">
        <f>G3+G69-G73</f>
        <v>2132673</v>
      </c>
    </row>
    <row r="75" ht="15.75" customHeight="1">
      <c r="A75" s="1"/>
      <c r="B75" s="32" t="s">
        <v>2625</v>
      </c>
    </row>
    <row r="76" ht="15.75" customHeight="1">
      <c r="A76" s="1"/>
      <c r="B76" s="1"/>
      <c r="C76" s="1" t="s">
        <v>1115</v>
      </c>
      <c r="D76" s="1"/>
      <c r="E76" s="1"/>
      <c r="F76" s="1"/>
      <c r="G76" s="2">
        <v>0.0</v>
      </c>
    </row>
    <row r="77" ht="15.75" customHeight="1">
      <c r="A77" s="1"/>
      <c r="B77" s="1"/>
      <c r="C77" s="1" t="s">
        <v>2626</v>
      </c>
      <c r="D77" s="1"/>
      <c r="E77" s="1"/>
      <c r="F77" s="1"/>
      <c r="G77" s="2">
        <v>306400.0</v>
      </c>
    </row>
    <row r="78" ht="15.75" customHeight="1">
      <c r="A78" s="1"/>
      <c r="B78" s="1"/>
      <c r="C78" s="43" t="s">
        <v>115</v>
      </c>
      <c r="D78" s="1"/>
      <c r="E78" s="1"/>
      <c r="F78" s="1"/>
      <c r="G78" s="2">
        <v>306400.0</v>
      </c>
    </row>
    <row r="79" ht="15.75" customHeight="1">
      <c r="A79" s="1"/>
      <c r="B79" s="43" t="s">
        <v>2453</v>
      </c>
      <c r="C79" s="43"/>
      <c r="D79" s="1"/>
      <c r="E79" s="1"/>
      <c r="F79" s="1"/>
      <c r="G79" s="2"/>
    </row>
    <row r="80" ht="15.75" customHeight="1">
      <c r="A80" s="1"/>
      <c r="B80" s="43" t="s">
        <v>2627</v>
      </c>
      <c r="C80" s="43"/>
      <c r="D80" s="1"/>
      <c r="E80" s="1"/>
      <c r="F80" s="1"/>
      <c r="G80" s="1"/>
    </row>
    <row r="81" ht="15.75" customHeight="1">
      <c r="A81" s="1"/>
      <c r="B81" s="43" t="s">
        <v>2628</v>
      </c>
      <c r="C81" s="43"/>
      <c r="D81" s="1"/>
      <c r="E81" s="1"/>
      <c r="F81" s="1"/>
      <c r="G81" s="1"/>
    </row>
    <row r="82" ht="15.75" customHeight="1">
      <c r="A82" s="1"/>
      <c r="B82" s="43"/>
      <c r="C82" s="43"/>
      <c r="D82" s="1"/>
      <c r="E82" s="1"/>
      <c r="F82" s="1"/>
      <c r="G82" s="1"/>
    </row>
    <row r="83" ht="15.75" customHeight="1">
      <c r="A83" s="1"/>
      <c r="B83" s="33" t="s">
        <v>2629</v>
      </c>
      <c r="C83" s="1"/>
      <c r="D83" s="1"/>
      <c r="E83" s="1"/>
      <c r="F83" s="1"/>
      <c r="G83" s="2"/>
    </row>
    <row r="84" ht="15.75" customHeight="1">
      <c r="A84" s="1"/>
      <c r="B84" s="33"/>
      <c r="C84" s="1"/>
      <c r="D84" s="1"/>
      <c r="E84" s="1"/>
      <c r="F84" s="1"/>
      <c r="G84" s="2"/>
    </row>
    <row r="85" ht="15.75" customHeight="1">
      <c r="A85" s="1"/>
      <c r="B85" s="55" t="s">
        <v>531</v>
      </c>
      <c r="C85" s="56"/>
      <c r="D85" s="56"/>
      <c r="E85" s="56"/>
      <c r="F85" s="1"/>
      <c r="G85" s="55" t="s">
        <v>2630</v>
      </c>
    </row>
    <row r="86" ht="15.75" customHeight="1">
      <c r="A86" s="1"/>
      <c r="B86" s="55"/>
      <c r="C86" s="56"/>
      <c r="D86" s="56"/>
      <c r="E86" s="56"/>
      <c r="F86" s="1"/>
      <c r="G86" s="55"/>
    </row>
    <row r="87" ht="15.75" customHeight="1">
      <c r="A87" s="1"/>
      <c r="B87" s="55"/>
      <c r="C87" s="56"/>
      <c r="D87" s="56"/>
      <c r="E87" s="56"/>
      <c r="F87" s="1"/>
      <c r="G87" s="55"/>
    </row>
    <row r="88" ht="15.75" customHeight="1">
      <c r="A88" s="1"/>
      <c r="B88" s="55" t="s">
        <v>2631</v>
      </c>
      <c r="C88" s="56"/>
      <c r="D88" s="56"/>
      <c r="E88" s="56"/>
      <c r="F88" s="1"/>
      <c r="G88" s="55" t="s">
        <v>535</v>
      </c>
    </row>
    <row r="89" ht="15.75" customHeight="1">
      <c r="A89" s="1"/>
      <c r="B89" s="55"/>
      <c r="C89" s="56"/>
      <c r="D89" s="56"/>
      <c r="E89" s="56"/>
      <c r="F89" s="1"/>
      <c r="G89" s="55"/>
    </row>
    <row r="90" ht="15.75" customHeight="1">
      <c r="A90" s="1"/>
      <c r="B90" s="55"/>
      <c r="C90" s="56"/>
      <c r="D90" s="56"/>
      <c r="E90" s="56"/>
      <c r="F90" s="1"/>
      <c r="G90" s="55"/>
    </row>
    <row r="91" ht="15.75" customHeight="1">
      <c r="A91" s="1"/>
      <c r="B91" s="55" t="s">
        <v>533</v>
      </c>
      <c r="F91" s="1"/>
      <c r="G91" s="55" t="s">
        <v>536</v>
      </c>
    </row>
    <row r="92" ht="15.75" customHeight="1">
      <c r="A92" s="1"/>
      <c r="B92" s="55"/>
      <c r="C92" s="55"/>
      <c r="D92" s="55"/>
      <c r="E92" s="55"/>
      <c r="F92" s="1"/>
      <c r="G92" s="2"/>
    </row>
    <row r="93" ht="15.75" customHeight="1">
      <c r="A93" s="1"/>
      <c r="B93" s="55"/>
      <c r="C93" s="56"/>
      <c r="D93" s="57"/>
      <c r="E93" s="56"/>
      <c r="F93" s="1"/>
      <c r="G93" s="2"/>
    </row>
    <row r="94" ht="15.75" customHeight="1">
      <c r="A94" s="1"/>
      <c r="B94" s="55"/>
      <c r="C94" s="56"/>
      <c r="D94" s="57"/>
      <c r="E94" s="56"/>
      <c r="F94" s="1"/>
      <c r="G94" s="2"/>
    </row>
    <row r="95" ht="15.75" customHeight="1">
      <c r="A95" s="1"/>
      <c r="B95" s="55"/>
      <c r="C95" s="56"/>
      <c r="D95" s="57"/>
      <c r="E95" s="56"/>
      <c r="F95" s="1"/>
      <c r="G95" s="2"/>
    </row>
    <row r="96" ht="15.75" customHeight="1">
      <c r="A96" s="1"/>
      <c r="B96" s="55"/>
      <c r="C96" s="56"/>
      <c r="D96" s="57"/>
      <c r="E96" s="56"/>
      <c r="F96" s="1"/>
      <c r="G96" s="2"/>
    </row>
    <row r="97" ht="15.75" customHeight="1">
      <c r="B97" s="55"/>
      <c r="C97" s="56"/>
      <c r="D97" s="57"/>
      <c r="E97" s="57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4"/>
    <mergeCell ref="C13:D13"/>
    <mergeCell ref="B14:F14"/>
    <mergeCell ref="B75:G75"/>
    <mergeCell ref="B91:E91"/>
  </mergeCells>
  <printOptions/>
  <pageMargins bottom="0.75" footer="0.0" header="0.0" left="0.7" right="0.7" top="0.7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71"/>
    <col customWidth="1" min="3" max="3" width="15.43"/>
    <col customWidth="1" min="4" max="4" width="14.14"/>
    <col customWidth="1" min="5" max="5" width="22.14"/>
    <col customWidth="1" min="6" max="6" width="17.0"/>
    <col customWidth="1" min="7" max="7" width="17.71"/>
    <col customWidth="1" min="8" max="9" width="16.57"/>
    <col customWidth="1" min="10" max="26" width="10.71"/>
  </cols>
  <sheetData>
    <row r="1">
      <c r="A1" s="58" t="s">
        <v>1585</v>
      </c>
      <c r="B1" s="58" t="s">
        <v>622</v>
      </c>
      <c r="C1" s="58" t="s">
        <v>623</v>
      </c>
      <c r="D1" s="58" t="s">
        <v>624</v>
      </c>
      <c r="E1" s="58" t="s">
        <v>625</v>
      </c>
      <c r="F1" s="58" t="s">
        <v>626</v>
      </c>
      <c r="G1" s="58" t="s">
        <v>627</v>
      </c>
      <c r="H1" s="58" t="s">
        <v>628</v>
      </c>
      <c r="I1" s="58" t="s">
        <v>629</v>
      </c>
    </row>
    <row r="2">
      <c r="A2" s="59">
        <v>44927.0</v>
      </c>
      <c r="B2" s="2">
        <v>5447449.0</v>
      </c>
      <c r="C2" s="60">
        <v>2485200.0</v>
      </c>
      <c r="D2" s="60">
        <v>474000.0</v>
      </c>
      <c r="E2" s="60">
        <v>1592500.0</v>
      </c>
      <c r="F2" s="60">
        <v>2148045.0</v>
      </c>
      <c r="G2" s="2">
        <v>484500.0</v>
      </c>
      <c r="H2" s="80">
        <v>459319.0</v>
      </c>
      <c r="I2" s="60">
        <f t="shared" ref="I2:I3" si="1">(B2+H2-G2)</f>
        <v>5422268</v>
      </c>
    </row>
    <row r="3">
      <c r="A3" s="59">
        <v>44958.0</v>
      </c>
      <c r="B3" s="2">
        <v>5422268.0</v>
      </c>
      <c r="C3" s="2">
        <v>2182300.0</v>
      </c>
      <c r="D3" s="60">
        <v>445000.0</v>
      </c>
      <c r="E3" s="60">
        <v>1592500.0</v>
      </c>
      <c r="F3" s="60">
        <v>2148045.0</v>
      </c>
      <c r="G3" s="2">
        <v>0.0</v>
      </c>
      <c r="H3" s="60">
        <v>-1113245.0</v>
      </c>
      <c r="I3" s="60">
        <f t="shared" si="1"/>
        <v>4309023</v>
      </c>
    </row>
    <row r="4">
      <c r="A4" s="59">
        <v>44986.0</v>
      </c>
      <c r="B4" s="2">
        <v>4309023.0</v>
      </c>
      <c r="C4" s="60">
        <v>2181800.0</v>
      </c>
      <c r="D4" s="60">
        <v>427000.0</v>
      </c>
      <c r="E4" s="60">
        <v>1684100.0</v>
      </c>
      <c r="F4" s="60">
        <v>1396450.0</v>
      </c>
      <c r="G4" s="60">
        <v>0.0</v>
      </c>
      <c r="H4" s="60">
        <v>-471750.0</v>
      </c>
      <c r="I4" s="60">
        <v>3837273.0</v>
      </c>
    </row>
    <row r="5">
      <c r="A5" s="59">
        <v>45017.0</v>
      </c>
      <c r="B5" s="60">
        <f t="shared" ref="B5:B13" si="2">(I4)</f>
        <v>3837273</v>
      </c>
      <c r="C5" s="60">
        <v>1973000.0</v>
      </c>
      <c r="D5" s="60">
        <v>338000.0</v>
      </c>
      <c r="E5" s="60">
        <v>1675000.0</v>
      </c>
      <c r="F5" s="60">
        <v>751069.0</v>
      </c>
      <c r="G5" s="60">
        <v>0.0</v>
      </c>
      <c r="H5" s="60">
        <v>-115069.0</v>
      </c>
      <c r="I5" s="60">
        <f t="shared" ref="I5:I7" si="3">(B5+H5-G5)</f>
        <v>3722204</v>
      </c>
    </row>
    <row r="6">
      <c r="A6" s="59">
        <v>45047.0</v>
      </c>
      <c r="B6" s="60">
        <f t="shared" si="2"/>
        <v>3722204</v>
      </c>
      <c r="C6" s="62">
        <v>2726050.0</v>
      </c>
      <c r="D6" s="7">
        <v>359000.0</v>
      </c>
      <c r="E6" s="60">
        <v>1442600.0</v>
      </c>
      <c r="F6" s="60">
        <v>2525750.0</v>
      </c>
      <c r="G6" s="60">
        <v>0.0</v>
      </c>
      <c r="H6" s="60">
        <v>-883300.0</v>
      </c>
      <c r="I6" s="60">
        <f t="shared" si="3"/>
        <v>2838904</v>
      </c>
    </row>
    <row r="7">
      <c r="A7" s="59">
        <v>45078.0</v>
      </c>
      <c r="B7" s="60">
        <f t="shared" si="2"/>
        <v>2838904</v>
      </c>
      <c r="C7" s="2">
        <v>1774100.0</v>
      </c>
      <c r="D7" s="60">
        <v>279000.0</v>
      </c>
      <c r="E7" s="60">
        <v>1387200.0</v>
      </c>
      <c r="F7" s="60">
        <v>1074456.0</v>
      </c>
      <c r="G7" s="60">
        <v>0.0</v>
      </c>
      <c r="H7" s="60">
        <v>-408556.0</v>
      </c>
      <c r="I7" s="60">
        <f t="shared" si="3"/>
        <v>2430348</v>
      </c>
    </row>
    <row r="8">
      <c r="A8" s="59">
        <v>45108.0</v>
      </c>
      <c r="B8" s="60">
        <f t="shared" si="2"/>
        <v>2430348</v>
      </c>
      <c r="C8" s="60">
        <v>2469100.0</v>
      </c>
      <c r="D8" s="60">
        <v>647000.0</v>
      </c>
      <c r="E8" s="60">
        <v>1420800.0</v>
      </c>
      <c r="F8" s="60">
        <v>1593898.0</v>
      </c>
      <c r="G8" s="60">
        <v>0.0</v>
      </c>
      <c r="H8" s="60">
        <v>101402.0</v>
      </c>
      <c r="I8" s="60">
        <v>2531750.0</v>
      </c>
    </row>
    <row r="9">
      <c r="A9" s="59">
        <v>45139.0</v>
      </c>
      <c r="B9" s="60">
        <f t="shared" si="2"/>
        <v>2531750</v>
      </c>
      <c r="C9" s="60">
        <v>2448200.0</v>
      </c>
      <c r="D9" s="60">
        <v>895000.0</v>
      </c>
      <c r="E9" s="60">
        <v>1460000.0</v>
      </c>
      <c r="F9" s="60">
        <v>1754080.0</v>
      </c>
      <c r="G9" s="60">
        <v>0.0</v>
      </c>
      <c r="H9" s="60">
        <v>129120.0</v>
      </c>
      <c r="I9" s="60">
        <v>2660870.0</v>
      </c>
    </row>
    <row r="10">
      <c r="A10" s="59">
        <v>45170.0</v>
      </c>
      <c r="B10" s="60">
        <f t="shared" si="2"/>
        <v>2660870</v>
      </c>
      <c r="C10" s="60">
        <v>2039800.0</v>
      </c>
      <c r="D10" s="60">
        <v>511000.0</v>
      </c>
      <c r="E10" s="60">
        <v>1504000.0</v>
      </c>
      <c r="F10" s="60">
        <v>1010492.0</v>
      </c>
      <c r="G10" s="60">
        <v>0.0</v>
      </c>
      <c r="H10" s="60">
        <v>36308.0</v>
      </c>
      <c r="I10" s="60">
        <v>2697178.0</v>
      </c>
    </row>
    <row r="11">
      <c r="A11" s="59">
        <v>45200.0</v>
      </c>
      <c r="B11" s="60">
        <f t="shared" si="2"/>
        <v>2697178</v>
      </c>
      <c r="C11" s="60">
        <v>3131900.0</v>
      </c>
      <c r="D11" s="60">
        <v>577000.0</v>
      </c>
      <c r="E11" s="60">
        <v>1630000.0</v>
      </c>
      <c r="F11" s="60">
        <v>1740074.0</v>
      </c>
      <c r="G11" s="60">
        <v>0.0</v>
      </c>
      <c r="H11" s="60">
        <v>338826.0</v>
      </c>
      <c r="I11" s="60">
        <f>(B11+H11-G11)</f>
        <v>3036004</v>
      </c>
    </row>
    <row r="12">
      <c r="A12" s="59">
        <v>45231.0</v>
      </c>
      <c r="B12" s="60">
        <f t="shared" si="2"/>
        <v>3036004</v>
      </c>
      <c r="C12" s="60">
        <v>2582200.0</v>
      </c>
      <c r="D12" s="60">
        <v>518000.0</v>
      </c>
      <c r="E12" s="60">
        <v>1515000.0</v>
      </c>
      <c r="F12" s="60">
        <v>1373105.0</v>
      </c>
      <c r="G12" s="60">
        <v>1250000.0</v>
      </c>
      <c r="H12" s="60">
        <v>212095.0</v>
      </c>
      <c r="I12" s="60">
        <v>1998099.0</v>
      </c>
    </row>
    <row r="13">
      <c r="A13" s="59">
        <v>45261.0</v>
      </c>
      <c r="B13" s="60">
        <f t="shared" si="2"/>
        <v>1998099</v>
      </c>
      <c r="C13" s="60">
        <v>2363800.0</v>
      </c>
      <c r="D13" s="60">
        <v>434000.0</v>
      </c>
      <c r="E13" s="60">
        <v>1547000.0</v>
      </c>
      <c r="F13" s="60">
        <v>1116226.0</v>
      </c>
      <c r="G13" s="60">
        <v>3334600.0</v>
      </c>
      <c r="H13" s="60">
        <v>134574.0</v>
      </c>
      <c r="I13" s="60">
        <v>2132673.0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6" width="10.71"/>
    <col customWidth="1" min="7" max="7" width="14.71"/>
    <col customWidth="1" min="8" max="26" width="10.71"/>
  </cols>
  <sheetData>
    <row r="1">
      <c r="A1" s="1" t="s">
        <v>721</v>
      </c>
      <c r="B1" s="3" t="s">
        <v>2632</v>
      </c>
      <c r="C1" s="1"/>
      <c r="D1" s="1"/>
      <c r="E1" s="1"/>
      <c r="F1" s="1"/>
      <c r="G1" s="2"/>
    </row>
    <row r="2">
      <c r="A2" s="1"/>
      <c r="B2" s="75" t="s">
        <v>2144</v>
      </c>
      <c r="G2" s="47">
        <v>2132673.0</v>
      </c>
    </row>
    <row r="3">
      <c r="A3" s="1"/>
      <c r="G3" s="2"/>
    </row>
    <row r="4">
      <c r="A4" s="6" t="s">
        <v>2633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515700.0</v>
      </c>
      <c r="G5" s="7">
        <v>110000.0</v>
      </c>
    </row>
    <row r="6">
      <c r="A6" s="1"/>
      <c r="B6" s="4" t="s">
        <v>64</v>
      </c>
      <c r="C6" s="1"/>
      <c r="D6" s="1"/>
      <c r="E6" s="1"/>
      <c r="F6" s="2">
        <v>493100.0</v>
      </c>
      <c r="G6" s="7">
        <v>145000.0</v>
      </c>
    </row>
    <row r="7">
      <c r="A7" s="1"/>
      <c r="B7" s="4" t="s">
        <v>65</v>
      </c>
      <c r="C7" s="1"/>
      <c r="D7" s="1"/>
      <c r="E7" s="1"/>
      <c r="F7" s="2">
        <v>264000.0</v>
      </c>
      <c r="G7" s="7">
        <v>142000.0</v>
      </c>
    </row>
    <row r="8">
      <c r="A8" s="1"/>
      <c r="B8" s="4" t="s">
        <v>66</v>
      </c>
      <c r="C8" s="1"/>
      <c r="D8" s="1"/>
      <c r="E8" s="1"/>
      <c r="F8" s="2">
        <v>426300.0</v>
      </c>
      <c r="G8" s="76">
        <v>125000.0</v>
      </c>
    </row>
    <row r="9">
      <c r="A9" s="1"/>
      <c r="B9" s="4" t="s">
        <v>67</v>
      </c>
      <c r="C9" s="1"/>
      <c r="D9" s="49" t="s">
        <v>8</v>
      </c>
      <c r="E9" s="49"/>
      <c r="F9" s="7">
        <v>320400.0</v>
      </c>
      <c r="G9" s="7">
        <v>56000.0</v>
      </c>
    </row>
    <row r="10">
      <c r="A10" s="1"/>
      <c r="B10" s="4" t="s">
        <v>2634</v>
      </c>
      <c r="C10" s="1"/>
      <c r="D10" s="49"/>
      <c r="E10" s="49"/>
      <c r="F10" s="7">
        <v>376000.0</v>
      </c>
      <c r="G10" s="7" t="s">
        <v>480</v>
      </c>
    </row>
    <row r="11">
      <c r="A11" s="1"/>
      <c r="B11" s="4" t="s">
        <v>2635</v>
      </c>
      <c r="C11" s="1"/>
      <c r="D11" s="49"/>
      <c r="E11" s="49"/>
      <c r="F11" s="7">
        <v>430000.0</v>
      </c>
      <c r="G11" s="7"/>
    </row>
    <row r="12">
      <c r="A12" s="1"/>
      <c r="B12" s="4"/>
      <c r="C12" s="50" t="s">
        <v>405</v>
      </c>
      <c r="E12" s="4"/>
      <c r="F12" s="2">
        <f>SUM(F5:F11)</f>
        <v>2825500</v>
      </c>
      <c r="G12" s="7">
        <f>SUM(G5:G9)</f>
        <v>578000</v>
      </c>
    </row>
    <row r="13">
      <c r="A13" s="1"/>
      <c r="B13" s="51" t="s">
        <v>9</v>
      </c>
      <c r="C13" s="52"/>
      <c r="D13" s="52"/>
      <c r="E13" s="52"/>
      <c r="F13" s="53"/>
      <c r="G13" s="68">
        <f>SUM(F12:G12)</f>
        <v>3403500</v>
      </c>
    </row>
    <row r="14">
      <c r="A14" s="6" t="s">
        <v>2636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2465</v>
      </c>
      <c r="C16" s="1"/>
      <c r="D16" s="1"/>
      <c r="E16" s="1"/>
      <c r="F16" s="1"/>
      <c r="G16" s="77">
        <v>280000.0</v>
      </c>
    </row>
    <row r="17">
      <c r="A17" s="1"/>
      <c r="B17" s="4" t="s">
        <v>1594</v>
      </c>
      <c r="C17" s="1"/>
      <c r="D17" s="1"/>
      <c r="E17" s="1"/>
      <c r="F17" s="1"/>
      <c r="G17" s="77">
        <v>100000.0</v>
      </c>
      <c r="M17" s="67" t="s">
        <v>480</v>
      </c>
    </row>
    <row r="18">
      <c r="A18" s="1"/>
      <c r="B18" s="4" t="s">
        <v>13</v>
      </c>
      <c r="C18" s="1"/>
      <c r="D18" s="1"/>
      <c r="E18" s="1"/>
      <c r="F18" s="1"/>
      <c r="G18" s="13">
        <v>150000.0</v>
      </c>
    </row>
    <row r="19">
      <c r="A19" s="1"/>
      <c r="B19" s="4" t="s">
        <v>14</v>
      </c>
      <c r="C19" s="1"/>
      <c r="D19" s="1"/>
      <c r="E19" s="1"/>
      <c r="F19" s="1"/>
      <c r="G19" s="13">
        <v>150000.0</v>
      </c>
    </row>
    <row r="20">
      <c r="A20" s="1"/>
      <c r="B20" s="4" t="s">
        <v>15</v>
      </c>
      <c r="C20" s="1"/>
      <c r="D20" s="1"/>
      <c r="E20" s="1"/>
      <c r="F20" s="1"/>
      <c r="G20" s="77">
        <v>125000.0</v>
      </c>
    </row>
    <row r="21" ht="15.75" customHeight="1">
      <c r="A21" s="1"/>
      <c r="B21" s="4" t="s">
        <v>16</v>
      </c>
      <c r="C21" s="1"/>
      <c r="D21" s="1"/>
      <c r="E21" s="1"/>
      <c r="F21" s="1"/>
      <c r="G21" s="77">
        <v>100000.0</v>
      </c>
    </row>
    <row r="22" ht="15.75" customHeight="1">
      <c r="A22" s="1"/>
      <c r="B22" s="4" t="s">
        <v>2149</v>
      </c>
      <c r="C22" s="1"/>
      <c r="D22" s="1"/>
      <c r="E22" s="1"/>
      <c r="F22" s="1"/>
      <c r="G22" s="77">
        <v>100000.0</v>
      </c>
    </row>
    <row r="23" ht="15.75" customHeight="1">
      <c r="A23" s="1"/>
      <c r="B23" s="4" t="s">
        <v>2242</v>
      </c>
      <c r="C23" s="1"/>
      <c r="D23" s="1"/>
      <c r="E23" s="1"/>
      <c r="F23" s="1"/>
      <c r="G23" s="77">
        <v>200000.0</v>
      </c>
    </row>
    <row r="24" ht="15.75" customHeight="1">
      <c r="A24" s="1"/>
      <c r="B24" s="4" t="s">
        <v>2637</v>
      </c>
      <c r="C24" s="1"/>
      <c r="D24" s="1"/>
      <c r="E24" s="1"/>
      <c r="F24" s="1"/>
      <c r="G24" s="77">
        <v>100000.0</v>
      </c>
    </row>
    <row r="25" ht="15.75" customHeight="1">
      <c r="A25" s="1"/>
      <c r="B25" s="9" t="s">
        <v>18</v>
      </c>
      <c r="C25" s="10"/>
      <c r="D25" s="10"/>
      <c r="E25" s="10"/>
      <c r="F25" s="10"/>
      <c r="G25" s="69">
        <f>SUM(G16:G24)</f>
        <v>1305000</v>
      </c>
    </row>
    <row r="26" ht="15.75" customHeight="1">
      <c r="A26" s="1"/>
      <c r="B26" s="12" t="s">
        <v>19</v>
      </c>
      <c r="C26" s="15"/>
      <c r="D26" s="1"/>
      <c r="E26" s="1"/>
      <c r="F26" s="1"/>
      <c r="G26" s="2"/>
    </row>
    <row r="27" ht="15.75" customHeight="1">
      <c r="A27" s="1"/>
      <c r="B27" s="4" t="s">
        <v>2638</v>
      </c>
      <c r="C27" s="15"/>
      <c r="D27" s="1"/>
      <c r="E27" s="1"/>
      <c r="F27" s="1"/>
      <c r="G27" s="2">
        <v>47000.0</v>
      </c>
    </row>
    <row r="28" ht="15.75" customHeight="1">
      <c r="A28" s="1"/>
      <c r="B28" s="4" t="s">
        <v>2639</v>
      </c>
      <c r="C28" s="15"/>
      <c r="D28" s="1"/>
      <c r="E28" s="1"/>
      <c r="F28" s="1"/>
      <c r="G28" s="2">
        <v>30000.0</v>
      </c>
    </row>
    <row r="29" ht="15.75" customHeight="1">
      <c r="A29" s="1"/>
      <c r="B29" s="4" t="s">
        <v>2640</v>
      </c>
      <c r="C29" s="15"/>
      <c r="D29" s="1"/>
      <c r="E29" s="1"/>
      <c r="F29" s="1"/>
      <c r="G29" s="2">
        <v>6732.0</v>
      </c>
    </row>
    <row r="30" ht="15.75" customHeight="1">
      <c r="A30" s="1"/>
      <c r="B30" s="4" t="s">
        <v>2641</v>
      </c>
      <c r="C30" s="15"/>
      <c r="D30" s="1"/>
      <c r="E30" s="1"/>
      <c r="F30" s="1"/>
      <c r="G30" s="2">
        <v>4500.0</v>
      </c>
    </row>
    <row r="31" ht="15.75" customHeight="1">
      <c r="A31" s="1"/>
      <c r="B31" s="4" t="s">
        <v>2642</v>
      </c>
      <c r="C31" s="15"/>
      <c r="D31" s="1"/>
      <c r="E31" s="1"/>
      <c r="F31" s="1"/>
      <c r="G31" s="2">
        <v>7500.0</v>
      </c>
    </row>
    <row r="32" ht="15.75" customHeight="1">
      <c r="A32" s="1"/>
      <c r="B32" s="4" t="s">
        <v>2643</v>
      </c>
      <c r="C32" s="15"/>
      <c r="D32" s="1"/>
      <c r="E32" s="1"/>
      <c r="F32" s="1"/>
      <c r="G32" s="2">
        <v>500.0</v>
      </c>
    </row>
    <row r="33" ht="15.75" customHeight="1">
      <c r="A33" s="1"/>
      <c r="B33" s="4" t="s">
        <v>2644</v>
      </c>
      <c r="C33" s="15"/>
      <c r="D33" s="1"/>
      <c r="E33" s="1"/>
      <c r="F33" s="1"/>
      <c r="G33" s="2">
        <v>5000.0</v>
      </c>
    </row>
    <row r="34" ht="15.75" customHeight="1">
      <c r="A34" s="1"/>
      <c r="B34" s="4" t="s">
        <v>2645</v>
      </c>
      <c r="C34" s="15"/>
      <c r="D34" s="1"/>
      <c r="E34" s="1"/>
      <c r="F34" s="1"/>
      <c r="G34" s="2">
        <v>2100.0</v>
      </c>
    </row>
    <row r="35" ht="15.75" customHeight="1">
      <c r="A35" s="1"/>
      <c r="B35" s="4" t="s">
        <v>2646</v>
      </c>
      <c r="C35" s="15"/>
      <c r="D35" s="1"/>
      <c r="E35" s="1"/>
      <c r="F35" s="1"/>
      <c r="G35" s="2">
        <v>7000.0</v>
      </c>
    </row>
    <row r="36" ht="15.75" customHeight="1">
      <c r="A36" s="1"/>
      <c r="B36" s="4" t="s">
        <v>2647</v>
      </c>
      <c r="C36" s="15"/>
      <c r="D36" s="1"/>
      <c r="E36" s="1"/>
      <c r="F36" s="1"/>
      <c r="G36" s="2">
        <v>15000.0</v>
      </c>
    </row>
    <row r="37" ht="15.75" customHeight="1">
      <c r="A37" s="1"/>
      <c r="B37" s="4" t="s">
        <v>2648</v>
      </c>
      <c r="C37" s="15"/>
      <c r="D37" s="1"/>
      <c r="E37" s="1"/>
      <c r="F37" s="1"/>
      <c r="G37" s="2">
        <v>1000.0</v>
      </c>
    </row>
    <row r="38" ht="15.75" customHeight="1">
      <c r="A38" s="1"/>
      <c r="B38" s="4" t="s">
        <v>507</v>
      </c>
      <c r="C38" s="15"/>
      <c r="D38" s="1"/>
      <c r="E38" s="1"/>
      <c r="F38" s="1"/>
      <c r="G38" s="2">
        <v>2500.0</v>
      </c>
    </row>
    <row r="39" ht="15.75" customHeight="1">
      <c r="A39" s="1"/>
      <c r="B39" s="4" t="s">
        <v>2649</v>
      </c>
      <c r="C39" s="15"/>
      <c r="D39" s="1"/>
      <c r="E39" s="1"/>
      <c r="F39" s="1"/>
      <c r="G39" s="2">
        <v>1000.0</v>
      </c>
    </row>
    <row r="40" ht="15.75" customHeight="1">
      <c r="A40" s="1"/>
      <c r="B40" s="4" t="s">
        <v>2650</v>
      </c>
      <c r="C40" s="15"/>
      <c r="D40" s="78"/>
      <c r="E40" s="1"/>
      <c r="F40" s="1"/>
      <c r="G40" s="79">
        <v>9000.0</v>
      </c>
    </row>
    <row r="41" ht="15.75" customHeight="1">
      <c r="A41" s="1"/>
      <c r="B41" s="4" t="s">
        <v>463</v>
      </c>
      <c r="C41" s="15"/>
      <c r="D41" s="1"/>
      <c r="E41" s="1"/>
      <c r="F41" s="1"/>
      <c r="G41" s="2">
        <v>10000.0</v>
      </c>
    </row>
    <row r="42" ht="15.75" customHeight="1">
      <c r="A42" s="1"/>
      <c r="B42" s="4" t="s">
        <v>282</v>
      </c>
      <c r="C42" s="15"/>
      <c r="D42" s="1"/>
      <c r="E42" s="1"/>
      <c r="F42" s="1"/>
      <c r="G42" s="2">
        <v>100000.0</v>
      </c>
    </row>
    <row r="43" ht="15.75" customHeight="1">
      <c r="A43" s="1"/>
      <c r="B43" s="4" t="s">
        <v>2651</v>
      </c>
      <c r="C43" s="15"/>
      <c r="D43" s="1"/>
      <c r="E43" s="1"/>
      <c r="F43" s="1"/>
      <c r="G43" s="2">
        <v>30000.0</v>
      </c>
    </row>
    <row r="44" ht="15.75" customHeight="1">
      <c r="A44" s="1"/>
      <c r="B44" s="4" t="s">
        <v>2652</v>
      </c>
      <c r="C44" s="15"/>
      <c r="D44" s="1"/>
      <c r="E44" s="1"/>
      <c r="F44" s="1"/>
      <c r="G44" s="2">
        <v>28000.0</v>
      </c>
    </row>
    <row r="45" ht="15.75" customHeight="1">
      <c r="A45" s="1"/>
      <c r="B45" s="1" t="s">
        <v>2653</v>
      </c>
      <c r="C45" s="1"/>
      <c r="D45" s="1"/>
      <c r="E45" s="1"/>
      <c r="F45" s="1"/>
      <c r="G45" s="13">
        <v>65250.0</v>
      </c>
    </row>
    <row r="46" ht="15.75" customHeight="1">
      <c r="A46" s="1"/>
      <c r="B46" s="1" t="s">
        <v>2654</v>
      </c>
      <c r="C46" s="1"/>
      <c r="D46" s="1"/>
      <c r="E46" s="1"/>
      <c r="F46" s="1"/>
      <c r="G46" s="13">
        <v>10148.0</v>
      </c>
    </row>
    <row r="47" ht="15.75" customHeight="1">
      <c r="A47" s="1"/>
      <c r="B47" s="1" t="s">
        <v>2655</v>
      </c>
      <c r="C47" s="1"/>
      <c r="D47" s="1"/>
      <c r="E47" s="1"/>
      <c r="F47" s="1"/>
      <c r="G47" s="13">
        <v>50000.0</v>
      </c>
    </row>
    <row r="48" ht="15.75" customHeight="1">
      <c r="A48" s="1"/>
      <c r="B48" s="1" t="s">
        <v>2656</v>
      </c>
      <c r="C48" s="1"/>
      <c r="D48" s="1"/>
      <c r="E48" s="1"/>
      <c r="F48" s="1"/>
      <c r="G48" s="13">
        <v>5100.0</v>
      </c>
    </row>
    <row r="49" ht="15.75" customHeight="1">
      <c r="A49" s="1"/>
      <c r="B49" s="1" t="s">
        <v>2657</v>
      </c>
      <c r="C49" s="1"/>
      <c r="D49" s="1"/>
      <c r="E49" s="1"/>
      <c r="F49" s="1"/>
      <c r="G49" s="13">
        <v>6000.0</v>
      </c>
    </row>
    <row r="50" ht="15.75" customHeight="1">
      <c r="A50" s="1"/>
      <c r="B50" s="1" t="s">
        <v>203</v>
      </c>
      <c r="C50" s="1"/>
      <c r="D50" s="1"/>
      <c r="E50" s="1"/>
      <c r="F50" s="1"/>
      <c r="G50" s="13">
        <v>6500.0</v>
      </c>
    </row>
    <row r="51" ht="15.75" customHeight="1">
      <c r="A51" s="1"/>
      <c r="B51" s="1" t="s">
        <v>2658</v>
      </c>
      <c r="C51" s="1"/>
      <c r="D51" s="1"/>
      <c r="E51" s="1"/>
      <c r="F51" s="1"/>
      <c r="G51" s="13">
        <v>38350.0</v>
      </c>
    </row>
    <row r="52" ht="15.75" customHeight="1">
      <c r="A52" s="1"/>
      <c r="B52" s="1" t="s">
        <v>2659</v>
      </c>
      <c r="C52" s="1"/>
      <c r="D52" s="1"/>
      <c r="E52" s="1"/>
      <c r="F52" s="1"/>
      <c r="G52" s="13">
        <v>5000.0</v>
      </c>
    </row>
    <row r="53" ht="15.75" customHeight="1">
      <c r="A53" s="1"/>
      <c r="B53" s="1" t="s">
        <v>2660</v>
      </c>
      <c r="C53" s="1"/>
      <c r="D53" s="1"/>
      <c r="E53" s="1"/>
      <c r="F53" s="1"/>
      <c r="G53" s="13">
        <v>8500.0</v>
      </c>
    </row>
    <row r="54" ht="15.75" customHeight="1">
      <c r="A54" s="1"/>
      <c r="B54" s="1" t="s">
        <v>2661</v>
      </c>
      <c r="C54" s="1"/>
      <c r="D54" s="1"/>
      <c r="E54" s="1"/>
      <c r="F54" s="1"/>
      <c r="G54" s="13">
        <v>500.0</v>
      </c>
    </row>
    <row r="55" ht="15.75" customHeight="1">
      <c r="A55" s="1"/>
      <c r="B55" s="1" t="s">
        <v>2662</v>
      </c>
      <c r="C55" s="1"/>
      <c r="D55" s="1"/>
      <c r="E55" s="1"/>
      <c r="F55" s="1"/>
      <c r="G55" s="13">
        <v>16900.0</v>
      </c>
    </row>
    <row r="56" ht="15.75" customHeight="1">
      <c r="A56" s="1"/>
      <c r="B56" s="1" t="s">
        <v>2663</v>
      </c>
      <c r="C56" s="1"/>
      <c r="D56" s="1"/>
      <c r="E56" s="1"/>
      <c r="F56" s="1"/>
      <c r="G56" s="13">
        <v>4152.0</v>
      </c>
    </row>
    <row r="57" ht="15.75" customHeight="1">
      <c r="A57" s="1"/>
      <c r="B57" s="1" t="s">
        <v>2664</v>
      </c>
      <c r="C57" s="1"/>
      <c r="D57" s="1"/>
      <c r="E57" s="1"/>
      <c r="F57" s="1"/>
      <c r="G57" s="13">
        <v>38500.0</v>
      </c>
    </row>
    <row r="58" ht="15.75" customHeight="1">
      <c r="A58" s="1"/>
      <c r="B58" s="1" t="s">
        <v>2665</v>
      </c>
      <c r="C58" s="1"/>
      <c r="D58" s="1"/>
      <c r="E58" s="1"/>
      <c r="F58" s="1"/>
      <c r="G58" s="13">
        <v>125000.0</v>
      </c>
      <c r="I58" s="67" t="s">
        <v>480</v>
      </c>
    </row>
    <row r="59" ht="15.75" customHeight="1">
      <c r="A59" s="1"/>
      <c r="B59" s="1" t="s">
        <v>2666</v>
      </c>
      <c r="C59" s="1"/>
      <c r="D59" s="1"/>
      <c r="E59" s="1"/>
      <c r="F59" s="1"/>
      <c r="G59" s="13">
        <v>30000.0</v>
      </c>
    </row>
    <row r="60" ht="15.75" customHeight="1">
      <c r="A60" s="1"/>
      <c r="B60" s="1" t="s">
        <v>2667</v>
      </c>
      <c r="C60" s="1"/>
      <c r="D60" s="1"/>
      <c r="E60" s="1"/>
      <c r="F60" s="1"/>
      <c r="G60" s="13">
        <v>50000.0</v>
      </c>
    </row>
    <row r="61" ht="15.75" customHeight="1">
      <c r="A61" s="1"/>
      <c r="B61" s="1" t="s">
        <v>2668</v>
      </c>
      <c r="C61" s="1"/>
      <c r="D61" s="1"/>
      <c r="E61" s="1"/>
      <c r="F61" s="1"/>
      <c r="G61" s="13">
        <v>61000.0</v>
      </c>
    </row>
    <row r="62" ht="15.75" customHeight="1">
      <c r="A62" s="1"/>
      <c r="B62" s="1" t="s">
        <v>2510</v>
      </c>
      <c r="C62" s="1"/>
      <c r="D62" s="1"/>
      <c r="E62" s="1"/>
      <c r="F62" s="1"/>
      <c r="G62" s="13">
        <v>30000.0</v>
      </c>
    </row>
    <row r="63" ht="15.75" customHeight="1">
      <c r="A63" s="1"/>
      <c r="B63" s="1" t="s">
        <v>2669</v>
      </c>
      <c r="C63" s="1"/>
      <c r="D63" s="1"/>
      <c r="E63" s="1"/>
      <c r="F63" s="1"/>
      <c r="G63" s="13">
        <v>5240.0</v>
      </c>
    </row>
    <row r="64" ht="15.75" customHeight="1">
      <c r="A64" s="1"/>
      <c r="B64" s="1" t="s">
        <v>2670</v>
      </c>
      <c r="C64" s="1"/>
      <c r="D64" s="1"/>
      <c r="E64" s="1"/>
      <c r="F64" s="1"/>
      <c r="G64" s="13">
        <v>9976.0</v>
      </c>
    </row>
    <row r="65" ht="15.75" customHeight="1">
      <c r="A65" s="1"/>
      <c r="B65" s="1" t="s">
        <v>2671</v>
      </c>
      <c r="C65" s="1"/>
      <c r="D65" s="1"/>
      <c r="E65" s="1"/>
      <c r="F65" s="1"/>
      <c r="G65" s="13">
        <v>55760.0</v>
      </c>
    </row>
    <row r="66" ht="15.75" customHeight="1">
      <c r="A66" s="1"/>
      <c r="B66" s="1" t="s">
        <v>2672</v>
      </c>
      <c r="C66" s="1"/>
      <c r="D66" s="1"/>
      <c r="E66" s="1"/>
      <c r="F66" s="1"/>
      <c r="G66" s="13">
        <v>9000.0</v>
      </c>
    </row>
    <row r="67" ht="15.75" customHeight="1">
      <c r="A67" s="1"/>
      <c r="B67" s="1" t="s">
        <v>2673</v>
      </c>
      <c r="C67" s="1"/>
      <c r="D67" s="1"/>
      <c r="E67" s="1"/>
      <c r="F67" s="1"/>
      <c r="G67" s="13">
        <v>16000.0</v>
      </c>
    </row>
    <row r="68" ht="15.75" customHeight="1">
      <c r="A68" s="1"/>
      <c r="B68" s="1" t="s">
        <v>2674</v>
      </c>
      <c r="C68" s="1"/>
      <c r="D68" s="1"/>
      <c r="E68" s="1"/>
      <c r="F68" s="1"/>
      <c r="G68" s="13">
        <v>10000.0</v>
      </c>
    </row>
    <row r="69" ht="15.75" customHeight="1">
      <c r="A69" s="1"/>
      <c r="B69" s="1" t="s">
        <v>2675</v>
      </c>
      <c r="C69" s="1"/>
      <c r="D69" s="1"/>
      <c r="E69" s="1"/>
      <c r="F69" s="1"/>
      <c r="G69" s="13">
        <v>15000.0</v>
      </c>
    </row>
    <row r="70" ht="15.75" customHeight="1">
      <c r="A70" s="1"/>
      <c r="B70" s="1" t="s">
        <v>2676</v>
      </c>
      <c r="C70" s="1"/>
      <c r="D70" s="1"/>
      <c r="E70" s="1"/>
      <c r="F70" s="1"/>
      <c r="G70" s="13">
        <v>30000.0</v>
      </c>
    </row>
    <row r="71" ht="15.75" customHeight="1">
      <c r="A71" s="1"/>
      <c r="B71" s="1" t="s">
        <v>2677</v>
      </c>
      <c r="C71" s="1"/>
      <c r="D71" s="1"/>
      <c r="E71" s="1"/>
      <c r="F71" s="1"/>
      <c r="G71" s="13">
        <v>1000.0</v>
      </c>
    </row>
    <row r="72" ht="15.75" customHeight="1">
      <c r="A72" s="1"/>
      <c r="B72" s="1" t="s">
        <v>2678</v>
      </c>
      <c r="C72" s="1"/>
      <c r="D72" s="1"/>
      <c r="E72" s="1"/>
      <c r="F72" s="1"/>
      <c r="G72" s="13">
        <v>129300.0</v>
      </c>
    </row>
    <row r="73" ht="15.75" customHeight="1">
      <c r="A73" s="1"/>
      <c r="B73" s="1" t="s">
        <v>2679</v>
      </c>
      <c r="C73" s="1"/>
      <c r="D73" s="1"/>
      <c r="E73" s="1"/>
      <c r="F73" s="1"/>
      <c r="G73" s="13">
        <v>65250.0</v>
      </c>
    </row>
    <row r="74" ht="15.75" customHeight="1">
      <c r="A74" s="1"/>
      <c r="B74" s="1" t="s">
        <v>1820</v>
      </c>
      <c r="C74" s="1"/>
      <c r="D74" s="1"/>
      <c r="E74" s="1"/>
      <c r="F74" s="1"/>
      <c r="G74" s="13">
        <v>10000.0</v>
      </c>
    </row>
    <row r="75" ht="15.75" customHeight="1">
      <c r="A75" s="1"/>
      <c r="B75" s="43" t="s">
        <v>43</v>
      </c>
      <c r="C75" s="1"/>
      <c r="D75" s="1"/>
      <c r="E75" s="1"/>
      <c r="F75" s="1"/>
      <c r="G75" s="18">
        <f>SUM(G27:G74)</f>
        <v>1214258</v>
      </c>
    </row>
    <row r="76" ht="15.75" customHeight="1">
      <c r="A76" s="1"/>
      <c r="B76" s="19" t="s">
        <v>45</v>
      </c>
      <c r="C76" s="20"/>
      <c r="D76" s="20"/>
      <c r="E76" s="20"/>
      <c r="F76" s="20"/>
      <c r="G76" s="70">
        <f>SUM(G25+G75)</f>
        <v>2519258</v>
      </c>
    </row>
    <row r="77" ht="15.75" customHeight="1">
      <c r="A77" s="35" t="s">
        <v>2680</v>
      </c>
      <c r="B77" s="36"/>
      <c r="C77" s="37"/>
      <c r="D77" s="37"/>
      <c r="E77" s="37"/>
      <c r="F77" s="37"/>
      <c r="G77" s="71">
        <f>(G13-G76)</f>
        <v>884242</v>
      </c>
    </row>
    <row r="78" ht="15.75" customHeight="1">
      <c r="A78" s="35"/>
      <c r="B78" s="36"/>
      <c r="C78" s="37"/>
      <c r="D78" s="37"/>
      <c r="E78" s="37"/>
      <c r="F78" s="37"/>
      <c r="G78" s="71"/>
    </row>
    <row r="79" ht="15.75" customHeight="1">
      <c r="A79" s="22" t="s">
        <v>254</v>
      </c>
      <c r="B79" s="43" t="s">
        <v>255</v>
      </c>
      <c r="C79" s="1"/>
      <c r="D79" s="1"/>
      <c r="E79" s="1"/>
      <c r="F79" s="1"/>
      <c r="G79" s="2"/>
    </row>
    <row r="80" ht="15.75" customHeight="1">
      <c r="A80" s="44"/>
      <c r="B80" s="72" t="s">
        <v>51</v>
      </c>
      <c r="C80" s="27"/>
      <c r="D80" s="27"/>
      <c r="E80" s="27"/>
      <c r="F80" s="27"/>
      <c r="G80" s="73"/>
    </row>
    <row r="81" ht="15.75" customHeight="1">
      <c r="A81" s="44"/>
      <c r="B81" s="72"/>
      <c r="C81" s="27"/>
      <c r="D81" s="27"/>
      <c r="E81" s="27"/>
      <c r="F81" s="27"/>
      <c r="G81" s="73"/>
    </row>
    <row r="82" ht="15.75" customHeight="1">
      <c r="A82" s="44"/>
      <c r="B82" s="45" t="s">
        <v>2681</v>
      </c>
      <c r="C82" s="45"/>
      <c r="D82" s="45"/>
      <c r="E82" s="46"/>
      <c r="F82" s="46"/>
      <c r="G82" s="47">
        <f>G2+G77-G80</f>
        <v>3016915</v>
      </c>
      <c r="J82" s="67" t="s">
        <v>480</v>
      </c>
    </row>
    <row r="83" ht="15.75" customHeight="1">
      <c r="A83" s="1"/>
      <c r="B83" s="32" t="s">
        <v>2682</v>
      </c>
    </row>
    <row r="84" ht="15.75" customHeight="1">
      <c r="A84" s="1"/>
      <c r="B84" s="1"/>
      <c r="C84" s="1" t="s">
        <v>1115</v>
      </c>
      <c r="D84" s="1"/>
      <c r="E84" s="1"/>
      <c r="F84" s="1"/>
      <c r="G84" s="2">
        <v>14300.0</v>
      </c>
    </row>
    <row r="85" ht="15.75" customHeight="1">
      <c r="A85" s="1"/>
      <c r="B85" s="1"/>
      <c r="C85" s="1" t="s">
        <v>2626</v>
      </c>
      <c r="D85" s="1"/>
      <c r="E85" s="1"/>
      <c r="F85" s="1"/>
      <c r="G85" s="2">
        <v>327900.0</v>
      </c>
      <c r="I85" s="67" t="s">
        <v>480</v>
      </c>
    </row>
    <row r="86" ht="15.75" customHeight="1">
      <c r="A86" s="1"/>
      <c r="B86" s="1"/>
      <c r="C86" s="43" t="s">
        <v>115</v>
      </c>
      <c r="D86" s="1"/>
      <c r="E86" s="1"/>
      <c r="F86" s="1"/>
      <c r="G86" s="2">
        <v>342200.0</v>
      </c>
    </row>
    <row r="87" ht="15.75" customHeight="1">
      <c r="A87" s="1"/>
      <c r="B87" s="43" t="s">
        <v>2453</v>
      </c>
      <c r="C87" s="43"/>
      <c r="D87" s="1"/>
      <c r="E87" s="1"/>
      <c r="F87" s="1"/>
      <c r="G87" s="2"/>
    </row>
    <row r="88" ht="15.75" customHeight="1">
      <c r="A88" s="1"/>
      <c r="B88" s="43" t="s">
        <v>2627</v>
      </c>
      <c r="C88" s="43"/>
      <c r="D88" s="1"/>
      <c r="E88" s="1"/>
      <c r="F88" s="1"/>
      <c r="G88" s="1"/>
    </row>
    <row r="89" ht="15.75" customHeight="1">
      <c r="A89" s="1"/>
      <c r="B89" s="43" t="s">
        <v>2683</v>
      </c>
      <c r="C89" s="43"/>
      <c r="D89" s="1"/>
      <c r="E89" s="1"/>
      <c r="F89" s="1"/>
      <c r="G89" s="1"/>
    </row>
    <row r="90" ht="15.75" customHeight="1">
      <c r="A90" s="1"/>
      <c r="B90" s="43" t="s">
        <v>2684</v>
      </c>
      <c r="C90" s="43"/>
      <c r="D90" s="1"/>
      <c r="E90" s="1"/>
      <c r="F90" s="1"/>
      <c r="G90" s="1"/>
    </row>
    <row r="91" ht="15.75" customHeight="1">
      <c r="A91" s="1"/>
      <c r="B91" s="33" t="s">
        <v>2685</v>
      </c>
      <c r="C91" s="1"/>
      <c r="D91" s="1"/>
      <c r="E91" s="1"/>
      <c r="F91" s="1"/>
      <c r="G91" s="2"/>
    </row>
    <row r="92" ht="15.75" customHeight="1">
      <c r="A92" s="1"/>
      <c r="B92" s="55" t="s">
        <v>531</v>
      </c>
      <c r="C92" s="56"/>
      <c r="D92" s="56"/>
      <c r="E92" s="56"/>
      <c r="F92" s="1" t="s">
        <v>2686</v>
      </c>
      <c r="G92" s="55"/>
    </row>
    <row r="93" ht="15.75" customHeight="1">
      <c r="A93" s="1"/>
      <c r="B93" s="55" t="s">
        <v>2687</v>
      </c>
      <c r="C93" s="56"/>
      <c r="D93" s="56"/>
      <c r="E93" s="56"/>
      <c r="F93" s="1" t="s">
        <v>2688</v>
      </c>
      <c r="G93" s="55"/>
    </row>
    <row r="94" ht="15.75" customHeight="1">
      <c r="A94" s="1"/>
      <c r="B94" s="55" t="s">
        <v>533</v>
      </c>
      <c r="F94" s="1" t="s">
        <v>2689</v>
      </c>
      <c r="G94" s="55"/>
    </row>
    <row r="95" ht="15.75" customHeight="1">
      <c r="A95" s="1"/>
      <c r="B95" s="55"/>
      <c r="C95" s="55"/>
      <c r="D95" s="55"/>
      <c r="E95" s="55"/>
      <c r="F95" s="1"/>
      <c r="G95" s="2"/>
    </row>
    <row r="96" ht="15.75" customHeight="1">
      <c r="A96" s="1"/>
      <c r="B96" s="55"/>
      <c r="C96" s="56"/>
      <c r="D96" s="57"/>
      <c r="E96" s="56"/>
      <c r="F96" s="1"/>
      <c r="G96" s="2"/>
    </row>
    <row r="97" ht="15.75" customHeight="1">
      <c r="A97" s="1"/>
      <c r="B97" s="55"/>
      <c r="C97" s="56"/>
      <c r="D97" s="57"/>
      <c r="E97" s="56"/>
      <c r="F97" s="1"/>
      <c r="G97" s="2"/>
    </row>
    <row r="98" ht="15.75" customHeight="1">
      <c r="A98" s="1"/>
      <c r="B98" s="55"/>
      <c r="C98" s="56"/>
      <c r="D98" s="57"/>
      <c r="E98" s="56"/>
      <c r="F98" s="1"/>
      <c r="G98" s="2"/>
    </row>
    <row r="99" ht="15.75" customHeight="1">
      <c r="A99" s="1"/>
      <c r="B99" s="55"/>
      <c r="C99" s="56"/>
      <c r="D99" s="57"/>
      <c r="E99" s="56"/>
      <c r="F99" s="1"/>
      <c r="G99" s="2"/>
    </row>
    <row r="100" ht="15.75" customHeight="1">
      <c r="B100" s="55"/>
      <c r="C100" s="56"/>
      <c r="D100" s="57"/>
      <c r="E100" s="5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2:D12"/>
    <mergeCell ref="B13:F13"/>
    <mergeCell ref="B83:G83"/>
    <mergeCell ref="B94:E94"/>
  </mergeCells>
  <printOptions/>
  <pageMargins bottom="0.75" footer="0.0" header="0.0" left="0.7" right="0.7" top="0.7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6" width="10.71"/>
    <col customWidth="1" min="7" max="7" width="14.71"/>
    <col customWidth="1" min="8" max="26" width="10.71"/>
  </cols>
  <sheetData>
    <row r="1">
      <c r="A1" s="1" t="s">
        <v>721</v>
      </c>
      <c r="B1" s="3" t="s">
        <v>2690</v>
      </c>
      <c r="C1" s="1"/>
      <c r="D1" s="1"/>
      <c r="E1" s="1"/>
      <c r="F1" s="1"/>
      <c r="G1" s="2"/>
    </row>
    <row r="2">
      <c r="A2" s="1"/>
      <c r="B2" s="75" t="s">
        <v>2691</v>
      </c>
      <c r="G2" s="47">
        <v>3016915.0</v>
      </c>
    </row>
    <row r="3">
      <c r="A3" s="1"/>
      <c r="G3" s="2"/>
    </row>
    <row r="4">
      <c r="A4" s="6" t="s">
        <v>2692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297500.0</v>
      </c>
      <c r="G5" s="7">
        <v>33000.0</v>
      </c>
    </row>
    <row r="6">
      <c r="A6" s="1"/>
      <c r="B6" s="4" t="s">
        <v>64</v>
      </c>
      <c r="C6" s="1"/>
      <c r="D6" s="1"/>
      <c r="E6" s="1"/>
      <c r="F6" s="2">
        <v>507800.0</v>
      </c>
      <c r="G6" s="7">
        <v>94000.0</v>
      </c>
    </row>
    <row r="7">
      <c r="A7" s="1"/>
      <c r="B7" s="4" t="s">
        <v>65</v>
      </c>
      <c r="C7" s="1"/>
      <c r="D7" s="1"/>
      <c r="E7" s="1"/>
      <c r="F7" s="2">
        <v>347500.0</v>
      </c>
      <c r="G7" s="7">
        <v>102000.0</v>
      </c>
    </row>
    <row r="8">
      <c r="A8" s="1"/>
      <c r="B8" s="4" t="s">
        <v>66</v>
      </c>
      <c r="C8" s="1"/>
      <c r="D8" s="1"/>
      <c r="E8" s="1"/>
      <c r="F8" s="2">
        <v>604800.0</v>
      </c>
      <c r="G8" s="76">
        <v>113000.0</v>
      </c>
    </row>
    <row r="9">
      <c r="A9" s="1"/>
      <c r="B9" s="4" t="s">
        <v>67</v>
      </c>
      <c r="C9" s="1"/>
      <c r="D9" s="49" t="s">
        <v>8</v>
      </c>
      <c r="E9" s="49"/>
      <c r="F9" s="7">
        <v>790000.0</v>
      </c>
      <c r="G9" s="7">
        <v>99000.0</v>
      </c>
    </row>
    <row r="10">
      <c r="A10" s="1"/>
      <c r="B10" s="4" t="s">
        <v>2693</v>
      </c>
      <c r="C10" s="1"/>
      <c r="D10" s="49"/>
      <c r="E10" s="49"/>
      <c r="F10" s="7">
        <v>322000.0</v>
      </c>
      <c r="G10" s="7" t="s">
        <v>480</v>
      </c>
    </row>
    <row r="11">
      <c r="A11" s="1"/>
      <c r="B11" s="4" t="s">
        <v>2694</v>
      </c>
      <c r="C11" s="1"/>
      <c r="D11" s="49"/>
      <c r="E11" s="49"/>
      <c r="F11" s="7">
        <v>435000.0</v>
      </c>
      <c r="G11" s="7"/>
    </row>
    <row r="12">
      <c r="A12" s="1"/>
      <c r="B12" s="4"/>
      <c r="C12" s="50" t="s">
        <v>405</v>
      </c>
      <c r="E12" s="4"/>
      <c r="F12" s="2">
        <f>SUM(F5:F11)</f>
        <v>3304600</v>
      </c>
      <c r="G12" s="7">
        <f>SUM(G5:G9)</f>
        <v>441000</v>
      </c>
    </row>
    <row r="13">
      <c r="A13" s="1"/>
      <c r="B13" s="51" t="s">
        <v>9</v>
      </c>
      <c r="C13" s="52"/>
      <c r="D13" s="52"/>
      <c r="E13" s="52"/>
      <c r="F13" s="53"/>
      <c r="G13" s="68">
        <f>SUM(F12:G12)</f>
        <v>3745600</v>
      </c>
    </row>
    <row r="14">
      <c r="A14" s="6" t="s">
        <v>2695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2465</v>
      </c>
      <c r="C16" s="1"/>
      <c r="D16" s="1"/>
      <c r="E16" s="1"/>
      <c r="F16" s="1"/>
      <c r="G16" s="77">
        <v>280000.0</v>
      </c>
    </row>
    <row r="17">
      <c r="A17" s="1"/>
      <c r="B17" s="4" t="s">
        <v>13</v>
      </c>
      <c r="C17" s="1"/>
      <c r="D17" s="1"/>
      <c r="E17" s="1"/>
      <c r="F17" s="1"/>
      <c r="G17" s="13">
        <v>150000.0</v>
      </c>
    </row>
    <row r="18">
      <c r="A18" s="1"/>
      <c r="B18" s="4" t="s">
        <v>14</v>
      </c>
      <c r="C18" s="1"/>
      <c r="D18" s="1"/>
      <c r="E18" s="1"/>
      <c r="F18" s="1"/>
      <c r="G18" s="13">
        <v>150000.0</v>
      </c>
    </row>
    <row r="19">
      <c r="A19" s="1"/>
      <c r="B19" s="4" t="s">
        <v>15</v>
      </c>
      <c r="C19" s="1"/>
      <c r="D19" s="1"/>
      <c r="E19" s="1"/>
      <c r="F19" s="1"/>
      <c r="G19" s="77">
        <v>125000.0</v>
      </c>
    </row>
    <row r="20">
      <c r="A20" s="1"/>
      <c r="B20" s="4" t="s">
        <v>16</v>
      </c>
      <c r="C20" s="1"/>
      <c r="D20" s="1"/>
      <c r="E20" s="1"/>
      <c r="F20" s="1"/>
      <c r="G20" s="77">
        <v>100000.0</v>
      </c>
    </row>
    <row r="21" ht="15.75" customHeight="1">
      <c r="A21" s="1"/>
      <c r="B21" s="4" t="s">
        <v>2149</v>
      </c>
      <c r="C21" s="1"/>
      <c r="D21" s="1"/>
      <c r="E21" s="1"/>
      <c r="F21" s="1"/>
      <c r="G21" s="77">
        <v>100000.0</v>
      </c>
    </row>
    <row r="22" ht="15.75" customHeight="1">
      <c r="A22" s="1"/>
      <c r="B22" s="4" t="s">
        <v>2637</v>
      </c>
      <c r="C22" s="1"/>
      <c r="D22" s="1"/>
      <c r="E22" s="1"/>
      <c r="F22" s="1"/>
      <c r="G22" s="77">
        <v>100000.0</v>
      </c>
    </row>
    <row r="23" ht="15.75" customHeight="1">
      <c r="A23" s="1"/>
      <c r="B23" s="9" t="s">
        <v>18</v>
      </c>
      <c r="C23" s="10"/>
      <c r="D23" s="10"/>
      <c r="E23" s="10"/>
      <c r="F23" s="10"/>
      <c r="G23" s="69">
        <f>SUM(G16:G22)</f>
        <v>1005000</v>
      </c>
    </row>
    <row r="24" ht="15.75" customHeight="1">
      <c r="A24" s="1"/>
      <c r="B24" s="12" t="s">
        <v>19</v>
      </c>
      <c r="C24" s="15"/>
      <c r="D24" s="1"/>
      <c r="E24" s="1"/>
      <c r="F24" s="1"/>
      <c r="G24" s="2"/>
    </row>
    <row r="25" ht="15.75" customHeight="1">
      <c r="A25" s="1"/>
      <c r="B25" s="4" t="s">
        <v>2696</v>
      </c>
      <c r="C25" s="15"/>
      <c r="D25" s="1"/>
      <c r="E25" s="1"/>
      <c r="F25" s="1"/>
      <c r="G25" s="2">
        <v>60000.0</v>
      </c>
    </row>
    <row r="26" ht="15.75" customHeight="1">
      <c r="A26" s="1"/>
      <c r="B26" s="4" t="s">
        <v>2697</v>
      </c>
      <c r="C26" s="15"/>
      <c r="D26" s="1"/>
      <c r="E26" s="1"/>
      <c r="F26" s="1"/>
      <c r="G26" s="2">
        <v>2000.0</v>
      </c>
    </row>
    <row r="27" ht="15.75" customHeight="1">
      <c r="A27" s="1"/>
      <c r="B27" s="4" t="s">
        <v>2698</v>
      </c>
      <c r="C27" s="15"/>
      <c r="D27" s="1"/>
      <c r="E27" s="1"/>
      <c r="F27" s="1"/>
      <c r="G27" s="2">
        <v>10000.0</v>
      </c>
    </row>
    <row r="28" ht="15.75" customHeight="1">
      <c r="A28" s="1"/>
      <c r="B28" s="4" t="s">
        <v>2699</v>
      </c>
      <c r="C28" s="15"/>
      <c r="D28" s="1"/>
      <c r="E28" s="1"/>
      <c r="F28" s="1"/>
      <c r="G28" s="2">
        <v>15000.0</v>
      </c>
    </row>
    <row r="29" ht="15.75" customHeight="1">
      <c r="A29" s="1"/>
      <c r="B29" s="4" t="s">
        <v>2700</v>
      </c>
      <c r="C29" s="15"/>
      <c r="D29" s="1"/>
      <c r="E29" s="1"/>
      <c r="F29" s="1"/>
      <c r="G29" s="2">
        <v>125000.0</v>
      </c>
    </row>
    <row r="30" ht="15.75" customHeight="1">
      <c r="A30" s="1"/>
      <c r="B30" s="4" t="s">
        <v>2157</v>
      </c>
      <c r="C30" s="15"/>
      <c r="D30" s="1"/>
      <c r="E30" s="1"/>
      <c r="F30" s="1"/>
      <c r="G30" s="2">
        <v>20000.0</v>
      </c>
    </row>
    <row r="31" ht="15.75" customHeight="1">
      <c r="A31" s="1"/>
      <c r="B31" s="4" t="s">
        <v>2701</v>
      </c>
      <c r="C31" s="15"/>
      <c r="D31" s="1"/>
      <c r="E31" s="1"/>
      <c r="F31" s="1"/>
      <c r="G31" s="2">
        <v>15000.0</v>
      </c>
    </row>
    <row r="32" ht="15.75" customHeight="1">
      <c r="A32" s="1"/>
      <c r="B32" s="4" t="s">
        <v>2702</v>
      </c>
      <c r="C32" s="15"/>
      <c r="D32" s="1"/>
      <c r="E32" s="1"/>
      <c r="F32" s="1"/>
      <c r="G32" s="2">
        <v>4500.0</v>
      </c>
    </row>
    <row r="33" ht="15.75" customHeight="1">
      <c r="A33" s="1"/>
      <c r="B33" s="4" t="s">
        <v>2703</v>
      </c>
      <c r="C33" s="15"/>
      <c r="D33" s="1"/>
      <c r="E33" s="1"/>
      <c r="F33" s="1"/>
      <c r="G33" s="2">
        <v>2000.0</v>
      </c>
    </row>
    <row r="34" ht="15.75" customHeight="1">
      <c r="A34" s="1"/>
      <c r="B34" s="4" t="s">
        <v>2704</v>
      </c>
      <c r="C34" s="15"/>
      <c r="D34" s="1"/>
      <c r="E34" s="1"/>
      <c r="F34" s="1"/>
      <c r="G34" s="2">
        <v>2058.0</v>
      </c>
    </row>
    <row r="35" ht="15.75" customHeight="1">
      <c r="A35" s="1"/>
      <c r="B35" s="4" t="s">
        <v>2705</v>
      </c>
      <c r="C35" s="15"/>
      <c r="D35" s="1"/>
      <c r="E35" s="1"/>
      <c r="F35" s="1"/>
      <c r="G35" s="2">
        <v>50000.0</v>
      </c>
    </row>
    <row r="36" ht="15.75" customHeight="1">
      <c r="A36" s="1"/>
      <c r="B36" s="4" t="s">
        <v>2706</v>
      </c>
      <c r="C36" s="15"/>
      <c r="D36" s="1"/>
      <c r="E36" s="1"/>
      <c r="F36" s="1"/>
      <c r="G36" s="2">
        <v>50000.0</v>
      </c>
    </row>
    <row r="37" ht="15.75" customHeight="1">
      <c r="A37" s="1"/>
      <c r="B37" s="4" t="s">
        <v>520</v>
      </c>
      <c r="C37" s="15"/>
      <c r="D37" s="78"/>
      <c r="E37" s="1"/>
      <c r="F37" s="1"/>
      <c r="G37" s="79">
        <v>10000.0</v>
      </c>
    </row>
    <row r="38" ht="15.75" customHeight="1">
      <c r="A38" s="1"/>
      <c r="B38" s="4" t="s">
        <v>203</v>
      </c>
      <c r="C38" s="15"/>
      <c r="D38" s="1"/>
      <c r="E38" s="1"/>
      <c r="F38" s="1"/>
      <c r="G38" s="2">
        <v>6500.0</v>
      </c>
    </row>
    <row r="39" ht="15.75" customHeight="1">
      <c r="A39" s="1"/>
      <c r="B39" s="4" t="s">
        <v>2707</v>
      </c>
      <c r="C39" s="15"/>
      <c r="D39" s="1"/>
      <c r="E39" s="1"/>
      <c r="F39" s="1"/>
      <c r="G39" s="2">
        <v>15000.0</v>
      </c>
    </row>
    <row r="40" ht="15.75" customHeight="1">
      <c r="A40" s="1"/>
      <c r="B40" s="4" t="s">
        <v>2672</v>
      </c>
      <c r="C40" s="15"/>
      <c r="D40" s="1"/>
      <c r="E40" s="1"/>
      <c r="F40" s="1"/>
      <c r="G40" s="2">
        <v>9000.0</v>
      </c>
    </row>
    <row r="41" ht="15.75" customHeight="1">
      <c r="A41" s="1"/>
      <c r="B41" s="4" t="s">
        <v>2708</v>
      </c>
      <c r="C41" s="15"/>
      <c r="D41" s="1"/>
      <c r="E41" s="1"/>
      <c r="F41" s="1"/>
      <c r="G41" s="2">
        <v>50000.0</v>
      </c>
    </row>
    <row r="42" ht="15.75" customHeight="1">
      <c r="A42" s="1"/>
      <c r="B42" s="1" t="s">
        <v>2157</v>
      </c>
      <c r="C42" s="1"/>
      <c r="D42" s="1"/>
      <c r="E42" s="1"/>
      <c r="F42" s="1"/>
      <c r="G42" s="13">
        <v>20000.0</v>
      </c>
    </row>
    <row r="43" ht="15.75" customHeight="1">
      <c r="A43" s="1"/>
      <c r="B43" s="1" t="s">
        <v>2709</v>
      </c>
      <c r="C43" s="1"/>
      <c r="D43" s="1"/>
      <c r="E43" s="1"/>
      <c r="F43" s="1"/>
      <c r="G43" s="13">
        <v>5085.0</v>
      </c>
    </row>
    <row r="44" ht="15.75" customHeight="1">
      <c r="A44" s="1"/>
      <c r="B44" s="1" t="s">
        <v>2710</v>
      </c>
      <c r="C44" s="1"/>
      <c r="D44" s="1"/>
      <c r="E44" s="1"/>
      <c r="F44" s="1"/>
      <c r="G44" s="13">
        <v>16457.0</v>
      </c>
    </row>
    <row r="45" ht="15.75" customHeight="1">
      <c r="A45" s="1"/>
      <c r="B45" s="1" t="s">
        <v>2498</v>
      </c>
      <c r="C45" s="1"/>
      <c r="D45" s="1"/>
      <c r="E45" s="1"/>
      <c r="F45" s="1"/>
      <c r="G45" s="13">
        <v>5000.0</v>
      </c>
    </row>
    <row r="46" ht="15.75" customHeight="1">
      <c r="A46" s="1"/>
      <c r="B46" s="1" t="s">
        <v>2711</v>
      </c>
      <c r="C46" s="1"/>
      <c r="D46" s="1"/>
      <c r="E46" s="1"/>
      <c r="F46" s="1"/>
      <c r="G46" s="13">
        <v>258300.0</v>
      </c>
    </row>
    <row r="47" ht="15.75" customHeight="1">
      <c r="A47" s="1"/>
      <c r="B47" s="1" t="s">
        <v>2712</v>
      </c>
      <c r="C47" s="1"/>
      <c r="D47" s="1"/>
      <c r="E47" s="1"/>
      <c r="F47" s="1"/>
      <c r="G47" s="13">
        <v>160000.0</v>
      </c>
    </row>
    <row r="48" ht="15.75" customHeight="1">
      <c r="A48" s="1"/>
      <c r="B48" s="1" t="s">
        <v>2713</v>
      </c>
      <c r="C48" s="1"/>
      <c r="D48" s="1"/>
      <c r="E48" s="1"/>
      <c r="F48" s="1"/>
      <c r="G48" s="13">
        <v>125000.0</v>
      </c>
    </row>
    <row r="49" ht="15.75" customHeight="1">
      <c r="A49" s="1"/>
      <c r="B49" s="1" t="s">
        <v>2714</v>
      </c>
      <c r="C49" s="1"/>
      <c r="D49" s="1"/>
      <c r="E49" s="1"/>
      <c r="F49" s="1"/>
      <c r="G49" s="13">
        <v>50000.0</v>
      </c>
    </row>
    <row r="50" ht="15.75" customHeight="1">
      <c r="A50" s="1"/>
      <c r="B50" s="1" t="s">
        <v>1820</v>
      </c>
      <c r="C50" s="1"/>
      <c r="D50" s="1"/>
      <c r="E50" s="1"/>
      <c r="F50" s="1"/>
      <c r="G50" s="13">
        <v>10000.0</v>
      </c>
    </row>
    <row r="51" ht="15.75" customHeight="1">
      <c r="A51" s="1"/>
      <c r="B51" s="1" t="s">
        <v>2151</v>
      </c>
      <c r="C51" s="1"/>
      <c r="D51" s="1"/>
      <c r="E51" s="1"/>
      <c r="F51" s="1"/>
      <c r="G51" s="13">
        <v>30000.0</v>
      </c>
    </row>
    <row r="52" ht="15.75" customHeight="1">
      <c r="A52" s="1"/>
      <c r="B52" s="1" t="s">
        <v>2715</v>
      </c>
      <c r="C52" s="1"/>
      <c r="D52" s="1"/>
      <c r="E52" s="1"/>
      <c r="F52" s="1"/>
      <c r="G52" s="13">
        <v>65250.0</v>
      </c>
    </row>
    <row r="53" ht="15.75" customHeight="1">
      <c r="A53" s="1"/>
      <c r="B53" s="1" t="s">
        <v>2716</v>
      </c>
      <c r="C53" s="1"/>
      <c r="D53" s="1"/>
      <c r="E53" s="1"/>
      <c r="F53" s="1"/>
      <c r="G53" s="13">
        <v>2000.0</v>
      </c>
    </row>
    <row r="54" ht="15.75" customHeight="1">
      <c r="A54" s="1"/>
      <c r="B54" s="1" t="s">
        <v>2717</v>
      </c>
      <c r="C54" s="1"/>
      <c r="D54" s="1"/>
      <c r="E54" s="1"/>
      <c r="F54" s="1"/>
      <c r="G54" s="13">
        <v>1500.0</v>
      </c>
    </row>
    <row r="55" ht="15.75" customHeight="1">
      <c r="A55" s="1"/>
      <c r="B55" s="1" t="s">
        <v>2718</v>
      </c>
      <c r="C55" s="1"/>
      <c r="D55" s="1"/>
      <c r="E55" s="1"/>
      <c r="F55" s="1"/>
      <c r="G55" s="13">
        <v>1500.0</v>
      </c>
    </row>
    <row r="56" ht="15.75" customHeight="1">
      <c r="A56" s="1"/>
      <c r="B56" s="1" t="s">
        <v>42</v>
      </c>
      <c r="C56" s="1"/>
      <c r="D56" s="1"/>
      <c r="E56" s="1"/>
      <c r="F56" s="1"/>
      <c r="G56" s="13">
        <v>1200.0</v>
      </c>
    </row>
    <row r="57" ht="15.75" customHeight="1">
      <c r="A57" s="1"/>
      <c r="B57" s="1" t="s">
        <v>2719</v>
      </c>
      <c r="C57" s="1"/>
      <c r="D57" s="1"/>
      <c r="E57" s="1"/>
      <c r="F57" s="1"/>
      <c r="G57" s="13">
        <v>1750.0</v>
      </c>
    </row>
    <row r="58" ht="15.75" customHeight="1">
      <c r="A58" s="1"/>
      <c r="B58" s="1" t="s">
        <v>2720</v>
      </c>
      <c r="C58" s="1"/>
      <c r="D58" s="1"/>
      <c r="E58" s="1"/>
      <c r="F58" s="1"/>
      <c r="G58" s="13">
        <v>1690.0</v>
      </c>
      <c r="K58" s="67" t="s">
        <v>480</v>
      </c>
    </row>
    <row r="59" ht="15.75" customHeight="1">
      <c r="A59" s="1"/>
      <c r="B59" s="1" t="s">
        <v>2721</v>
      </c>
      <c r="C59" s="1"/>
      <c r="D59" s="1"/>
      <c r="E59" s="1"/>
      <c r="F59" s="1"/>
      <c r="G59" s="13">
        <v>6390.0</v>
      </c>
    </row>
    <row r="60" ht="15.75" customHeight="1">
      <c r="A60" s="1"/>
      <c r="B60" s="1" t="s">
        <v>2722</v>
      </c>
      <c r="C60" s="1"/>
      <c r="D60" s="1"/>
      <c r="E60" s="1"/>
      <c r="F60" s="1"/>
      <c r="G60" s="13">
        <v>6000.0</v>
      </c>
    </row>
    <row r="61" ht="15.75" customHeight="1">
      <c r="A61" s="1"/>
      <c r="B61" s="1" t="s">
        <v>2723</v>
      </c>
      <c r="C61" s="1"/>
      <c r="D61" s="1"/>
      <c r="E61" s="1"/>
      <c r="F61" s="1"/>
      <c r="G61" s="13">
        <v>1000.0</v>
      </c>
    </row>
    <row r="62" ht="15.75" customHeight="1">
      <c r="A62" s="1"/>
      <c r="B62" s="1" t="s">
        <v>2724</v>
      </c>
      <c r="C62" s="1"/>
      <c r="D62" s="1"/>
      <c r="E62" s="1"/>
      <c r="F62" s="1"/>
      <c r="G62" s="13">
        <v>3000.0</v>
      </c>
    </row>
    <row r="63" ht="15.75" customHeight="1">
      <c r="A63" s="1"/>
      <c r="B63" s="1" t="s">
        <v>2725</v>
      </c>
      <c r="C63" s="1"/>
      <c r="D63" s="1"/>
      <c r="E63" s="1"/>
      <c r="F63" s="1"/>
      <c r="G63" s="13">
        <v>4000.0</v>
      </c>
    </row>
    <row r="64" ht="15.75" customHeight="1">
      <c r="A64" s="1"/>
      <c r="B64" s="1" t="s">
        <v>2726</v>
      </c>
      <c r="C64" s="1"/>
      <c r="D64" s="1"/>
      <c r="E64" s="1"/>
      <c r="F64" s="1"/>
      <c r="G64" s="13">
        <v>2000.0</v>
      </c>
    </row>
    <row r="65" ht="15.75" customHeight="1">
      <c r="A65" s="1"/>
      <c r="B65" s="1" t="s">
        <v>2727</v>
      </c>
      <c r="C65" s="1"/>
      <c r="D65" s="1"/>
      <c r="E65" s="1"/>
      <c r="F65" s="1"/>
      <c r="G65" s="13">
        <v>1000.0</v>
      </c>
    </row>
    <row r="66" ht="15.75" customHeight="1">
      <c r="A66" s="1"/>
      <c r="B66" s="1" t="s">
        <v>2728</v>
      </c>
      <c r="C66" s="1"/>
      <c r="D66" s="1"/>
      <c r="E66" s="1"/>
      <c r="F66" s="1"/>
      <c r="G66" s="13">
        <v>600.0</v>
      </c>
      <c r="J66" s="67" t="s">
        <v>480</v>
      </c>
    </row>
    <row r="67" ht="15.75" customHeight="1">
      <c r="A67" s="1"/>
      <c r="B67" s="1"/>
      <c r="C67" s="1"/>
      <c r="D67" s="1"/>
      <c r="E67" s="1"/>
      <c r="F67" s="1"/>
      <c r="G67" s="13"/>
    </row>
    <row r="68" ht="15.75" customHeight="1">
      <c r="A68" s="1"/>
      <c r="B68" s="1"/>
      <c r="C68" s="1"/>
      <c r="D68" s="1"/>
      <c r="E68" s="1"/>
      <c r="F68" s="1"/>
      <c r="G68" s="13"/>
    </row>
    <row r="69" ht="15.75" customHeight="1">
      <c r="A69" s="1"/>
      <c r="B69" s="43" t="s">
        <v>43</v>
      </c>
      <c r="C69" s="1"/>
      <c r="D69" s="1"/>
      <c r="E69" s="1"/>
      <c r="F69" s="1"/>
      <c r="G69" s="18">
        <f>SUM(G25:G68)</f>
        <v>1224780</v>
      </c>
    </row>
    <row r="70" ht="15.75" customHeight="1">
      <c r="A70" s="1"/>
      <c r="B70" s="19" t="s">
        <v>45</v>
      </c>
      <c r="C70" s="20"/>
      <c r="D70" s="20"/>
      <c r="E70" s="20"/>
      <c r="F70" s="20"/>
      <c r="G70" s="70">
        <f>SUM(G23+G69)</f>
        <v>2229780</v>
      </c>
    </row>
    <row r="71" ht="15.75" customHeight="1">
      <c r="A71" s="35" t="s">
        <v>2729</v>
      </c>
      <c r="B71" s="36"/>
      <c r="C71" s="37"/>
      <c r="D71" s="37"/>
      <c r="E71" s="37"/>
      <c r="F71" s="37"/>
      <c r="G71" s="71">
        <f>(G13-G70)</f>
        <v>1515820</v>
      </c>
    </row>
    <row r="72" ht="15.75" customHeight="1">
      <c r="A72" s="35"/>
      <c r="B72" s="36"/>
      <c r="C72" s="37"/>
      <c r="D72" s="37"/>
      <c r="E72" s="37"/>
      <c r="F72" s="37"/>
      <c r="G72" s="71"/>
    </row>
    <row r="73" ht="15.75" customHeight="1">
      <c r="A73" s="22" t="s">
        <v>254</v>
      </c>
      <c r="B73" s="43" t="s">
        <v>255</v>
      </c>
      <c r="C73" s="1"/>
      <c r="D73" s="1"/>
      <c r="E73" s="1"/>
      <c r="F73" s="1"/>
      <c r="G73" s="2"/>
    </row>
    <row r="74" ht="15.75" customHeight="1">
      <c r="A74" s="44"/>
      <c r="B74" s="72" t="s">
        <v>51</v>
      </c>
      <c r="C74" s="27"/>
      <c r="D74" s="27"/>
      <c r="E74" s="27"/>
      <c r="F74" s="27"/>
      <c r="G74" s="73"/>
    </row>
    <row r="75" ht="15.75" customHeight="1">
      <c r="A75" s="44"/>
      <c r="B75" s="72"/>
      <c r="C75" s="27"/>
      <c r="D75" s="27"/>
      <c r="E75" s="27"/>
      <c r="F75" s="27"/>
      <c r="G75" s="73"/>
    </row>
    <row r="76" ht="15.75" customHeight="1">
      <c r="A76" s="44"/>
      <c r="B76" s="45" t="s">
        <v>2730</v>
      </c>
      <c r="C76" s="45"/>
      <c r="D76" s="45"/>
      <c r="E76" s="46"/>
      <c r="F76" s="46"/>
      <c r="G76" s="47">
        <f>G2+G71-G74</f>
        <v>4532735</v>
      </c>
    </row>
    <row r="77" ht="15.75" customHeight="1">
      <c r="A77" s="1"/>
      <c r="B77" s="32" t="s">
        <v>2682</v>
      </c>
    </row>
    <row r="78" ht="15.75" customHeight="1">
      <c r="A78" s="1"/>
      <c r="B78" s="1"/>
      <c r="C78" s="1" t="s">
        <v>2227</v>
      </c>
      <c r="D78" s="1"/>
      <c r="E78" s="1"/>
      <c r="F78" s="1"/>
      <c r="G78" s="2"/>
    </row>
    <row r="79" ht="15.75" customHeight="1">
      <c r="A79" s="1"/>
      <c r="B79" s="1"/>
      <c r="C79" s="1" t="s">
        <v>2731</v>
      </c>
      <c r="D79" s="1"/>
      <c r="E79" s="1"/>
      <c r="F79" s="1"/>
      <c r="G79" s="2"/>
    </row>
    <row r="80" ht="15.75" customHeight="1">
      <c r="A80" s="1"/>
      <c r="B80" s="1"/>
      <c r="C80" s="43" t="s">
        <v>115</v>
      </c>
      <c r="D80" s="1"/>
      <c r="E80" s="1"/>
      <c r="F80" s="1"/>
      <c r="G80" s="2">
        <v>227100.0</v>
      </c>
    </row>
    <row r="81" ht="15.75" customHeight="1">
      <c r="A81" s="1"/>
      <c r="B81" s="43" t="s">
        <v>2732</v>
      </c>
      <c r="C81" s="43"/>
      <c r="D81" s="1"/>
      <c r="E81" s="1"/>
      <c r="F81" s="1"/>
      <c r="G81" s="2"/>
    </row>
    <row r="82" ht="15.75" customHeight="1">
      <c r="A82" s="1"/>
      <c r="B82" s="43" t="s">
        <v>2733</v>
      </c>
      <c r="C82" s="43"/>
      <c r="D82" s="1"/>
      <c r="E82" s="1"/>
      <c r="F82" s="1"/>
      <c r="G82" s="1"/>
    </row>
    <row r="83" ht="15.75" customHeight="1">
      <c r="A83" s="1"/>
      <c r="B83" s="43" t="s">
        <v>2734</v>
      </c>
      <c r="C83" s="43"/>
      <c r="D83" s="1"/>
      <c r="E83" s="1"/>
      <c r="F83" s="1"/>
      <c r="G83" s="1"/>
    </row>
    <row r="84" ht="15.75" customHeight="1">
      <c r="A84" s="1"/>
      <c r="B84" s="43" t="s">
        <v>2735</v>
      </c>
      <c r="C84" s="43"/>
      <c r="D84" s="1"/>
      <c r="E84" s="1"/>
      <c r="F84" s="1"/>
      <c r="G84" s="1"/>
      <c r="J84" s="67" t="s">
        <v>480</v>
      </c>
      <c r="K84" s="67" t="s">
        <v>480</v>
      </c>
    </row>
    <row r="85" ht="15.75" customHeight="1">
      <c r="A85" s="1"/>
      <c r="B85" s="33" t="s">
        <v>2736</v>
      </c>
      <c r="C85" s="1"/>
      <c r="D85" s="1"/>
      <c r="E85" s="1"/>
      <c r="F85" s="1"/>
      <c r="G85" s="2"/>
    </row>
    <row r="86" ht="15.75" customHeight="1">
      <c r="A86" s="1"/>
      <c r="B86" s="55" t="s">
        <v>531</v>
      </c>
      <c r="C86" s="56"/>
      <c r="D86" s="56"/>
      <c r="E86" s="56"/>
      <c r="F86" s="1" t="s">
        <v>2686</v>
      </c>
      <c r="G86" s="55"/>
    </row>
    <row r="87" ht="15.75" customHeight="1">
      <c r="A87" s="1"/>
      <c r="B87" s="55" t="s">
        <v>2737</v>
      </c>
      <c r="C87" s="56"/>
      <c r="D87" s="56"/>
      <c r="E87" s="56"/>
      <c r="F87" s="1" t="s">
        <v>2688</v>
      </c>
      <c r="G87" s="55"/>
    </row>
    <row r="88" ht="15.75" customHeight="1">
      <c r="A88" s="1"/>
      <c r="B88" s="55" t="s">
        <v>533</v>
      </c>
      <c r="F88" s="1" t="s">
        <v>2689</v>
      </c>
      <c r="G88" s="55"/>
    </row>
    <row r="89" ht="15.75" customHeight="1">
      <c r="A89" s="1"/>
      <c r="B89" s="55" t="s">
        <v>2738</v>
      </c>
      <c r="C89" s="55"/>
      <c r="D89" s="55"/>
      <c r="E89" s="55"/>
      <c r="F89" s="1"/>
      <c r="G89" s="2"/>
    </row>
    <row r="90" ht="15.75" customHeight="1">
      <c r="A90" s="1"/>
      <c r="B90" s="55"/>
      <c r="C90" s="56"/>
      <c r="D90" s="57"/>
      <c r="E90" s="56"/>
      <c r="F90" s="1"/>
      <c r="G90" s="2"/>
    </row>
    <row r="91" ht="15.75" customHeight="1">
      <c r="A91" s="1"/>
      <c r="B91" s="55"/>
      <c r="C91" s="56"/>
      <c r="D91" s="57"/>
      <c r="E91" s="56"/>
      <c r="F91" s="1"/>
      <c r="G91" s="2"/>
    </row>
    <row r="92" ht="15.75" customHeight="1">
      <c r="A92" s="1"/>
      <c r="B92" s="55"/>
      <c r="C92" s="56"/>
      <c r="D92" s="57"/>
      <c r="E92" s="56"/>
      <c r="F92" s="1"/>
      <c r="G92" s="2"/>
    </row>
    <row r="93" ht="15.75" customHeight="1">
      <c r="A93" s="1"/>
      <c r="B93" s="55"/>
      <c r="C93" s="56"/>
      <c r="D93" s="57"/>
      <c r="E93" s="56"/>
      <c r="F93" s="1"/>
      <c r="G93" s="2"/>
    </row>
    <row r="94" ht="15.75" customHeight="1">
      <c r="B94" s="55"/>
      <c r="C94" s="56"/>
      <c r="D94" s="57"/>
      <c r="E94" s="5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2:D12"/>
    <mergeCell ref="B13:F13"/>
    <mergeCell ref="B77:G77"/>
    <mergeCell ref="B88:E88"/>
  </mergeCells>
  <printOptions/>
  <pageMargins bottom="0.75" footer="0.0" header="0.0" left="0.7" right="0.7" top="0.7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4.71"/>
    <col customWidth="1" min="8" max="26" width="10.71"/>
  </cols>
  <sheetData>
    <row r="1">
      <c r="A1" s="1" t="s">
        <v>721</v>
      </c>
      <c r="B1" s="3" t="s">
        <v>2739</v>
      </c>
      <c r="C1" s="1"/>
      <c r="D1" s="1"/>
      <c r="E1" s="1"/>
      <c r="F1" s="1"/>
      <c r="G1" s="2"/>
    </row>
    <row r="2" ht="22.5" customHeight="1">
      <c r="A2" s="1"/>
      <c r="B2" s="75" t="s">
        <v>2740</v>
      </c>
      <c r="G2" s="47">
        <v>4532735.0</v>
      </c>
    </row>
    <row r="3">
      <c r="A3" s="1"/>
      <c r="G3" s="2"/>
    </row>
    <row r="4">
      <c r="A4" s="6" t="s">
        <v>2741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125000.0</v>
      </c>
      <c r="G5" s="7">
        <v>18000.0</v>
      </c>
    </row>
    <row r="6">
      <c r="A6" s="1"/>
      <c r="B6" s="4" t="s">
        <v>64</v>
      </c>
      <c r="C6" s="1"/>
      <c r="D6" s="1"/>
      <c r="E6" s="1"/>
      <c r="F6" s="2">
        <v>686500.0</v>
      </c>
      <c r="G6" s="7">
        <v>123000.0</v>
      </c>
    </row>
    <row r="7">
      <c r="A7" s="1"/>
      <c r="B7" s="4" t="s">
        <v>65</v>
      </c>
      <c r="C7" s="1"/>
      <c r="D7" s="1"/>
      <c r="E7" s="1"/>
      <c r="F7" s="2">
        <v>416100.0</v>
      </c>
      <c r="G7" s="7">
        <v>99000.0</v>
      </c>
    </row>
    <row r="8">
      <c r="A8" s="1"/>
      <c r="B8" s="4" t="s">
        <v>66</v>
      </c>
      <c r="C8" s="1"/>
      <c r="D8" s="1"/>
      <c r="E8" s="1"/>
      <c r="F8" s="2">
        <v>364000.0</v>
      </c>
      <c r="G8" s="76">
        <v>88000.0</v>
      </c>
    </row>
    <row r="9">
      <c r="A9" s="1"/>
      <c r="B9" s="4" t="s">
        <v>67</v>
      </c>
      <c r="C9" s="1"/>
      <c r="D9" s="49" t="s">
        <v>8</v>
      </c>
      <c r="E9" s="49"/>
      <c r="F9" s="7">
        <v>179600.0</v>
      </c>
      <c r="G9" s="7">
        <v>62000.0</v>
      </c>
    </row>
    <row r="10">
      <c r="A10" s="1"/>
      <c r="B10" s="4" t="s">
        <v>2742</v>
      </c>
      <c r="C10" s="1"/>
      <c r="D10" s="49"/>
      <c r="E10" s="49"/>
      <c r="F10" s="7">
        <v>386000.0</v>
      </c>
      <c r="G10" s="7" t="s">
        <v>480</v>
      </c>
    </row>
    <row r="11">
      <c r="A11" s="1"/>
      <c r="B11" s="4" t="s">
        <v>2743</v>
      </c>
      <c r="C11" s="1"/>
      <c r="D11" s="49"/>
      <c r="E11" s="49"/>
      <c r="F11" s="7">
        <v>360000.0</v>
      </c>
      <c r="G11" s="7"/>
    </row>
    <row r="12">
      <c r="A12" s="1"/>
      <c r="B12" s="4"/>
      <c r="C12" s="50" t="s">
        <v>405</v>
      </c>
      <c r="E12" s="4"/>
      <c r="F12" s="2">
        <f>SUM(F5:F11)</f>
        <v>2517200</v>
      </c>
      <c r="G12" s="7">
        <f>SUM(G5:G9)</f>
        <v>390000</v>
      </c>
    </row>
    <row r="13">
      <c r="A13" s="1"/>
      <c r="B13" s="51" t="s">
        <v>9</v>
      </c>
      <c r="C13" s="52"/>
      <c r="D13" s="52"/>
      <c r="E13" s="52"/>
      <c r="F13" s="53"/>
      <c r="G13" s="68">
        <f>SUM(F12:G12)</f>
        <v>2907200</v>
      </c>
    </row>
    <row r="14">
      <c r="A14" s="6" t="s">
        <v>2744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2745</v>
      </c>
      <c r="C16" s="1"/>
      <c r="D16" s="1"/>
      <c r="E16" s="1"/>
      <c r="F16" s="1"/>
      <c r="G16" s="77">
        <v>280000.0</v>
      </c>
    </row>
    <row r="17">
      <c r="A17" s="1"/>
      <c r="B17" s="4" t="s">
        <v>13</v>
      </c>
      <c r="C17" s="1"/>
      <c r="D17" s="1"/>
      <c r="E17" s="1"/>
      <c r="F17" s="1"/>
      <c r="G17" s="13">
        <v>150000.0</v>
      </c>
      <c r="K17" s="67" t="s">
        <v>1585</v>
      </c>
    </row>
    <row r="18">
      <c r="A18" s="1"/>
      <c r="B18" s="4" t="s">
        <v>14</v>
      </c>
      <c r="C18" s="1"/>
      <c r="D18" s="1"/>
      <c r="E18" s="1"/>
      <c r="F18" s="1"/>
      <c r="G18" s="13">
        <v>150000.0</v>
      </c>
    </row>
    <row r="19">
      <c r="A19" s="1"/>
      <c r="B19" s="4" t="s">
        <v>16</v>
      </c>
      <c r="C19" s="1"/>
      <c r="D19" s="1"/>
      <c r="E19" s="1"/>
      <c r="F19" s="1"/>
      <c r="G19" s="77">
        <v>100000.0</v>
      </c>
    </row>
    <row r="20">
      <c r="A20" s="1"/>
      <c r="B20" s="4" t="s">
        <v>2149</v>
      </c>
      <c r="C20" s="1"/>
      <c r="D20" s="1"/>
      <c r="E20" s="1"/>
      <c r="F20" s="1"/>
      <c r="G20" s="77">
        <v>100000.0</v>
      </c>
    </row>
    <row r="21" ht="15.75" customHeight="1">
      <c r="A21" s="1"/>
      <c r="B21" s="4" t="s">
        <v>2746</v>
      </c>
      <c r="C21" s="1"/>
      <c r="D21" s="1"/>
      <c r="E21" s="1"/>
      <c r="F21" s="1"/>
      <c r="G21" s="77">
        <v>100000.0</v>
      </c>
    </row>
    <row r="22" ht="15.75" customHeight="1">
      <c r="A22" s="1"/>
      <c r="B22" s="9" t="s">
        <v>18</v>
      </c>
      <c r="C22" s="10"/>
      <c r="D22" s="10"/>
      <c r="E22" s="10"/>
      <c r="F22" s="10"/>
      <c r="G22" s="69">
        <f>SUM(G16:G21)</f>
        <v>880000</v>
      </c>
    </row>
    <row r="23" ht="15.75" customHeight="1">
      <c r="A23" s="1"/>
      <c r="B23" s="12" t="s">
        <v>19</v>
      </c>
      <c r="C23" s="15"/>
      <c r="D23" s="1"/>
      <c r="E23" s="1"/>
      <c r="F23" s="1"/>
      <c r="G23" s="2"/>
    </row>
    <row r="24" ht="15.75" customHeight="1">
      <c r="A24" s="1"/>
      <c r="B24" s="4" t="s">
        <v>2747</v>
      </c>
      <c r="C24" s="15"/>
      <c r="D24" s="1"/>
      <c r="E24" s="1"/>
      <c r="F24" s="1"/>
      <c r="G24" s="2">
        <v>65250.0</v>
      </c>
    </row>
    <row r="25" ht="15.75" customHeight="1">
      <c r="A25" s="1"/>
      <c r="B25" s="4" t="s">
        <v>2748</v>
      </c>
      <c r="C25" s="15"/>
      <c r="D25" s="1"/>
      <c r="E25" s="1"/>
      <c r="F25" s="1"/>
      <c r="G25" s="2">
        <v>53000.0</v>
      </c>
    </row>
    <row r="26" ht="15.75" customHeight="1">
      <c r="A26" s="1"/>
      <c r="B26" s="4" t="s">
        <v>2151</v>
      </c>
      <c r="C26" s="15"/>
      <c r="D26" s="1"/>
      <c r="E26" s="1"/>
      <c r="F26" s="1"/>
      <c r="G26" s="2">
        <v>30000.0</v>
      </c>
    </row>
    <row r="27" ht="15.75" customHeight="1">
      <c r="A27" s="1"/>
      <c r="B27" s="4" t="s">
        <v>282</v>
      </c>
      <c r="C27" s="15"/>
      <c r="D27" s="1"/>
      <c r="E27" s="1"/>
      <c r="F27" s="1"/>
      <c r="G27" s="2">
        <v>100000.0</v>
      </c>
    </row>
    <row r="28" ht="15.75" customHeight="1">
      <c r="A28" s="1"/>
      <c r="B28" s="4" t="s">
        <v>2157</v>
      </c>
      <c r="C28" s="15"/>
      <c r="D28" s="1"/>
      <c r="E28" s="1"/>
      <c r="F28" s="1"/>
      <c r="G28" s="2">
        <v>20000.0</v>
      </c>
    </row>
    <row r="29" ht="15.75" customHeight="1">
      <c r="A29" s="1"/>
      <c r="B29" s="4" t="s">
        <v>1955</v>
      </c>
      <c r="C29" s="15"/>
      <c r="D29" s="1"/>
      <c r="E29" s="1"/>
      <c r="F29" s="1"/>
      <c r="G29" s="2">
        <v>10000.0</v>
      </c>
    </row>
    <row r="30" ht="15.75" customHeight="1">
      <c r="A30" s="1"/>
      <c r="B30" s="4" t="s">
        <v>2749</v>
      </c>
      <c r="C30" s="15"/>
      <c r="D30" s="1"/>
      <c r="E30" s="1"/>
      <c r="F30" s="1"/>
      <c r="G30" s="2">
        <v>4200.0</v>
      </c>
    </row>
    <row r="31" ht="15.75" customHeight="1">
      <c r="A31" s="1"/>
      <c r="B31" s="4" t="s">
        <v>2750</v>
      </c>
      <c r="C31" s="15"/>
      <c r="D31" s="1"/>
      <c r="E31" s="1"/>
      <c r="F31" s="1"/>
      <c r="G31" s="2">
        <v>250000.0</v>
      </c>
    </row>
    <row r="32" ht="15.75" customHeight="1">
      <c r="A32" s="1"/>
      <c r="B32" s="4" t="s">
        <v>2751</v>
      </c>
      <c r="C32" s="15"/>
      <c r="D32" s="1"/>
      <c r="E32" s="1"/>
      <c r="F32" s="1"/>
      <c r="G32" s="2">
        <v>90000.0</v>
      </c>
    </row>
    <row r="33" ht="15.75" customHeight="1">
      <c r="A33" s="1"/>
      <c r="B33" s="4" t="s">
        <v>2752</v>
      </c>
      <c r="C33" s="15"/>
      <c r="D33" s="1"/>
      <c r="E33" s="1"/>
      <c r="F33" s="1"/>
      <c r="G33" s="2">
        <v>50000.0</v>
      </c>
    </row>
    <row r="34" ht="15.75" customHeight="1">
      <c r="A34" s="1"/>
      <c r="B34" s="4" t="s">
        <v>2117</v>
      </c>
      <c r="C34" s="15"/>
      <c r="D34" s="1"/>
      <c r="E34" s="1"/>
      <c r="F34" s="1"/>
      <c r="G34" s="2">
        <v>1000.0</v>
      </c>
    </row>
    <row r="35" ht="15.75" customHeight="1">
      <c r="A35" s="1"/>
      <c r="B35" s="4" t="s">
        <v>2753</v>
      </c>
      <c r="C35" s="15"/>
      <c r="D35" s="1"/>
      <c r="E35" s="1"/>
      <c r="F35" s="1"/>
      <c r="G35" s="2">
        <v>2550.0</v>
      </c>
    </row>
    <row r="36" ht="15.75" customHeight="1">
      <c r="A36" s="1"/>
      <c r="B36" s="4" t="s">
        <v>2754</v>
      </c>
      <c r="C36" s="15"/>
      <c r="D36" s="1"/>
      <c r="E36" s="1"/>
      <c r="F36" s="1"/>
      <c r="G36" s="2">
        <v>138300.0</v>
      </c>
    </row>
    <row r="37" ht="15.75" customHeight="1">
      <c r="A37" s="1"/>
      <c r="B37" s="4" t="s">
        <v>2755</v>
      </c>
      <c r="C37" s="15"/>
      <c r="D37" s="1"/>
      <c r="E37" s="1"/>
      <c r="F37" s="1"/>
      <c r="G37" s="2">
        <v>10000.0</v>
      </c>
    </row>
    <row r="38" ht="15.75" customHeight="1">
      <c r="A38" s="1"/>
      <c r="B38" s="4" t="s">
        <v>2756</v>
      </c>
      <c r="C38" s="15"/>
      <c r="D38" s="1"/>
      <c r="E38" s="1"/>
      <c r="F38" s="1"/>
      <c r="G38" s="2">
        <v>50000.0</v>
      </c>
    </row>
    <row r="39" ht="15.75" customHeight="1">
      <c r="A39" s="1"/>
      <c r="B39" s="4" t="s">
        <v>2757</v>
      </c>
      <c r="C39" s="15"/>
      <c r="D39" s="78"/>
      <c r="E39" s="1"/>
      <c r="F39" s="1"/>
      <c r="G39" s="79">
        <v>63000.0</v>
      </c>
    </row>
    <row r="40" ht="15.75" customHeight="1">
      <c r="A40" s="1"/>
      <c r="B40" s="4" t="s">
        <v>2758</v>
      </c>
      <c r="C40" s="15"/>
      <c r="D40" s="1"/>
      <c r="E40" s="1"/>
      <c r="F40" s="1"/>
      <c r="G40" s="2">
        <v>4000.0</v>
      </c>
    </row>
    <row r="41" ht="15.75" customHeight="1">
      <c r="A41" s="1"/>
      <c r="B41" s="4" t="s">
        <v>2759</v>
      </c>
      <c r="C41" s="15"/>
      <c r="D41" s="1"/>
      <c r="E41" s="1"/>
      <c r="F41" s="1"/>
      <c r="G41" s="2">
        <v>2500.0</v>
      </c>
    </row>
    <row r="42" ht="15.75" customHeight="1">
      <c r="A42" s="1"/>
      <c r="B42" s="4" t="s">
        <v>2760</v>
      </c>
      <c r="C42" s="15"/>
      <c r="D42" s="1"/>
      <c r="E42" s="1"/>
      <c r="F42" s="1"/>
      <c r="G42" s="2">
        <v>2000.0</v>
      </c>
    </row>
    <row r="43" ht="15.75" customHeight="1">
      <c r="A43" s="1"/>
      <c r="B43" s="4" t="s">
        <v>2761</v>
      </c>
      <c r="C43" s="15"/>
      <c r="D43" s="1"/>
      <c r="E43" s="1"/>
      <c r="F43" s="1"/>
      <c r="G43" s="2">
        <v>30000.0</v>
      </c>
    </row>
    <row r="44" ht="15.75" customHeight="1">
      <c r="A44" s="1"/>
      <c r="B44" s="1" t="s">
        <v>2762</v>
      </c>
      <c r="C44" s="1"/>
      <c r="D44" s="1"/>
      <c r="E44" s="1"/>
      <c r="F44" s="1"/>
      <c r="G44" s="13">
        <v>7500.0</v>
      </c>
    </row>
    <row r="45" ht="15.75" customHeight="1">
      <c r="A45" s="1"/>
      <c r="B45" s="1" t="s">
        <v>2763</v>
      </c>
      <c r="C45" s="1"/>
      <c r="D45" s="1"/>
      <c r="E45" s="1"/>
      <c r="F45" s="1"/>
      <c r="G45" s="13">
        <v>15500.0</v>
      </c>
    </row>
    <row r="46" ht="15.75" customHeight="1">
      <c r="A46" s="1"/>
      <c r="B46" s="1" t="s">
        <v>2764</v>
      </c>
      <c r="C46" s="1"/>
      <c r="D46" s="1"/>
      <c r="E46" s="1"/>
      <c r="F46" s="1"/>
      <c r="G46" s="13">
        <v>15000.0</v>
      </c>
    </row>
    <row r="47" ht="15.75" customHeight="1">
      <c r="A47" s="1"/>
      <c r="B47" s="1" t="s">
        <v>2765</v>
      </c>
      <c r="C47" s="1"/>
      <c r="D47" s="1"/>
      <c r="E47" s="1"/>
      <c r="F47" s="1"/>
      <c r="G47" s="13">
        <v>50000.0</v>
      </c>
    </row>
    <row r="48" ht="15.75" customHeight="1">
      <c r="A48" s="1"/>
      <c r="B48" s="1" t="s">
        <v>2766</v>
      </c>
      <c r="C48" s="1"/>
      <c r="D48" s="1"/>
      <c r="E48" s="1"/>
      <c r="F48" s="1"/>
      <c r="G48" s="13">
        <v>5000.0</v>
      </c>
    </row>
    <row r="49" ht="15.75" customHeight="1">
      <c r="A49" s="1"/>
      <c r="B49" s="1"/>
      <c r="C49" s="1"/>
      <c r="D49" s="1"/>
      <c r="E49" s="1"/>
      <c r="F49" s="1"/>
      <c r="G49" s="13"/>
    </row>
    <row r="50" ht="15.75" customHeight="1">
      <c r="A50" s="1"/>
      <c r="B50" s="43" t="s">
        <v>43</v>
      </c>
      <c r="C50" s="1"/>
      <c r="D50" s="1"/>
      <c r="E50" s="1"/>
      <c r="F50" s="1"/>
      <c r="G50" s="18">
        <f>SUM(G24:G49)</f>
        <v>1068800</v>
      </c>
    </row>
    <row r="51" ht="15.75" customHeight="1">
      <c r="A51" s="1"/>
      <c r="B51" s="19" t="s">
        <v>45</v>
      </c>
      <c r="C51" s="20"/>
      <c r="D51" s="20"/>
      <c r="E51" s="20"/>
      <c r="F51" s="20"/>
      <c r="G51" s="70">
        <f>SUM(G22+G50)</f>
        <v>1948800</v>
      </c>
    </row>
    <row r="52" ht="15.75" customHeight="1">
      <c r="A52" s="35" t="s">
        <v>2767</v>
      </c>
      <c r="B52" s="36"/>
      <c r="C52" s="37"/>
      <c r="D52" s="37"/>
      <c r="E52" s="37"/>
      <c r="F52" s="37"/>
      <c r="G52" s="71">
        <f>(G13-G51)</f>
        <v>958400</v>
      </c>
    </row>
    <row r="53" ht="15.75" customHeight="1">
      <c r="A53" s="35"/>
      <c r="B53" s="36"/>
      <c r="C53" s="37"/>
      <c r="D53" s="37"/>
      <c r="E53" s="37"/>
      <c r="F53" s="37"/>
      <c r="G53" s="71"/>
    </row>
    <row r="54" ht="15.75" customHeight="1">
      <c r="A54" s="22" t="s">
        <v>254</v>
      </c>
      <c r="B54" s="43" t="s">
        <v>255</v>
      </c>
      <c r="C54" s="1"/>
      <c r="D54" s="1"/>
      <c r="E54" s="1"/>
      <c r="F54" s="1"/>
      <c r="G54" s="2"/>
    </row>
    <row r="55" ht="15.75" customHeight="1">
      <c r="A55" s="44"/>
      <c r="B55" s="72" t="s">
        <v>51</v>
      </c>
      <c r="C55" s="27"/>
      <c r="D55" s="27"/>
      <c r="E55" s="27"/>
      <c r="F55" s="27"/>
      <c r="G55" s="73"/>
    </row>
    <row r="56" ht="15.75" customHeight="1">
      <c r="A56" s="44"/>
      <c r="B56" s="72"/>
      <c r="C56" s="27"/>
      <c r="D56" s="27"/>
      <c r="E56" s="27"/>
      <c r="F56" s="27"/>
      <c r="G56" s="73"/>
    </row>
    <row r="57" ht="15.75" customHeight="1">
      <c r="A57" s="44"/>
      <c r="B57" s="45" t="s">
        <v>2768</v>
      </c>
      <c r="C57" s="45"/>
      <c r="D57" s="45"/>
      <c r="E57" s="46"/>
      <c r="F57" s="46"/>
      <c r="G57" s="47">
        <f>G2+G52-G55</f>
        <v>5491135</v>
      </c>
    </row>
    <row r="58" ht="15.75" customHeight="1">
      <c r="A58" s="1"/>
      <c r="B58" s="32" t="s">
        <v>2769</v>
      </c>
    </row>
    <row r="59" ht="15.75" customHeight="1">
      <c r="A59" s="1"/>
      <c r="B59" s="1"/>
      <c r="C59" s="1" t="s">
        <v>1270</v>
      </c>
      <c r="D59" s="1"/>
      <c r="E59" s="1"/>
      <c r="F59" s="1"/>
      <c r="G59" s="2"/>
    </row>
    <row r="60" ht="15.75" customHeight="1">
      <c r="A60" s="1"/>
      <c r="B60" s="1"/>
      <c r="C60" s="1" t="s">
        <v>2770</v>
      </c>
      <c r="D60" s="1"/>
      <c r="E60" s="1"/>
      <c r="F60" s="1"/>
      <c r="G60" s="2">
        <v>289400.0</v>
      </c>
    </row>
    <row r="61" ht="15.75" customHeight="1">
      <c r="A61" s="1"/>
      <c r="B61" s="1"/>
      <c r="C61" s="43" t="s">
        <v>115</v>
      </c>
      <c r="D61" s="1"/>
      <c r="E61" s="1"/>
      <c r="F61" s="1"/>
      <c r="G61" s="2">
        <v>289400.0</v>
      </c>
    </row>
    <row r="62" ht="15.75" customHeight="1">
      <c r="A62" s="1"/>
      <c r="B62" s="43" t="s">
        <v>2732</v>
      </c>
      <c r="C62" s="43"/>
      <c r="D62" s="1"/>
      <c r="E62" s="1"/>
      <c r="F62" s="1"/>
      <c r="G62" s="2"/>
    </row>
    <row r="63" ht="15.75" customHeight="1">
      <c r="A63" s="1"/>
      <c r="B63" s="43" t="s">
        <v>2771</v>
      </c>
      <c r="C63" s="43"/>
      <c r="D63" s="1"/>
      <c r="E63" s="1"/>
      <c r="F63" s="1"/>
      <c r="G63" s="1"/>
    </row>
    <row r="64" ht="15.75" customHeight="1">
      <c r="A64" s="1"/>
      <c r="B64" s="43" t="s">
        <v>2772</v>
      </c>
      <c r="C64" s="43"/>
      <c r="D64" s="1"/>
      <c r="E64" s="1"/>
      <c r="F64" s="1"/>
      <c r="G64" s="1"/>
    </row>
    <row r="65" ht="15.75" customHeight="1">
      <c r="A65" s="1"/>
      <c r="B65" s="43" t="s">
        <v>2773</v>
      </c>
      <c r="C65" s="43"/>
      <c r="D65" s="1"/>
      <c r="E65" s="1"/>
      <c r="F65" s="1"/>
      <c r="G65" s="1"/>
    </row>
    <row r="66" ht="15.75" customHeight="1">
      <c r="A66" s="1"/>
      <c r="B66" s="43" t="s">
        <v>2774</v>
      </c>
      <c r="C66" s="43"/>
      <c r="D66" s="1"/>
      <c r="E66" s="1"/>
      <c r="F66" s="1"/>
      <c r="G66" s="1"/>
      <c r="N66" s="67" t="s">
        <v>480</v>
      </c>
    </row>
    <row r="67" ht="15.75" customHeight="1">
      <c r="A67" s="1"/>
      <c r="B67" s="43"/>
      <c r="C67" s="43"/>
      <c r="D67" s="1"/>
      <c r="E67" s="1"/>
      <c r="F67" s="1"/>
      <c r="G67" s="1"/>
    </row>
    <row r="68" ht="15.75" customHeight="1">
      <c r="A68" s="1"/>
      <c r="B68" s="43" t="s">
        <v>2775</v>
      </c>
      <c r="C68" s="43"/>
      <c r="D68" s="1"/>
      <c r="E68" s="1"/>
      <c r="F68" s="1"/>
      <c r="G68" s="1"/>
    </row>
    <row r="69" ht="15.75" customHeight="1">
      <c r="A69" s="1"/>
      <c r="B69" s="43"/>
      <c r="C69" s="43"/>
      <c r="D69" s="1"/>
      <c r="E69" s="1"/>
      <c r="F69" s="1"/>
      <c r="G69" s="1"/>
    </row>
    <row r="70" ht="15.75" customHeight="1">
      <c r="A70" s="1"/>
      <c r="B70" s="33" t="s">
        <v>2776</v>
      </c>
      <c r="C70" s="1"/>
      <c r="D70" s="1"/>
      <c r="E70" s="1"/>
      <c r="F70" s="1"/>
      <c r="G70" s="2"/>
    </row>
    <row r="71" ht="15.75" customHeight="1">
      <c r="A71" s="1"/>
      <c r="B71" s="55" t="s">
        <v>531</v>
      </c>
      <c r="C71" s="56"/>
      <c r="D71" s="56"/>
      <c r="E71" s="56"/>
      <c r="F71" s="1" t="s">
        <v>2686</v>
      </c>
      <c r="G71" s="55"/>
    </row>
    <row r="72" ht="15.75" customHeight="1">
      <c r="A72" s="1"/>
      <c r="B72" s="55"/>
      <c r="C72" s="56"/>
      <c r="D72" s="56"/>
      <c r="E72" s="56"/>
      <c r="F72" s="1"/>
      <c r="G72" s="55"/>
    </row>
    <row r="73" ht="15.75" customHeight="1">
      <c r="A73" s="1"/>
      <c r="B73" s="55"/>
      <c r="C73" s="56"/>
      <c r="D73" s="56"/>
      <c r="E73" s="56"/>
      <c r="F73" s="1"/>
      <c r="G73" s="55"/>
    </row>
    <row r="74" ht="15.75" customHeight="1">
      <c r="A74" s="1"/>
      <c r="B74" s="55" t="s">
        <v>2777</v>
      </c>
      <c r="C74" s="56"/>
      <c r="D74" s="56"/>
      <c r="E74" s="56"/>
      <c r="F74" s="1" t="s">
        <v>2688</v>
      </c>
      <c r="G74" s="55"/>
    </row>
    <row r="75" ht="15.75" customHeight="1">
      <c r="A75" s="1"/>
      <c r="B75" s="55"/>
      <c r="C75" s="56"/>
      <c r="D75" s="56"/>
      <c r="E75" s="56"/>
      <c r="F75" s="1"/>
      <c r="G75" s="55"/>
    </row>
    <row r="76" ht="15.75" customHeight="1">
      <c r="A76" s="1"/>
      <c r="B76" s="55"/>
      <c r="C76" s="56"/>
      <c r="D76" s="56"/>
      <c r="E76" s="56"/>
      <c r="F76" s="1"/>
      <c r="G76" s="55"/>
    </row>
    <row r="77" ht="15.75" customHeight="1">
      <c r="A77" s="1"/>
      <c r="B77" s="55"/>
      <c r="C77" s="56"/>
      <c r="D77" s="56"/>
      <c r="E77" s="56"/>
      <c r="F77" s="1"/>
      <c r="G77" s="55"/>
    </row>
    <row r="78" ht="15.75" customHeight="1">
      <c r="A78" s="1"/>
      <c r="B78" s="55" t="s">
        <v>533</v>
      </c>
      <c r="F78" s="1" t="s">
        <v>2689</v>
      </c>
      <c r="G78" s="55"/>
    </row>
    <row r="79" ht="15.75" customHeight="1">
      <c r="A79" s="1"/>
      <c r="B79" s="55"/>
      <c r="C79" s="55"/>
      <c r="D79" s="55"/>
      <c r="E79" s="55"/>
      <c r="F79" s="1"/>
      <c r="G79" s="55"/>
    </row>
    <row r="80" ht="15.75" customHeight="1">
      <c r="A80" s="1"/>
      <c r="B80" s="55"/>
      <c r="C80" s="55"/>
      <c r="D80" s="55"/>
      <c r="E80" s="55"/>
      <c r="F80" s="1"/>
      <c r="G80" s="55"/>
    </row>
    <row r="81" ht="15.75" customHeight="1">
      <c r="A81" s="1"/>
      <c r="B81" s="55" t="s">
        <v>2738</v>
      </c>
      <c r="C81" s="55"/>
      <c r="D81" s="55"/>
      <c r="E81" s="55"/>
      <c r="F81" s="1"/>
      <c r="G81" s="2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2:D12"/>
    <mergeCell ref="B13:F13"/>
    <mergeCell ref="B58:G58"/>
    <mergeCell ref="B78:E78"/>
  </mergeCells>
  <printOptions/>
  <pageMargins bottom="0.75" footer="0.0" header="0.0" left="0.7" right="0.7" top="0.7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4.71"/>
    <col customWidth="1" min="8" max="26" width="10.71"/>
  </cols>
  <sheetData>
    <row r="1">
      <c r="A1" s="1" t="s">
        <v>721</v>
      </c>
      <c r="B1" s="3" t="s">
        <v>2778</v>
      </c>
      <c r="C1" s="1"/>
      <c r="D1" s="1"/>
      <c r="E1" s="1"/>
      <c r="F1" s="1"/>
      <c r="G1" s="2"/>
    </row>
    <row r="2">
      <c r="A2" s="1"/>
      <c r="B2" s="75" t="s">
        <v>2779</v>
      </c>
      <c r="G2" s="47">
        <v>5491135.0</v>
      </c>
    </row>
    <row r="3">
      <c r="A3" s="1"/>
      <c r="G3" s="2"/>
    </row>
    <row r="4">
      <c r="A4" s="6" t="s">
        <v>2780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169500.0</v>
      </c>
      <c r="G5" s="7">
        <v>54000.0</v>
      </c>
    </row>
    <row r="6">
      <c r="A6" s="1"/>
      <c r="B6" s="4" t="s">
        <v>64</v>
      </c>
      <c r="C6" s="1"/>
      <c r="D6" s="1"/>
      <c r="E6" s="1"/>
      <c r="F6" s="2">
        <v>287800.0</v>
      </c>
      <c r="G6" s="7">
        <v>56000.0</v>
      </c>
    </row>
    <row r="7">
      <c r="A7" s="1"/>
      <c r="B7" s="4" t="s">
        <v>65</v>
      </c>
      <c r="C7" s="1"/>
      <c r="D7" s="1"/>
      <c r="E7" s="1"/>
      <c r="F7" s="2">
        <v>601400.0</v>
      </c>
      <c r="G7" s="7">
        <v>124000.0</v>
      </c>
    </row>
    <row r="8">
      <c r="A8" s="1"/>
      <c r="B8" s="4" t="s">
        <v>66</v>
      </c>
      <c r="C8" s="1"/>
      <c r="D8" s="1"/>
      <c r="E8" s="1"/>
      <c r="F8" s="2">
        <v>613000.0</v>
      </c>
      <c r="G8" s="76">
        <v>128000.0</v>
      </c>
    </row>
    <row r="9">
      <c r="A9" s="1"/>
      <c r="B9" s="4" t="s">
        <v>67</v>
      </c>
      <c r="C9" s="1"/>
      <c r="D9" s="49" t="s">
        <v>8</v>
      </c>
      <c r="E9" s="49"/>
      <c r="F9" s="7">
        <v>309600.0</v>
      </c>
      <c r="G9" s="7">
        <v>56000.0</v>
      </c>
    </row>
    <row r="10">
      <c r="A10" s="1"/>
      <c r="B10" s="4" t="s">
        <v>2781</v>
      </c>
      <c r="C10" s="1"/>
      <c r="D10" s="49"/>
      <c r="E10" s="49"/>
      <c r="F10" s="7">
        <v>360000.0</v>
      </c>
      <c r="G10" s="7" t="s">
        <v>480</v>
      </c>
    </row>
    <row r="11">
      <c r="A11" s="1"/>
      <c r="B11" s="4" t="s">
        <v>2782</v>
      </c>
      <c r="C11" s="1"/>
      <c r="D11" s="49"/>
      <c r="E11" s="49"/>
      <c r="F11" s="7">
        <v>515000.0</v>
      </c>
      <c r="G11" s="7"/>
    </row>
    <row r="12">
      <c r="A12" s="1"/>
      <c r="B12" s="4"/>
      <c r="C12" s="50" t="s">
        <v>405</v>
      </c>
      <c r="E12" s="4"/>
      <c r="F12" s="2">
        <f>SUM(F5:F11)</f>
        <v>2856300</v>
      </c>
      <c r="G12" s="7">
        <f>SUM(G5:G9)</f>
        <v>418000</v>
      </c>
    </row>
    <row r="13">
      <c r="A13" s="1"/>
      <c r="B13" s="51" t="s">
        <v>9</v>
      </c>
      <c r="C13" s="52"/>
      <c r="D13" s="52"/>
      <c r="E13" s="52"/>
      <c r="F13" s="53"/>
      <c r="G13" s="68">
        <f>SUM(F12:G12)</f>
        <v>3274300</v>
      </c>
    </row>
    <row r="14">
      <c r="A14" s="6" t="s">
        <v>2783</v>
      </c>
      <c r="B14" s="1"/>
      <c r="C14" s="1"/>
      <c r="D14" s="1"/>
      <c r="E14" s="1"/>
      <c r="F14" s="1"/>
      <c r="G14" s="2"/>
    </row>
    <row r="15">
      <c r="A15" s="1"/>
      <c r="B15" s="12" t="s">
        <v>11</v>
      </c>
      <c r="C15" s="1"/>
      <c r="D15" s="1"/>
      <c r="E15" s="1"/>
      <c r="F15" s="1"/>
      <c r="G15" s="2"/>
    </row>
    <row r="16">
      <c r="A16" s="1"/>
      <c r="B16" s="4" t="s">
        <v>2745</v>
      </c>
      <c r="C16" s="1"/>
      <c r="D16" s="1"/>
      <c r="E16" s="1"/>
      <c r="F16" s="1"/>
      <c r="G16" s="77">
        <v>240000.0</v>
      </c>
    </row>
    <row r="17">
      <c r="A17" s="1"/>
      <c r="B17" s="4" t="s">
        <v>13</v>
      </c>
      <c r="C17" s="1"/>
      <c r="D17" s="1"/>
      <c r="E17" s="1"/>
      <c r="F17" s="1"/>
      <c r="G17" s="13">
        <v>150000.0</v>
      </c>
    </row>
    <row r="18">
      <c r="A18" s="1"/>
      <c r="B18" s="4" t="s">
        <v>14</v>
      </c>
      <c r="C18" s="1"/>
      <c r="D18" s="1"/>
      <c r="E18" s="1"/>
      <c r="F18" s="1"/>
      <c r="G18" s="13">
        <v>150000.0</v>
      </c>
    </row>
    <row r="19">
      <c r="A19" s="1"/>
      <c r="B19" s="4" t="s">
        <v>16</v>
      </c>
      <c r="C19" s="1"/>
      <c r="D19" s="1"/>
      <c r="E19" s="1"/>
      <c r="F19" s="1"/>
      <c r="G19" s="77">
        <v>100000.0</v>
      </c>
    </row>
    <row r="20">
      <c r="A20" s="1"/>
      <c r="B20" s="4" t="s">
        <v>2746</v>
      </c>
      <c r="C20" s="1"/>
      <c r="D20" s="1"/>
      <c r="E20" s="1"/>
      <c r="F20" s="1"/>
      <c r="G20" s="77">
        <v>100000.0</v>
      </c>
    </row>
    <row r="21" ht="15.75" customHeight="1">
      <c r="A21" s="1"/>
      <c r="B21" s="9" t="s">
        <v>18</v>
      </c>
      <c r="C21" s="10"/>
      <c r="D21" s="10"/>
      <c r="E21" s="10"/>
      <c r="F21" s="10"/>
      <c r="G21" s="69">
        <f>SUM(G16:G20)</f>
        <v>740000</v>
      </c>
    </row>
    <row r="22" ht="15.75" customHeight="1">
      <c r="A22" s="1"/>
      <c r="B22" s="12" t="s">
        <v>19</v>
      </c>
      <c r="C22" s="15"/>
      <c r="D22" s="1"/>
      <c r="E22" s="1"/>
      <c r="F22" s="1"/>
      <c r="G22" s="2"/>
    </row>
    <row r="23" ht="15.75" customHeight="1">
      <c r="A23" s="1"/>
      <c r="B23" s="4" t="s">
        <v>2784</v>
      </c>
      <c r="C23" s="15"/>
      <c r="D23" s="1"/>
      <c r="E23" s="1"/>
      <c r="F23" s="1"/>
      <c r="G23" s="2">
        <v>3502.0</v>
      </c>
    </row>
    <row r="24" ht="15.75" customHeight="1">
      <c r="A24" s="1"/>
      <c r="B24" s="4" t="s">
        <v>2785</v>
      </c>
      <c r="C24" s="15"/>
      <c r="D24" s="1"/>
      <c r="E24" s="1"/>
      <c r="F24" s="1"/>
      <c r="G24" s="2">
        <v>51800.0</v>
      </c>
    </row>
    <row r="25" ht="15.75" customHeight="1">
      <c r="A25" s="1"/>
      <c r="B25" s="4" t="s">
        <v>2786</v>
      </c>
      <c r="C25" s="15"/>
      <c r="D25" s="1"/>
      <c r="E25" s="1"/>
      <c r="F25" s="1"/>
      <c r="G25" s="2">
        <v>65250.0</v>
      </c>
    </row>
    <row r="26" ht="15.75" customHeight="1">
      <c r="A26" s="1"/>
      <c r="B26" s="4" t="s">
        <v>2787</v>
      </c>
      <c r="C26" s="15" t="s">
        <v>2788</v>
      </c>
      <c r="D26" s="1"/>
      <c r="E26" s="1"/>
      <c r="F26" s="1"/>
      <c r="G26" s="2">
        <v>28000.0</v>
      </c>
    </row>
    <row r="27" ht="15.75" customHeight="1">
      <c r="A27" s="1"/>
      <c r="B27" s="4" t="s">
        <v>2789</v>
      </c>
      <c r="C27" s="15"/>
      <c r="D27" s="1"/>
      <c r="E27" s="1"/>
      <c r="F27" s="1"/>
      <c r="G27" s="2">
        <v>2000.0</v>
      </c>
      <c r="J27" s="67" t="s">
        <v>480</v>
      </c>
    </row>
    <row r="28" ht="15.75" customHeight="1">
      <c r="A28" s="1"/>
      <c r="B28" s="4" t="s">
        <v>2790</v>
      </c>
      <c r="C28" s="15"/>
      <c r="D28" s="1"/>
      <c r="E28" s="1"/>
      <c r="F28" s="1"/>
      <c r="G28" s="2">
        <v>187500.0</v>
      </c>
    </row>
    <row r="29" ht="15.75" customHeight="1">
      <c r="A29" s="1"/>
      <c r="B29" s="4" t="s">
        <v>2791</v>
      </c>
      <c r="C29" s="15"/>
      <c r="D29" s="1"/>
      <c r="E29" s="1"/>
      <c r="F29" s="1"/>
      <c r="G29" s="2">
        <v>128502.0</v>
      </c>
    </row>
    <row r="30" ht="15.75" customHeight="1">
      <c r="A30" s="1"/>
      <c r="B30" s="4" t="s">
        <v>1995</v>
      </c>
      <c r="C30" s="15"/>
      <c r="D30" s="1"/>
      <c r="E30" s="1"/>
      <c r="F30" s="1"/>
      <c r="G30" s="2">
        <v>5000.0</v>
      </c>
    </row>
    <row r="31" ht="15.75" customHeight="1">
      <c r="A31" s="1"/>
      <c r="B31" s="4" t="s">
        <v>203</v>
      </c>
      <c r="C31" s="15"/>
      <c r="D31" s="1"/>
      <c r="E31" s="1"/>
      <c r="F31" s="1"/>
      <c r="G31" s="2">
        <v>6500.0</v>
      </c>
    </row>
    <row r="32" ht="15.75" customHeight="1">
      <c r="A32" s="1"/>
      <c r="B32" s="4" t="s">
        <v>2792</v>
      </c>
      <c r="C32" s="15"/>
      <c r="D32" s="1"/>
      <c r="E32" s="1"/>
      <c r="F32" s="1"/>
      <c r="G32" s="2">
        <v>30000.0</v>
      </c>
    </row>
    <row r="33" ht="15.75" customHeight="1">
      <c r="A33" s="1"/>
      <c r="B33" s="4" t="s">
        <v>2793</v>
      </c>
      <c r="C33" s="15"/>
      <c r="D33" s="1"/>
      <c r="E33" s="1"/>
      <c r="F33" s="1"/>
      <c r="G33" s="2">
        <v>5000.0</v>
      </c>
    </row>
    <row r="34" ht="15.75" customHeight="1">
      <c r="A34" s="1"/>
      <c r="B34" s="4" t="s">
        <v>2157</v>
      </c>
      <c r="C34" s="15"/>
      <c r="D34" s="1"/>
      <c r="E34" s="1"/>
      <c r="F34" s="1"/>
      <c r="G34" s="2">
        <v>20000.0</v>
      </c>
    </row>
    <row r="35" ht="15.75" customHeight="1">
      <c r="A35" s="1"/>
      <c r="B35" s="4" t="s">
        <v>2794</v>
      </c>
      <c r="C35" s="15"/>
      <c r="D35" s="1"/>
      <c r="E35" s="1"/>
      <c r="F35" s="1"/>
      <c r="G35" s="2">
        <v>90000.0</v>
      </c>
    </row>
    <row r="36" ht="15.75" customHeight="1">
      <c r="A36" s="1"/>
      <c r="B36" s="4" t="s">
        <v>2795</v>
      </c>
      <c r="C36" s="15"/>
      <c r="D36" s="1"/>
      <c r="E36" s="1"/>
      <c r="F36" s="1"/>
      <c r="G36" s="2">
        <v>611792.0</v>
      </c>
    </row>
    <row r="37" ht="15.75" customHeight="1">
      <c r="A37" s="1"/>
      <c r="B37" s="4" t="s">
        <v>2796</v>
      </c>
      <c r="C37" s="15"/>
      <c r="D37" s="1"/>
      <c r="E37" s="1"/>
      <c r="F37" s="1"/>
      <c r="G37" s="2">
        <v>3000.0</v>
      </c>
    </row>
    <row r="38" ht="15.75" customHeight="1">
      <c r="A38" s="1"/>
      <c r="B38" s="4" t="s">
        <v>1446</v>
      </c>
      <c r="C38" s="15"/>
      <c r="D38" s="78"/>
      <c r="E38" s="1"/>
      <c r="F38" s="1"/>
      <c r="G38" s="79">
        <v>3000.0</v>
      </c>
    </row>
    <row r="39" ht="15.75" customHeight="1">
      <c r="A39" s="1"/>
      <c r="B39" s="4" t="s">
        <v>2797</v>
      </c>
      <c r="C39" s="15"/>
      <c r="D39" s="1"/>
      <c r="E39" s="1"/>
      <c r="F39" s="1"/>
      <c r="G39" s="2">
        <v>301800.0</v>
      </c>
    </row>
    <row r="40" ht="15.75" customHeight="1">
      <c r="A40" s="1"/>
      <c r="B40" s="4" t="s">
        <v>2798</v>
      </c>
      <c r="C40" s="15"/>
      <c r="D40" s="1"/>
      <c r="E40" s="1"/>
      <c r="F40" s="1"/>
      <c r="G40" s="2">
        <v>60000.0</v>
      </c>
    </row>
    <row r="41" ht="15.75" customHeight="1">
      <c r="A41" s="1"/>
      <c r="B41" s="4" t="s">
        <v>2799</v>
      </c>
      <c r="C41" s="15"/>
      <c r="D41" s="1"/>
      <c r="E41" s="1"/>
      <c r="F41" s="1"/>
      <c r="G41" s="2">
        <v>10200.0</v>
      </c>
    </row>
    <row r="42" ht="15.75" customHeight="1">
      <c r="A42" s="1"/>
      <c r="B42" s="4" t="s">
        <v>2800</v>
      </c>
      <c r="C42" s="15"/>
      <c r="D42" s="1"/>
      <c r="E42" s="1"/>
      <c r="F42" s="1"/>
      <c r="G42" s="2">
        <v>7500.0</v>
      </c>
    </row>
    <row r="43" ht="15.75" customHeight="1">
      <c r="A43" s="1"/>
      <c r="B43" s="1" t="s">
        <v>2801</v>
      </c>
      <c r="C43" s="1"/>
      <c r="D43" s="1"/>
      <c r="E43" s="1"/>
      <c r="F43" s="1"/>
      <c r="G43" s="13">
        <v>6000.0</v>
      </c>
    </row>
    <row r="44" ht="15.75" customHeight="1">
      <c r="A44" s="1"/>
      <c r="B44" s="1" t="s">
        <v>2802</v>
      </c>
      <c r="C44" s="1"/>
      <c r="D44" s="1"/>
      <c r="E44" s="1"/>
      <c r="F44" s="1"/>
      <c r="G44" s="13">
        <v>30000.0</v>
      </c>
    </row>
    <row r="45" ht="15.75" customHeight="1">
      <c r="A45" s="1"/>
      <c r="B45" s="1" t="s">
        <v>2803</v>
      </c>
      <c r="C45" s="1"/>
      <c r="D45" s="1"/>
      <c r="E45" s="1"/>
      <c r="F45" s="1"/>
      <c r="G45" s="13">
        <v>6000.0</v>
      </c>
    </row>
    <row r="46" ht="15.75" customHeight="1">
      <c r="A46" s="1"/>
      <c r="B46" s="1" t="s">
        <v>2804</v>
      </c>
      <c r="C46" s="1"/>
      <c r="D46" s="1"/>
      <c r="E46" s="1"/>
      <c r="F46" s="1"/>
      <c r="G46" s="13">
        <v>15500.0</v>
      </c>
    </row>
    <row r="47" ht="15.75" customHeight="1">
      <c r="A47" s="1"/>
      <c r="B47" s="1" t="s">
        <v>2805</v>
      </c>
      <c r="C47" s="1"/>
      <c r="D47" s="1"/>
      <c r="E47" s="1"/>
      <c r="F47" s="1"/>
      <c r="G47" s="13">
        <v>1000.0</v>
      </c>
    </row>
    <row r="48" ht="15.75" customHeight="1">
      <c r="A48" s="1"/>
      <c r="B48" s="1" t="s">
        <v>2759</v>
      </c>
      <c r="C48" s="1"/>
      <c r="D48" s="1"/>
      <c r="E48" s="1"/>
      <c r="F48" s="1"/>
      <c r="G48" s="13">
        <v>4000.0</v>
      </c>
    </row>
    <row r="49" ht="15.75" customHeight="1">
      <c r="A49" s="1"/>
      <c r="B49" s="1" t="s">
        <v>2759</v>
      </c>
      <c r="C49" s="1"/>
      <c r="D49" s="1"/>
      <c r="E49" s="1"/>
      <c r="F49" s="1"/>
      <c r="G49" s="13">
        <v>2000.0</v>
      </c>
    </row>
    <row r="50" ht="15.75" customHeight="1">
      <c r="A50" s="1"/>
      <c r="B50" s="1" t="s">
        <v>2806</v>
      </c>
      <c r="C50" s="1"/>
      <c r="D50" s="1"/>
      <c r="E50" s="1"/>
      <c r="F50" s="1"/>
      <c r="G50" s="13">
        <v>1500.0</v>
      </c>
    </row>
    <row r="51" ht="15.75" customHeight="1">
      <c r="A51" s="1"/>
      <c r="B51" s="1"/>
      <c r="C51" s="1"/>
      <c r="D51" s="1"/>
      <c r="E51" s="1"/>
      <c r="F51" s="1"/>
      <c r="G51" s="13"/>
    </row>
    <row r="52" ht="15.75" customHeight="1">
      <c r="A52" s="1"/>
      <c r="B52" s="43" t="s">
        <v>43</v>
      </c>
      <c r="C52" s="1"/>
      <c r="D52" s="1"/>
      <c r="E52" s="1"/>
      <c r="F52" s="1"/>
      <c r="G52" s="18">
        <f>SUM(G23:G50)</f>
        <v>1686346</v>
      </c>
    </row>
    <row r="53" ht="15.75" customHeight="1">
      <c r="A53" s="1"/>
      <c r="B53" s="19" t="s">
        <v>45</v>
      </c>
      <c r="C53" s="20"/>
      <c r="D53" s="20"/>
      <c r="E53" s="20"/>
      <c r="F53" s="20"/>
      <c r="G53" s="70">
        <f>SUM(G21+G52)</f>
        <v>2426346</v>
      </c>
    </row>
    <row r="54" ht="15.75" customHeight="1">
      <c r="A54" s="35" t="s">
        <v>2807</v>
      </c>
      <c r="B54" s="36"/>
      <c r="C54" s="37"/>
      <c r="D54" s="37"/>
      <c r="E54" s="37"/>
      <c r="F54" s="37"/>
      <c r="G54" s="71">
        <f>(G13-G53)</f>
        <v>847954</v>
      </c>
    </row>
    <row r="55" ht="15.75" customHeight="1">
      <c r="A55" s="35"/>
      <c r="B55" s="36"/>
      <c r="C55" s="37"/>
      <c r="D55" s="37"/>
      <c r="E55" s="37"/>
      <c r="F55" s="37"/>
      <c r="G55" s="71"/>
    </row>
    <row r="56" ht="15.75" customHeight="1">
      <c r="A56" s="22" t="s">
        <v>254</v>
      </c>
      <c r="B56" s="43" t="s">
        <v>255</v>
      </c>
      <c r="C56" s="1"/>
      <c r="D56" s="1"/>
      <c r="E56" s="1"/>
      <c r="F56" s="1"/>
      <c r="G56" s="2"/>
    </row>
    <row r="57" ht="15.75" customHeight="1">
      <c r="A57" s="44"/>
      <c r="B57" s="72" t="s">
        <v>51</v>
      </c>
      <c r="C57" s="27"/>
      <c r="D57" s="27"/>
      <c r="E57" s="27"/>
      <c r="F57" s="27"/>
      <c r="G57" s="73"/>
    </row>
    <row r="58" ht="15.75" customHeight="1">
      <c r="A58" s="44"/>
      <c r="B58" s="72"/>
      <c r="C58" s="27"/>
      <c r="D58" s="27"/>
      <c r="E58" s="27"/>
      <c r="F58" s="27"/>
      <c r="G58" s="73"/>
    </row>
    <row r="59" ht="15.75" customHeight="1">
      <c r="A59" s="44"/>
      <c r="B59" s="45" t="s">
        <v>2808</v>
      </c>
      <c r="C59" s="45"/>
      <c r="D59" s="45"/>
      <c r="E59" s="46"/>
      <c r="F59" s="46"/>
      <c r="G59" s="47">
        <f>G2+G54-G57</f>
        <v>6339089</v>
      </c>
    </row>
    <row r="60" ht="15.75" customHeight="1">
      <c r="A60" s="1"/>
      <c r="B60" s="32" t="s">
        <v>2809</v>
      </c>
    </row>
    <row r="61" ht="15.75" customHeight="1">
      <c r="A61" s="1"/>
      <c r="B61" s="1"/>
      <c r="C61" s="1" t="s">
        <v>1115</v>
      </c>
      <c r="D61" s="1"/>
      <c r="E61" s="1"/>
      <c r="F61" s="1"/>
      <c r="G61" s="2">
        <v>11300.0</v>
      </c>
    </row>
    <row r="62" ht="15.75" customHeight="1">
      <c r="A62" s="1"/>
      <c r="B62" s="1"/>
      <c r="C62" s="1" t="s">
        <v>1221</v>
      </c>
      <c r="D62" s="1"/>
      <c r="E62" s="1"/>
      <c r="F62" s="1"/>
      <c r="G62" s="2">
        <v>682800.0</v>
      </c>
    </row>
    <row r="63" ht="15.75" customHeight="1">
      <c r="A63" s="1"/>
      <c r="B63" s="1"/>
      <c r="C63" s="43" t="s">
        <v>115</v>
      </c>
      <c r="D63" s="1"/>
      <c r="E63" s="1"/>
      <c r="F63" s="1"/>
      <c r="G63" s="2">
        <v>694100.0</v>
      </c>
    </row>
    <row r="64" ht="15.75" customHeight="1">
      <c r="A64" s="1"/>
      <c r="B64" s="43" t="s">
        <v>2732</v>
      </c>
      <c r="C64" s="43"/>
      <c r="D64" s="1"/>
      <c r="E64" s="1"/>
      <c r="F64" s="1"/>
      <c r="G64" s="2"/>
    </row>
    <row r="65" ht="15.75" customHeight="1">
      <c r="A65" s="1"/>
      <c r="B65" s="43" t="s">
        <v>2771</v>
      </c>
      <c r="C65" s="43"/>
      <c r="D65" s="1"/>
      <c r="E65" s="1"/>
      <c r="F65" s="1"/>
      <c r="G65" s="1"/>
    </row>
    <row r="66" ht="15.75" customHeight="1">
      <c r="A66" s="1"/>
      <c r="B66" s="43" t="s">
        <v>2772</v>
      </c>
      <c r="C66" s="43"/>
      <c r="D66" s="1"/>
      <c r="E66" s="1"/>
      <c r="F66" s="1"/>
      <c r="G66" s="1"/>
    </row>
    <row r="67" ht="15.75" customHeight="1">
      <c r="A67" s="1"/>
      <c r="B67" s="43" t="s">
        <v>2810</v>
      </c>
      <c r="C67" s="43"/>
      <c r="D67" s="1"/>
      <c r="E67" s="1"/>
      <c r="F67" s="1"/>
      <c r="G67" s="1"/>
    </row>
    <row r="68" ht="15.75" customHeight="1">
      <c r="A68" s="1"/>
      <c r="B68" s="43" t="s">
        <v>2811</v>
      </c>
      <c r="C68" s="43"/>
      <c r="D68" s="1"/>
      <c r="E68" s="1"/>
      <c r="F68" s="1"/>
      <c r="G68" s="1"/>
    </row>
    <row r="69" ht="15.75" customHeight="1">
      <c r="A69" s="1"/>
      <c r="B69" s="43"/>
      <c r="C69" s="43"/>
      <c r="D69" s="1"/>
      <c r="E69" s="1"/>
      <c r="F69" s="1"/>
      <c r="G69" s="1"/>
    </row>
    <row r="70" ht="15.75" customHeight="1">
      <c r="A70" s="1"/>
      <c r="B70" s="43" t="s">
        <v>2812</v>
      </c>
      <c r="C70" s="43"/>
      <c r="D70" s="1"/>
      <c r="E70" s="1"/>
      <c r="F70" s="1"/>
      <c r="G70" s="1"/>
    </row>
    <row r="71" ht="15.75" customHeight="1">
      <c r="A71" s="1"/>
      <c r="B71" s="43"/>
      <c r="C71" s="43"/>
      <c r="D71" s="1"/>
      <c r="E71" s="1"/>
      <c r="F71" s="1"/>
      <c r="G71" s="1"/>
    </row>
    <row r="72" ht="15.75" customHeight="1">
      <c r="A72" s="1"/>
      <c r="B72" s="33" t="s">
        <v>2813</v>
      </c>
      <c r="C72" s="1"/>
      <c r="D72" s="1"/>
      <c r="E72" s="1"/>
      <c r="F72" s="1"/>
      <c r="G72" s="2"/>
    </row>
    <row r="73" ht="15.75" customHeight="1">
      <c r="A73" s="1"/>
      <c r="B73" s="55" t="s">
        <v>531</v>
      </c>
      <c r="C73" s="56"/>
      <c r="D73" s="56"/>
      <c r="E73" s="56"/>
      <c r="F73" s="1" t="s">
        <v>2686</v>
      </c>
      <c r="G73" s="55"/>
    </row>
    <row r="74" ht="15.75" customHeight="1">
      <c r="A74" s="1"/>
      <c r="B74" s="55"/>
      <c r="C74" s="56"/>
      <c r="D74" s="56"/>
      <c r="E74" s="56"/>
      <c r="F74" s="1"/>
      <c r="G74" s="55"/>
    </row>
    <row r="75" ht="15.75" customHeight="1">
      <c r="A75" s="1"/>
      <c r="B75" s="55"/>
      <c r="C75" s="56"/>
      <c r="D75" s="56"/>
      <c r="E75" s="56"/>
      <c r="F75" s="1"/>
      <c r="G75" s="55"/>
    </row>
    <row r="76" ht="15.75" customHeight="1">
      <c r="A76" s="1"/>
      <c r="B76" s="55" t="s">
        <v>2814</v>
      </c>
      <c r="C76" s="56"/>
      <c r="D76" s="56"/>
      <c r="E76" s="56"/>
      <c r="F76" s="1" t="s">
        <v>2688</v>
      </c>
      <c r="G76" s="55"/>
    </row>
    <row r="77" ht="15.75" customHeight="1">
      <c r="A77" s="1"/>
      <c r="B77" s="55"/>
      <c r="C77" s="56"/>
      <c r="D77" s="56"/>
      <c r="E77" s="56"/>
      <c r="F77" s="1"/>
      <c r="G77" s="55"/>
    </row>
    <row r="78" ht="15.75" customHeight="1">
      <c r="A78" s="1"/>
      <c r="B78" s="55"/>
      <c r="C78" s="56"/>
      <c r="D78" s="56"/>
      <c r="E78" s="56"/>
      <c r="F78" s="1"/>
      <c r="G78" s="55"/>
    </row>
    <row r="79" ht="15.75" customHeight="1">
      <c r="A79" s="1"/>
      <c r="B79" s="55"/>
      <c r="C79" s="56"/>
      <c r="D79" s="56"/>
      <c r="E79" s="56"/>
      <c r="F79" s="1"/>
      <c r="G79" s="55"/>
    </row>
    <row r="80" ht="15.75" customHeight="1">
      <c r="A80" s="1"/>
      <c r="B80" s="55" t="s">
        <v>533</v>
      </c>
      <c r="F80" s="1" t="s">
        <v>2689</v>
      </c>
      <c r="G80" s="55"/>
    </row>
    <row r="81" ht="15.75" customHeight="1">
      <c r="A81" s="1"/>
      <c r="B81" s="55"/>
      <c r="C81" s="55"/>
      <c r="D81" s="55"/>
      <c r="E81" s="55"/>
      <c r="F81" s="1"/>
      <c r="G81" s="55"/>
    </row>
    <row r="82" ht="15.75" customHeight="1">
      <c r="A82" s="1"/>
      <c r="B82" s="55"/>
      <c r="C82" s="55"/>
      <c r="D82" s="55"/>
      <c r="E82" s="55"/>
      <c r="F82" s="1"/>
      <c r="G82" s="55"/>
    </row>
    <row r="83" ht="15.75" customHeight="1">
      <c r="A83" s="1"/>
      <c r="B83" s="55" t="s">
        <v>2738</v>
      </c>
      <c r="C83" s="55"/>
      <c r="D83" s="55"/>
      <c r="E83" s="55"/>
      <c r="F83" s="1"/>
      <c r="G83" s="2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2:D12"/>
    <mergeCell ref="B13:F13"/>
    <mergeCell ref="B60:G60"/>
    <mergeCell ref="B80:E80"/>
  </mergeCells>
  <printOptions/>
  <pageMargins bottom="0.75" footer="0.0" header="0.0" left="0.7" right="0.7" top="0.7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4.71"/>
    <col customWidth="1" min="8" max="26" width="10.71"/>
  </cols>
  <sheetData>
    <row r="1">
      <c r="A1" s="1" t="s">
        <v>721</v>
      </c>
      <c r="B1" s="3" t="s">
        <v>2815</v>
      </c>
      <c r="C1" s="1"/>
      <c r="D1" s="1"/>
      <c r="E1" s="1"/>
      <c r="F1" s="1"/>
      <c r="G1" s="2"/>
    </row>
    <row r="2" ht="22.5" customHeight="1">
      <c r="A2" s="1"/>
      <c r="B2" s="75" t="s">
        <v>2816</v>
      </c>
      <c r="G2" s="47">
        <v>6339089.0</v>
      </c>
    </row>
    <row r="3">
      <c r="A3" s="1"/>
      <c r="G3" s="2"/>
    </row>
    <row r="4">
      <c r="A4" s="6" t="s">
        <v>2817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275200.0</v>
      </c>
      <c r="G5" s="7">
        <v>40000.0</v>
      </c>
    </row>
    <row r="6">
      <c r="A6" s="1"/>
      <c r="B6" s="4" t="s">
        <v>64</v>
      </c>
      <c r="C6" s="1"/>
      <c r="D6" s="1"/>
      <c r="E6" s="1"/>
      <c r="F6" s="2">
        <v>517800.0</v>
      </c>
      <c r="G6" s="7">
        <v>79000.0</v>
      </c>
    </row>
    <row r="7">
      <c r="A7" s="1"/>
      <c r="B7" s="4" t="s">
        <v>65</v>
      </c>
      <c r="C7" s="1"/>
      <c r="D7" s="1"/>
      <c r="E7" s="1"/>
      <c r="F7" s="2">
        <v>635200.0</v>
      </c>
      <c r="G7" s="7">
        <v>133000.0</v>
      </c>
    </row>
    <row r="8">
      <c r="A8" s="1"/>
      <c r="B8" s="4" t="s">
        <v>66</v>
      </c>
      <c r="C8" s="1"/>
      <c r="D8" s="1"/>
      <c r="E8" s="1"/>
      <c r="F8" s="2">
        <v>643200.0</v>
      </c>
      <c r="G8" s="76">
        <v>203000.0</v>
      </c>
    </row>
    <row r="9">
      <c r="A9" s="1"/>
      <c r="B9" s="4" t="s">
        <v>2818</v>
      </c>
      <c r="C9" s="1"/>
      <c r="D9" s="49"/>
      <c r="E9" s="49"/>
      <c r="F9" s="7">
        <v>277000.0</v>
      </c>
      <c r="G9" s="7" t="s">
        <v>480</v>
      </c>
    </row>
    <row r="10">
      <c r="A10" s="1"/>
      <c r="B10" s="4" t="s">
        <v>2819</v>
      </c>
      <c r="C10" s="1"/>
      <c r="D10" s="49"/>
      <c r="E10" s="49"/>
      <c r="F10" s="7">
        <v>503000.0</v>
      </c>
      <c r="G10" s="7"/>
    </row>
    <row r="11">
      <c r="A11" s="1"/>
      <c r="B11" s="4"/>
      <c r="C11" s="50" t="s">
        <v>405</v>
      </c>
      <c r="E11" s="4"/>
      <c r="F11" s="2">
        <f>SUM(F5:F10)</f>
        <v>2851400</v>
      </c>
      <c r="G11" s="7">
        <f>SUM(G5:G8)</f>
        <v>455000</v>
      </c>
    </row>
    <row r="12">
      <c r="A12" s="1"/>
      <c r="B12" s="51" t="s">
        <v>9</v>
      </c>
      <c r="C12" s="52"/>
      <c r="D12" s="52"/>
      <c r="E12" s="52"/>
      <c r="F12" s="53"/>
      <c r="G12" s="68">
        <f>SUM(F11:G11)</f>
        <v>3306400</v>
      </c>
    </row>
    <row r="13">
      <c r="A13" s="6" t="s">
        <v>2820</v>
      </c>
      <c r="B13" s="1"/>
      <c r="C13" s="1"/>
      <c r="D13" s="1"/>
      <c r="E13" s="1"/>
      <c r="F13" s="1"/>
      <c r="G13" s="2"/>
    </row>
    <row r="14">
      <c r="A14" s="1"/>
      <c r="B14" s="12" t="s">
        <v>11</v>
      </c>
      <c r="C14" s="1"/>
      <c r="D14" s="1"/>
      <c r="E14" s="1"/>
      <c r="F14" s="1"/>
      <c r="G14" s="2"/>
    </row>
    <row r="15">
      <c r="A15" s="1"/>
      <c r="B15" s="4" t="s">
        <v>2745</v>
      </c>
      <c r="C15" s="1"/>
      <c r="D15" s="1"/>
      <c r="E15" s="1"/>
      <c r="F15" s="1"/>
      <c r="G15" s="77">
        <v>240000.0</v>
      </c>
    </row>
    <row r="16">
      <c r="A16" s="1"/>
      <c r="B16" s="4" t="s">
        <v>13</v>
      </c>
      <c r="C16" s="1"/>
      <c r="D16" s="1"/>
      <c r="E16" s="1"/>
      <c r="F16" s="1"/>
      <c r="G16" s="13">
        <v>150000.0</v>
      </c>
    </row>
    <row r="17">
      <c r="A17" s="1"/>
      <c r="B17" s="4" t="s">
        <v>14</v>
      </c>
      <c r="C17" s="1"/>
      <c r="D17" s="1"/>
      <c r="E17" s="1"/>
      <c r="F17" s="1"/>
      <c r="G17" s="13">
        <v>150000.0</v>
      </c>
    </row>
    <row r="18">
      <c r="A18" s="1"/>
      <c r="B18" s="4" t="s">
        <v>16</v>
      </c>
      <c r="C18" s="1"/>
      <c r="D18" s="1"/>
      <c r="E18" s="1"/>
      <c r="F18" s="1"/>
      <c r="G18" s="77">
        <v>100000.0</v>
      </c>
    </row>
    <row r="19">
      <c r="A19" s="1"/>
      <c r="B19" s="4" t="s">
        <v>2746</v>
      </c>
      <c r="C19" s="1"/>
      <c r="D19" s="1"/>
      <c r="E19" s="1"/>
      <c r="F19" s="1"/>
      <c r="G19" s="77">
        <v>100000.0</v>
      </c>
    </row>
    <row r="20">
      <c r="A20" s="1"/>
      <c r="B20" s="9" t="s">
        <v>18</v>
      </c>
      <c r="C20" s="10"/>
      <c r="D20" s="10"/>
      <c r="E20" s="10"/>
      <c r="F20" s="10"/>
      <c r="G20" s="69">
        <f>SUM(G15:G19)</f>
        <v>740000</v>
      </c>
    </row>
    <row r="21" ht="15.75" customHeight="1">
      <c r="A21" s="1"/>
      <c r="B21" s="12" t="s">
        <v>19</v>
      </c>
      <c r="C21" s="15"/>
      <c r="D21" s="1"/>
      <c r="E21" s="1"/>
      <c r="F21" s="1"/>
      <c r="G21" s="2"/>
    </row>
    <row r="22" ht="15.75" customHeight="1">
      <c r="A22" s="1"/>
      <c r="B22" s="4" t="s">
        <v>2821</v>
      </c>
      <c r="C22" s="15"/>
      <c r="D22" s="1"/>
      <c r="E22" s="1"/>
      <c r="F22" s="1"/>
      <c r="G22" s="2">
        <v>65250.0</v>
      </c>
    </row>
    <row r="23" ht="15.75" customHeight="1">
      <c r="A23" s="1"/>
      <c r="B23" s="4" t="s">
        <v>2822</v>
      </c>
      <c r="C23" s="15"/>
      <c r="D23" s="1"/>
      <c r="E23" s="1"/>
      <c r="F23" s="1"/>
      <c r="G23" s="2">
        <v>100000.0</v>
      </c>
    </row>
    <row r="24" ht="15.75" customHeight="1">
      <c r="A24" s="1"/>
      <c r="B24" s="4" t="s">
        <v>2823</v>
      </c>
      <c r="C24" s="15"/>
      <c r="D24" s="1"/>
      <c r="E24" s="1"/>
      <c r="F24" s="1"/>
      <c r="G24" s="2">
        <v>59400.0</v>
      </c>
    </row>
    <row r="25" ht="15.75" customHeight="1">
      <c r="A25" s="1"/>
      <c r="B25" s="4" t="s">
        <v>2824</v>
      </c>
      <c r="C25" s="15" t="s">
        <v>2788</v>
      </c>
      <c r="D25" s="1"/>
      <c r="E25" s="1"/>
      <c r="F25" s="1"/>
      <c r="G25" s="2">
        <v>22000.0</v>
      </c>
    </row>
    <row r="26" ht="15.75" customHeight="1">
      <c r="A26" s="1"/>
      <c r="B26" s="4" t="s">
        <v>2825</v>
      </c>
      <c r="C26" s="15"/>
      <c r="D26" s="1"/>
      <c r="E26" s="1"/>
      <c r="F26" s="1"/>
      <c r="G26" s="2">
        <v>4312.0</v>
      </c>
    </row>
    <row r="27" ht="15.75" customHeight="1">
      <c r="A27" s="1"/>
      <c r="B27" s="4" t="s">
        <v>2826</v>
      </c>
      <c r="C27" s="15"/>
      <c r="D27" s="1"/>
      <c r="E27" s="1"/>
      <c r="F27" s="1"/>
      <c r="G27" s="2">
        <v>40000.0</v>
      </c>
    </row>
    <row r="28" ht="15.75" customHeight="1">
      <c r="A28" s="1"/>
      <c r="B28" s="4" t="s">
        <v>2827</v>
      </c>
      <c r="C28" s="15"/>
      <c r="D28" s="1"/>
      <c r="E28" s="1"/>
      <c r="F28" s="1"/>
      <c r="G28" s="2">
        <v>10000.0</v>
      </c>
    </row>
    <row r="29" ht="15.75" customHeight="1">
      <c r="A29" s="1"/>
      <c r="B29" s="4" t="s">
        <v>1536</v>
      </c>
      <c r="C29" s="15"/>
      <c r="D29" s="1"/>
      <c r="E29" s="1"/>
      <c r="F29" s="1"/>
      <c r="G29" s="2">
        <v>5000.0</v>
      </c>
    </row>
    <row r="30" ht="15.75" customHeight="1">
      <c r="A30" s="1"/>
      <c r="B30" s="4" t="s">
        <v>2828</v>
      </c>
      <c r="C30" s="15"/>
      <c r="D30" s="1"/>
      <c r="E30" s="1"/>
      <c r="F30" s="1"/>
      <c r="G30" s="2">
        <v>125000.0</v>
      </c>
    </row>
    <row r="31" ht="15.75" customHeight="1">
      <c r="A31" s="1"/>
      <c r="B31" s="4" t="s">
        <v>2829</v>
      </c>
      <c r="C31" s="15"/>
      <c r="D31" s="1"/>
      <c r="E31" s="1"/>
      <c r="F31" s="1"/>
      <c r="G31" s="2">
        <v>60000.0</v>
      </c>
    </row>
    <row r="32" ht="15.75" customHeight="1">
      <c r="A32" s="1"/>
      <c r="B32" s="4" t="s">
        <v>463</v>
      </c>
      <c r="C32" s="15"/>
      <c r="D32" s="1"/>
      <c r="E32" s="1"/>
      <c r="F32" s="1"/>
      <c r="G32" s="2">
        <v>10000.0</v>
      </c>
    </row>
    <row r="33" ht="15.75" customHeight="1">
      <c r="A33" s="1"/>
      <c r="B33" s="4" t="s">
        <v>2830</v>
      </c>
      <c r="C33" s="15"/>
      <c r="D33" s="1"/>
      <c r="E33" s="1"/>
      <c r="F33" s="1"/>
      <c r="G33" s="2">
        <v>10000.0</v>
      </c>
    </row>
    <row r="34" ht="15.75" customHeight="1">
      <c r="A34" s="1"/>
      <c r="B34" s="4" t="s">
        <v>2831</v>
      </c>
      <c r="C34" s="15"/>
      <c r="D34" s="1"/>
      <c r="E34" s="1"/>
      <c r="F34" s="1"/>
      <c r="G34" s="2">
        <v>30000.0</v>
      </c>
    </row>
    <row r="35" ht="15.75" customHeight="1">
      <c r="A35" s="1"/>
      <c r="B35" s="4" t="s">
        <v>2302</v>
      </c>
      <c r="C35" s="15"/>
      <c r="D35" s="1"/>
      <c r="E35" s="1"/>
      <c r="F35" s="1"/>
      <c r="G35" s="2">
        <v>120000.0</v>
      </c>
    </row>
    <row r="36" ht="15.75" customHeight="1">
      <c r="A36" s="1"/>
      <c r="B36" s="4" t="s">
        <v>2832</v>
      </c>
      <c r="C36" s="15"/>
      <c r="D36" s="1"/>
      <c r="E36" s="1"/>
      <c r="F36" s="1"/>
      <c r="G36" s="2">
        <v>3500.0</v>
      </c>
    </row>
    <row r="37" ht="15.75" customHeight="1">
      <c r="A37" s="1"/>
      <c r="B37" s="4" t="s">
        <v>2833</v>
      </c>
      <c r="C37" s="15"/>
      <c r="D37" s="78"/>
      <c r="E37" s="1"/>
      <c r="F37" s="1"/>
      <c r="G37" s="79">
        <v>56000.0</v>
      </c>
    </row>
    <row r="38" ht="15.75" customHeight="1">
      <c r="A38" s="1"/>
      <c r="B38" s="4" t="s">
        <v>2834</v>
      </c>
      <c r="C38" s="15"/>
      <c r="D38" s="78"/>
      <c r="E38" s="1"/>
      <c r="F38" s="1"/>
      <c r="G38" s="79">
        <v>168410.0</v>
      </c>
    </row>
    <row r="39" ht="15.75" customHeight="1">
      <c r="A39" s="1"/>
      <c r="B39" s="4" t="s">
        <v>2835</v>
      </c>
      <c r="C39" s="15"/>
      <c r="D39" s="1"/>
      <c r="E39" s="1"/>
      <c r="F39" s="1"/>
      <c r="G39" s="2">
        <v>1800.0</v>
      </c>
    </row>
    <row r="40" ht="15.75" customHeight="1">
      <c r="A40" s="1"/>
      <c r="B40" s="43" t="s">
        <v>43</v>
      </c>
      <c r="C40" s="1"/>
      <c r="D40" s="1"/>
      <c r="E40" s="1"/>
      <c r="F40" s="1"/>
      <c r="G40" s="18">
        <f>SUM(G22:G39)</f>
        <v>890672</v>
      </c>
    </row>
    <row r="41" ht="15.75" customHeight="1">
      <c r="A41" s="1"/>
      <c r="B41" s="19" t="s">
        <v>45</v>
      </c>
      <c r="C41" s="20"/>
      <c r="D41" s="20"/>
      <c r="E41" s="20"/>
      <c r="F41" s="20"/>
      <c r="G41" s="70">
        <f>SUM(G20+G40)</f>
        <v>1630672</v>
      </c>
    </row>
    <row r="42" ht="15.75" customHeight="1">
      <c r="A42" s="35" t="s">
        <v>2836</v>
      </c>
      <c r="B42" s="36"/>
      <c r="C42" s="37"/>
      <c r="D42" s="37"/>
      <c r="E42" s="37"/>
      <c r="F42" s="37"/>
      <c r="G42" s="71">
        <f>(G12-G41)</f>
        <v>1675728</v>
      </c>
    </row>
    <row r="43" ht="15.75" customHeight="1">
      <c r="A43" s="35"/>
      <c r="B43" s="36"/>
      <c r="C43" s="37"/>
      <c r="D43" s="37"/>
      <c r="E43" s="37"/>
      <c r="F43" s="37"/>
      <c r="G43" s="71"/>
    </row>
    <row r="44" ht="15.75" customHeight="1">
      <c r="A44" s="22" t="s">
        <v>254</v>
      </c>
      <c r="B44" s="43" t="s">
        <v>255</v>
      </c>
      <c r="C44" s="1"/>
      <c r="D44" s="1"/>
      <c r="E44" s="1"/>
      <c r="F44" s="1"/>
      <c r="G44" s="2"/>
    </row>
    <row r="45" ht="15.75" customHeight="1">
      <c r="A45" s="22"/>
      <c r="B45" s="4" t="s">
        <v>2837</v>
      </c>
      <c r="C45" s="1"/>
      <c r="D45" s="1"/>
      <c r="E45" s="1"/>
      <c r="F45" s="1"/>
      <c r="G45" s="2">
        <v>2000000.0</v>
      </c>
    </row>
    <row r="46" ht="15.75" customHeight="1">
      <c r="A46" s="44"/>
      <c r="B46" s="72" t="s">
        <v>51</v>
      </c>
      <c r="C46" s="27"/>
      <c r="D46" s="27"/>
      <c r="E46" s="27"/>
      <c r="F46" s="27"/>
      <c r="G46" s="81">
        <f>SUM(G45)</f>
        <v>2000000</v>
      </c>
      <c r="I46" s="67" t="s">
        <v>480</v>
      </c>
    </row>
    <row r="47" ht="15.75" customHeight="1">
      <c r="A47" s="44"/>
      <c r="B47" s="4"/>
      <c r="C47" s="15"/>
      <c r="D47" s="1"/>
      <c r="E47" s="1"/>
      <c r="F47" s="1"/>
    </row>
    <row r="48" ht="15.75" customHeight="1">
      <c r="A48" s="44"/>
      <c r="B48" s="45" t="s">
        <v>2838</v>
      </c>
      <c r="C48" s="45"/>
      <c r="D48" s="45"/>
      <c r="E48" s="46"/>
      <c r="F48" s="46"/>
      <c r="G48" s="47">
        <f>G2+G42-G46</f>
        <v>6014817</v>
      </c>
    </row>
    <row r="49" ht="15.75" customHeight="1">
      <c r="A49" s="1"/>
      <c r="B49" s="32" t="s">
        <v>2839</v>
      </c>
    </row>
    <row r="50" ht="15.75" customHeight="1">
      <c r="A50" s="1"/>
      <c r="B50" s="1"/>
      <c r="C50" s="1" t="s">
        <v>1115</v>
      </c>
      <c r="D50" s="1"/>
      <c r="E50" s="1"/>
      <c r="F50" s="1"/>
      <c r="G50" s="2">
        <v>27600.0</v>
      </c>
    </row>
    <row r="51" ht="15.75" customHeight="1">
      <c r="A51" s="1"/>
      <c r="B51" s="1"/>
      <c r="C51" s="1" t="s">
        <v>1221</v>
      </c>
      <c r="D51" s="1"/>
      <c r="E51" s="1"/>
      <c r="F51" s="1"/>
      <c r="G51" s="2">
        <v>732100.0</v>
      </c>
    </row>
    <row r="52" ht="15.75" customHeight="1">
      <c r="A52" s="1"/>
      <c r="B52" s="1"/>
      <c r="C52" s="43" t="s">
        <v>115</v>
      </c>
      <c r="D52" s="1"/>
      <c r="E52" s="1"/>
      <c r="F52" s="1"/>
      <c r="G52" s="2">
        <f>G50+G51</f>
        <v>759700</v>
      </c>
    </row>
    <row r="53" ht="15.75" customHeight="1">
      <c r="A53" s="1"/>
      <c r="B53" s="43" t="s">
        <v>2840</v>
      </c>
      <c r="C53" s="43"/>
      <c r="D53" s="1"/>
      <c r="E53" s="1"/>
      <c r="F53" s="1"/>
      <c r="G53" s="2"/>
    </row>
    <row r="54" ht="15.75" customHeight="1">
      <c r="A54" s="1"/>
      <c r="B54" s="43" t="s">
        <v>2771</v>
      </c>
      <c r="C54" s="43"/>
      <c r="D54" s="1"/>
      <c r="E54" s="1"/>
      <c r="F54" s="1"/>
      <c r="G54" s="1"/>
    </row>
    <row r="55" ht="15.75" customHeight="1">
      <c r="A55" s="1"/>
      <c r="B55" s="43" t="s">
        <v>2841</v>
      </c>
      <c r="C55" s="43"/>
      <c r="D55" s="1"/>
      <c r="E55" s="1"/>
      <c r="F55" s="1"/>
      <c r="G55" s="1"/>
    </row>
    <row r="56" ht="15.75" customHeight="1">
      <c r="A56" s="1"/>
      <c r="B56" s="43" t="s">
        <v>2842</v>
      </c>
      <c r="C56" s="43"/>
      <c r="D56" s="1"/>
      <c r="E56" s="1"/>
      <c r="F56" s="1"/>
      <c r="G56" s="1"/>
    </row>
    <row r="57" ht="15.75" customHeight="1">
      <c r="A57" s="1"/>
      <c r="B57" s="43" t="s">
        <v>2811</v>
      </c>
      <c r="C57" s="43"/>
      <c r="D57" s="1"/>
      <c r="E57" s="1"/>
      <c r="F57" s="1"/>
      <c r="G57" s="1"/>
    </row>
    <row r="58" ht="15.75" customHeight="1">
      <c r="A58" s="1"/>
      <c r="B58" s="43"/>
      <c r="C58" s="43"/>
      <c r="D58" s="1"/>
      <c r="E58" s="1"/>
      <c r="F58" s="1"/>
      <c r="G58" s="1"/>
    </row>
    <row r="59" ht="15.75" customHeight="1">
      <c r="A59" s="1"/>
      <c r="B59" s="43" t="s">
        <v>2843</v>
      </c>
      <c r="C59" s="43"/>
      <c r="D59" s="2"/>
      <c r="E59" s="1"/>
      <c r="F59" s="1"/>
      <c r="G59" s="1"/>
    </row>
    <row r="60" ht="15.75" customHeight="1">
      <c r="A60" s="1"/>
      <c r="B60" s="43"/>
      <c r="C60" s="43"/>
      <c r="D60" s="1"/>
      <c r="E60" s="1"/>
      <c r="F60" s="1"/>
      <c r="G60" s="1"/>
    </row>
    <row r="61" ht="15.75" customHeight="1">
      <c r="A61" s="1"/>
      <c r="B61" s="33" t="s">
        <v>2844</v>
      </c>
      <c r="C61" s="1"/>
      <c r="D61" s="1"/>
      <c r="E61" s="1"/>
      <c r="F61" s="1"/>
      <c r="G61" s="2"/>
    </row>
    <row r="62" ht="15.75" customHeight="1">
      <c r="A62" s="1"/>
      <c r="B62" s="55" t="s">
        <v>531</v>
      </c>
      <c r="C62" s="56"/>
      <c r="D62" s="56"/>
      <c r="E62" s="56"/>
      <c r="F62" s="1" t="s">
        <v>2686</v>
      </c>
      <c r="G62" s="55"/>
    </row>
    <row r="63" ht="15.75" customHeight="1">
      <c r="A63" s="1"/>
      <c r="B63" s="55"/>
      <c r="C63" s="56"/>
      <c r="D63" s="56"/>
      <c r="E63" s="56"/>
      <c r="F63" s="1"/>
      <c r="G63" s="55"/>
    </row>
    <row r="64" ht="15.75" customHeight="1">
      <c r="A64" s="1"/>
      <c r="B64" s="55"/>
      <c r="C64" s="56"/>
      <c r="D64" s="56"/>
      <c r="E64" s="56"/>
      <c r="F64" s="1"/>
      <c r="G64" s="55"/>
    </row>
    <row r="65" ht="15.75" customHeight="1">
      <c r="A65" s="1"/>
      <c r="B65" s="55" t="s">
        <v>2845</v>
      </c>
      <c r="C65" s="56"/>
      <c r="D65" s="56"/>
      <c r="E65" s="56"/>
      <c r="F65" s="1" t="s">
        <v>2688</v>
      </c>
      <c r="G65" s="55"/>
    </row>
    <row r="66" ht="15.75" customHeight="1">
      <c r="A66" s="1"/>
      <c r="B66" s="55"/>
      <c r="C66" s="56"/>
      <c r="D66" s="56"/>
      <c r="E66" s="56"/>
      <c r="F66" s="1"/>
      <c r="G66" s="55"/>
    </row>
    <row r="67" ht="15.75" customHeight="1">
      <c r="A67" s="1"/>
      <c r="B67" s="55"/>
      <c r="C67" s="56"/>
      <c r="D67" s="56"/>
      <c r="E67" s="56"/>
      <c r="F67" s="1"/>
      <c r="G67" s="55"/>
    </row>
    <row r="68" ht="15.75" customHeight="1">
      <c r="A68" s="1"/>
      <c r="B68" s="55"/>
      <c r="C68" s="56"/>
      <c r="D68" s="56"/>
      <c r="E68" s="56"/>
      <c r="F68" s="1"/>
      <c r="G68" s="55"/>
    </row>
    <row r="69" ht="15.75" customHeight="1">
      <c r="A69" s="1"/>
      <c r="B69" s="55" t="s">
        <v>533</v>
      </c>
      <c r="F69" s="1" t="s">
        <v>2689</v>
      </c>
      <c r="G69" s="55"/>
    </row>
    <row r="70" ht="15.75" customHeight="1">
      <c r="A70" s="1"/>
      <c r="B70" s="55"/>
      <c r="C70" s="55"/>
      <c r="D70" s="55"/>
      <c r="E70" s="55"/>
      <c r="F70" s="1"/>
      <c r="G70" s="55"/>
    </row>
    <row r="71" ht="15.75" customHeight="1">
      <c r="A71" s="1"/>
      <c r="B71" s="55"/>
      <c r="C71" s="55"/>
      <c r="D71" s="55"/>
      <c r="E71" s="55"/>
      <c r="F71" s="1"/>
      <c r="G71" s="55"/>
    </row>
    <row r="72" ht="15.75" customHeight="1">
      <c r="A72" s="1"/>
      <c r="B72" s="55" t="s">
        <v>2738</v>
      </c>
      <c r="C72" s="55"/>
      <c r="D72" s="55"/>
      <c r="E72" s="55"/>
      <c r="F72" s="1"/>
      <c r="G72" s="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A78" s="1"/>
      <c r="B78" s="55"/>
      <c r="C78" s="56"/>
      <c r="D78" s="56"/>
      <c r="E78" s="56"/>
      <c r="F78" s="1"/>
      <c r="G78" s="55"/>
    </row>
    <row r="79" ht="15.75" customHeight="1">
      <c r="A79" s="1"/>
      <c r="B79" s="55"/>
      <c r="C79" s="56"/>
      <c r="D79" s="56"/>
      <c r="E79" s="56"/>
      <c r="F79" s="1"/>
      <c r="G79" s="55"/>
    </row>
    <row r="80" ht="15.75" customHeight="1">
      <c r="A80" s="1"/>
      <c r="B80" s="55"/>
      <c r="F80" s="1"/>
      <c r="G80" s="55"/>
    </row>
    <row r="81" ht="15.75" customHeight="1">
      <c r="A81" s="1"/>
      <c r="B81" s="55"/>
      <c r="C81" s="55"/>
      <c r="D81" s="55"/>
      <c r="E81" s="55"/>
      <c r="F81" s="1"/>
      <c r="G81" s="55"/>
    </row>
    <row r="82" ht="15.75" customHeight="1">
      <c r="A82" s="1"/>
      <c r="B82" s="55"/>
      <c r="C82" s="55"/>
      <c r="D82" s="55"/>
      <c r="E82" s="55"/>
      <c r="F82" s="1"/>
      <c r="G82" s="55"/>
    </row>
    <row r="83" ht="15.75" customHeight="1">
      <c r="A83" s="1"/>
      <c r="B83" s="55"/>
      <c r="C83" s="55"/>
      <c r="D83" s="55"/>
      <c r="E83" s="55"/>
      <c r="F83" s="1"/>
      <c r="G83" s="2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F3"/>
    <mergeCell ref="C11:D11"/>
    <mergeCell ref="B12:F12"/>
    <mergeCell ref="B49:G49"/>
    <mergeCell ref="B69:E69"/>
    <mergeCell ref="B80:E80"/>
  </mergeCells>
  <printOptions/>
  <pageMargins bottom="0.75" footer="0.0" header="0.0" left="0.7" right="0.7" top="0.7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9.43"/>
    <col customWidth="1" min="8" max="26" width="10.71"/>
  </cols>
  <sheetData>
    <row r="1">
      <c r="A1" s="1" t="s">
        <v>721</v>
      </c>
      <c r="B1" s="3" t="s">
        <v>2846</v>
      </c>
      <c r="C1" s="1"/>
      <c r="D1" s="1"/>
      <c r="E1" s="1"/>
      <c r="F1" s="1"/>
      <c r="G1" s="2"/>
    </row>
    <row r="2" ht="22.5" customHeight="1">
      <c r="A2" s="1"/>
      <c r="B2" s="75" t="s">
        <v>2847</v>
      </c>
      <c r="G2" s="47">
        <v>6077227.0</v>
      </c>
    </row>
    <row r="3">
      <c r="A3" s="1"/>
      <c r="G3" s="2"/>
    </row>
    <row r="4">
      <c r="A4" s="6" t="s">
        <v>2848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808500.0</v>
      </c>
      <c r="G5" s="7">
        <v>197000.0</v>
      </c>
    </row>
    <row r="6">
      <c r="A6" s="1"/>
      <c r="B6" s="4" t="s">
        <v>64</v>
      </c>
      <c r="C6" s="1"/>
      <c r="D6" s="1"/>
      <c r="E6" s="1"/>
      <c r="F6" s="2">
        <v>851649.0</v>
      </c>
      <c r="G6" s="7">
        <v>243000.0</v>
      </c>
    </row>
    <row r="7">
      <c r="A7" s="1"/>
      <c r="B7" s="4" t="s">
        <v>65</v>
      </c>
      <c r="C7" s="1"/>
      <c r="D7" s="1"/>
      <c r="E7" s="1"/>
      <c r="F7" s="2">
        <v>383000.0</v>
      </c>
      <c r="G7" s="7">
        <v>76000.0</v>
      </c>
    </row>
    <row r="8">
      <c r="A8" s="1"/>
      <c r="B8" s="4" t="s">
        <v>66</v>
      </c>
      <c r="C8" s="1"/>
      <c r="D8" s="1"/>
      <c r="E8" s="1"/>
      <c r="F8" s="2">
        <v>511600.0</v>
      </c>
      <c r="G8" s="76">
        <v>409000.0</v>
      </c>
    </row>
    <row r="9">
      <c r="A9" s="1"/>
      <c r="B9" s="4" t="s">
        <v>2849</v>
      </c>
      <c r="C9" s="1"/>
      <c r="D9" s="49"/>
      <c r="E9" s="49"/>
      <c r="F9" s="7">
        <v>261000.0</v>
      </c>
      <c r="G9" s="7" t="s">
        <v>480</v>
      </c>
    </row>
    <row r="10">
      <c r="A10" s="1"/>
      <c r="B10" s="4" t="s">
        <v>2850</v>
      </c>
      <c r="C10" s="1"/>
      <c r="D10" s="49"/>
      <c r="E10" s="49"/>
      <c r="F10" s="7">
        <v>361000.0</v>
      </c>
      <c r="G10" s="7"/>
    </row>
    <row r="11">
      <c r="A11" s="1"/>
      <c r="B11" s="4"/>
      <c r="C11" s="50" t="s">
        <v>405</v>
      </c>
      <c r="E11" s="4"/>
      <c r="F11" s="2">
        <f>SUM(F5:F10)</f>
        <v>3176749</v>
      </c>
      <c r="G11" s="7">
        <f>SUM(G5:G8)</f>
        <v>925000</v>
      </c>
    </row>
    <row r="12">
      <c r="A12" s="1"/>
      <c r="B12" s="51" t="s">
        <v>9</v>
      </c>
      <c r="C12" s="52"/>
      <c r="D12" s="52"/>
      <c r="E12" s="52"/>
      <c r="F12" s="53"/>
      <c r="G12" s="68">
        <f>SUM(F11:G11)</f>
        <v>4101749</v>
      </c>
    </row>
    <row r="13">
      <c r="A13" s="6" t="s">
        <v>2851</v>
      </c>
      <c r="B13" s="1"/>
      <c r="C13" s="1"/>
      <c r="D13" s="1"/>
      <c r="E13" s="1"/>
      <c r="F13" s="1"/>
      <c r="G13" s="2"/>
    </row>
    <row r="14">
      <c r="A14" s="1"/>
      <c r="B14" s="12" t="s">
        <v>11</v>
      </c>
      <c r="C14" s="1"/>
      <c r="D14" s="1"/>
      <c r="E14" s="1"/>
      <c r="F14" s="1"/>
      <c r="G14" s="2"/>
    </row>
    <row r="15">
      <c r="A15" s="1"/>
      <c r="B15" s="4" t="s">
        <v>2745</v>
      </c>
      <c r="C15" s="1"/>
      <c r="D15" s="1"/>
      <c r="E15" s="1"/>
      <c r="F15" s="1"/>
      <c r="G15" s="77">
        <v>240000.0</v>
      </c>
    </row>
    <row r="16">
      <c r="A16" s="1"/>
      <c r="B16" s="4" t="s">
        <v>13</v>
      </c>
      <c r="C16" s="1"/>
      <c r="D16" s="1"/>
      <c r="E16" s="1"/>
      <c r="F16" s="1"/>
      <c r="G16" s="13">
        <v>150000.0</v>
      </c>
    </row>
    <row r="17">
      <c r="A17" s="1"/>
      <c r="B17" s="4" t="s">
        <v>14</v>
      </c>
      <c r="C17" s="1"/>
      <c r="D17" s="1"/>
      <c r="E17" s="1"/>
      <c r="F17" s="1"/>
      <c r="G17" s="13">
        <v>150000.0</v>
      </c>
    </row>
    <row r="18">
      <c r="A18" s="1"/>
      <c r="B18" s="4" t="s">
        <v>16</v>
      </c>
      <c r="C18" s="1"/>
      <c r="D18" s="1"/>
      <c r="E18" s="1"/>
      <c r="F18" s="1"/>
      <c r="G18" s="77">
        <v>100000.0</v>
      </c>
    </row>
    <row r="19">
      <c r="A19" s="1"/>
      <c r="B19" s="4" t="s">
        <v>2746</v>
      </c>
      <c r="C19" s="1"/>
      <c r="D19" s="1"/>
      <c r="E19" s="1"/>
      <c r="F19" s="1"/>
      <c r="G19" s="77">
        <v>100000.0</v>
      </c>
    </row>
    <row r="20">
      <c r="A20" s="1"/>
      <c r="B20" s="9" t="s">
        <v>18</v>
      </c>
      <c r="C20" s="10"/>
      <c r="D20" s="10"/>
      <c r="E20" s="10"/>
      <c r="F20" s="10"/>
      <c r="G20" s="69">
        <f>SUM(G15:G19)</f>
        <v>740000</v>
      </c>
    </row>
    <row r="21" ht="15.75" customHeight="1">
      <c r="A21" s="1"/>
      <c r="B21" s="12" t="s">
        <v>19</v>
      </c>
      <c r="C21" s="15"/>
      <c r="D21" s="1"/>
      <c r="E21" s="1"/>
      <c r="F21" s="1"/>
      <c r="G21" s="2"/>
    </row>
    <row r="22" ht="15.75" customHeight="1">
      <c r="A22" s="1"/>
      <c r="B22" s="4" t="s">
        <v>2852</v>
      </c>
      <c r="C22" s="15" t="s">
        <v>2853</v>
      </c>
      <c r="D22" s="1" t="s">
        <v>2854</v>
      </c>
      <c r="E22" s="1"/>
      <c r="F22" s="1"/>
      <c r="G22" s="2">
        <v>65250.0</v>
      </c>
    </row>
    <row r="23" ht="15.75" customHeight="1">
      <c r="A23" s="1"/>
      <c r="B23" s="4" t="s">
        <v>2852</v>
      </c>
      <c r="C23" s="15"/>
      <c r="D23" s="1" t="s">
        <v>2855</v>
      </c>
      <c r="E23" s="1"/>
      <c r="F23" s="1"/>
      <c r="G23" s="2">
        <v>280700.0</v>
      </c>
    </row>
    <row r="24" ht="15.75" customHeight="1">
      <c r="A24" s="1"/>
      <c r="B24" s="4" t="s">
        <v>2856</v>
      </c>
      <c r="C24" s="15"/>
      <c r="D24" s="1"/>
      <c r="E24" s="1"/>
      <c r="F24" s="1"/>
      <c r="G24" s="2">
        <v>20000.0</v>
      </c>
    </row>
    <row r="25" ht="15.75" customHeight="1">
      <c r="A25" s="1"/>
      <c r="B25" s="4" t="s">
        <v>2857</v>
      </c>
      <c r="C25" s="15" t="s">
        <v>2858</v>
      </c>
      <c r="D25" s="1"/>
      <c r="E25" s="1"/>
      <c r="F25" s="1"/>
      <c r="G25" s="2">
        <v>9000.0</v>
      </c>
    </row>
    <row r="26" ht="15.75" customHeight="1">
      <c r="A26" s="1"/>
      <c r="B26" s="4" t="s">
        <v>2856</v>
      </c>
      <c r="C26" s="15"/>
      <c r="D26" s="1"/>
      <c r="E26" s="1" t="s">
        <v>2859</v>
      </c>
      <c r="F26" s="1"/>
      <c r="G26" s="2">
        <v>18000.0</v>
      </c>
    </row>
    <row r="27" ht="15.75" customHeight="1">
      <c r="A27" s="1"/>
      <c r="B27" s="4" t="s">
        <v>2860</v>
      </c>
      <c r="C27" s="15"/>
      <c r="D27" s="1"/>
      <c r="E27" s="1"/>
      <c r="F27" s="1"/>
      <c r="G27" s="2">
        <v>40000.0</v>
      </c>
    </row>
    <row r="28" ht="15.75" customHeight="1">
      <c r="A28" s="1"/>
      <c r="B28" s="4" t="s">
        <v>2861</v>
      </c>
      <c r="C28" s="15"/>
      <c r="D28" s="1"/>
      <c r="E28" s="1"/>
      <c r="F28" s="1"/>
      <c r="G28" s="2">
        <v>360250.0</v>
      </c>
    </row>
    <row r="29" ht="15.75" customHeight="1">
      <c r="A29" s="1"/>
      <c r="B29" s="4" t="s">
        <v>2862</v>
      </c>
      <c r="C29" s="15"/>
      <c r="D29" s="1"/>
      <c r="E29" s="1"/>
      <c r="F29" s="1"/>
      <c r="G29" s="2">
        <v>105000.0</v>
      </c>
    </row>
    <row r="30" ht="15.75" customHeight="1">
      <c r="A30" s="1"/>
      <c r="B30" s="4" t="s">
        <v>2863</v>
      </c>
      <c r="C30" s="15"/>
      <c r="D30" s="1"/>
      <c r="E30" s="1"/>
      <c r="F30" s="1"/>
      <c r="G30" s="2">
        <v>175000.0</v>
      </c>
    </row>
    <row r="31" ht="15.75" customHeight="1">
      <c r="A31" s="1"/>
      <c r="B31" s="4" t="s">
        <v>2864</v>
      </c>
      <c r="C31" s="15"/>
      <c r="D31" s="1"/>
      <c r="E31" s="1"/>
      <c r="F31" s="1"/>
      <c r="G31" s="2">
        <v>100000.0</v>
      </c>
    </row>
    <row r="32" ht="15.75" customHeight="1">
      <c r="A32" s="1"/>
      <c r="B32" s="4" t="s">
        <v>2865</v>
      </c>
      <c r="C32" s="15"/>
      <c r="D32" s="1"/>
      <c r="E32" s="1"/>
      <c r="F32" s="1"/>
      <c r="G32" s="2">
        <v>86470.0</v>
      </c>
    </row>
    <row r="33" ht="15.75" customHeight="1">
      <c r="A33" s="1"/>
      <c r="B33" s="43" t="s">
        <v>43</v>
      </c>
      <c r="C33" s="1"/>
      <c r="D33" s="1"/>
      <c r="E33" s="1"/>
      <c r="F33" s="1"/>
      <c r="G33" s="18">
        <f>SUM(G22:G32)</f>
        <v>1259670</v>
      </c>
    </row>
    <row r="34" ht="15.75" customHeight="1">
      <c r="A34" s="1"/>
      <c r="B34" s="19" t="s">
        <v>45</v>
      </c>
      <c r="C34" s="20"/>
      <c r="D34" s="20"/>
      <c r="E34" s="20"/>
      <c r="F34" s="20"/>
      <c r="G34" s="70">
        <f>SUM(G20+G33)</f>
        <v>1999670</v>
      </c>
    </row>
    <row r="35" ht="15.75" customHeight="1">
      <c r="A35" s="35" t="s">
        <v>2866</v>
      </c>
      <c r="B35" s="36"/>
      <c r="C35" s="37"/>
      <c r="D35" s="82"/>
      <c r="E35" s="37"/>
      <c r="F35" s="37"/>
      <c r="G35" s="71">
        <f>(G12-G34)</f>
        <v>2102079</v>
      </c>
    </row>
    <row r="36" ht="15.75" customHeight="1">
      <c r="A36" s="35"/>
      <c r="B36" s="36"/>
      <c r="C36" s="37"/>
      <c r="D36" s="37"/>
      <c r="E36" s="37"/>
      <c r="F36" s="37"/>
      <c r="G36" s="71"/>
    </row>
    <row r="37" ht="15.75" customHeight="1">
      <c r="A37" s="22" t="s">
        <v>254</v>
      </c>
      <c r="B37" s="43" t="s">
        <v>255</v>
      </c>
      <c r="C37" s="1"/>
      <c r="D37" s="1"/>
      <c r="E37" s="1"/>
      <c r="F37" s="1"/>
      <c r="G37" s="2"/>
    </row>
    <row r="38" ht="15.75" customHeight="1">
      <c r="A38" s="22"/>
      <c r="B38" s="4"/>
      <c r="C38" s="1"/>
      <c r="D38" s="1"/>
      <c r="E38" s="1"/>
      <c r="F38" s="1"/>
      <c r="G38" s="2"/>
    </row>
    <row r="39" ht="15.75" customHeight="1">
      <c r="A39" s="44"/>
      <c r="B39" s="72" t="s">
        <v>51</v>
      </c>
      <c r="C39" s="27"/>
      <c r="D39" s="27"/>
      <c r="E39" s="27"/>
      <c r="F39" s="27"/>
      <c r="G39" s="81">
        <f>SUM(G38)</f>
        <v>0</v>
      </c>
    </row>
    <row r="40" ht="15.75" customHeight="1">
      <c r="A40" s="44"/>
      <c r="B40" s="4"/>
      <c r="C40" s="15"/>
      <c r="D40" s="1"/>
      <c r="E40" s="1"/>
      <c r="F40" s="1"/>
    </row>
    <row r="41" ht="15.75" customHeight="1">
      <c r="A41" s="44"/>
      <c r="B41" s="45" t="s">
        <v>2867</v>
      </c>
      <c r="C41" s="45"/>
      <c r="D41" s="45"/>
      <c r="E41" s="46"/>
      <c r="F41" s="46"/>
      <c r="G41" s="47">
        <f>G2+G35-G39</f>
        <v>8179306</v>
      </c>
    </row>
    <row r="42" ht="15.75" customHeight="1">
      <c r="A42" s="1"/>
      <c r="B42" s="32" t="s">
        <v>2868</v>
      </c>
    </row>
    <row r="43" ht="15.75" customHeight="1">
      <c r="A43" s="1"/>
      <c r="B43" s="1"/>
      <c r="C43" s="1" t="s">
        <v>1115</v>
      </c>
      <c r="D43" s="1"/>
      <c r="E43" s="1" t="s">
        <v>2869</v>
      </c>
      <c r="F43" s="1"/>
      <c r="G43" s="2">
        <v>35800.0</v>
      </c>
    </row>
    <row r="44" ht="15.75" customHeight="1">
      <c r="A44" s="1"/>
      <c r="B44" s="1"/>
      <c r="C44" s="1" t="s">
        <v>1221</v>
      </c>
      <c r="D44" s="1"/>
      <c r="E44" s="1" t="s">
        <v>2870</v>
      </c>
      <c r="F44" s="1"/>
      <c r="G44" s="2">
        <v>273500.0</v>
      </c>
    </row>
    <row r="45" ht="15.75" customHeight="1">
      <c r="A45" s="1"/>
      <c r="B45" s="1"/>
      <c r="C45" s="43" t="s">
        <v>115</v>
      </c>
      <c r="D45" s="1"/>
      <c r="E45" s="1"/>
      <c r="F45" s="1"/>
      <c r="G45" s="2">
        <f>G43+G44</f>
        <v>309300</v>
      </c>
    </row>
    <row r="46" ht="15.75" customHeight="1">
      <c r="A46" s="1"/>
      <c r="B46" s="43" t="s">
        <v>2871</v>
      </c>
      <c r="C46" s="43"/>
      <c r="D46" s="1"/>
      <c r="E46" s="1"/>
      <c r="F46" s="1"/>
      <c r="G46" s="2"/>
    </row>
    <row r="47" ht="15.75" customHeight="1">
      <c r="A47" s="1"/>
      <c r="B47" s="43" t="s">
        <v>2771</v>
      </c>
      <c r="C47" s="43"/>
      <c r="D47" s="1"/>
      <c r="E47" s="1"/>
      <c r="F47" s="1"/>
      <c r="G47" s="1">
        <v>0.0</v>
      </c>
    </row>
    <row r="48" ht="15.75" customHeight="1">
      <c r="A48" s="1"/>
      <c r="B48" s="43" t="s">
        <v>2872</v>
      </c>
      <c r="C48" s="43"/>
      <c r="D48" s="1" t="s">
        <v>2873</v>
      </c>
      <c r="E48" s="2">
        <v>3236600.0</v>
      </c>
      <c r="F48" s="1"/>
      <c r="G48" s="1"/>
    </row>
    <row r="49" ht="15.75" customHeight="1">
      <c r="A49" s="1"/>
      <c r="B49" s="43" t="s">
        <v>2874</v>
      </c>
      <c r="C49" s="43"/>
      <c r="D49" s="1"/>
      <c r="E49" s="2">
        <v>7995500.0</v>
      </c>
      <c r="F49" s="1" t="s">
        <v>2875</v>
      </c>
      <c r="G49" s="1"/>
    </row>
    <row r="50" ht="15.75" customHeight="1">
      <c r="A50" s="1"/>
      <c r="B50" s="43" t="s">
        <v>2876</v>
      </c>
      <c r="C50" s="43"/>
      <c r="D50" s="2">
        <v>262900.0</v>
      </c>
      <c r="E50" s="2"/>
      <c r="F50" s="1"/>
      <c r="G50" s="1"/>
    </row>
    <row r="51" ht="15.75" customHeight="1">
      <c r="A51" s="1"/>
      <c r="B51" s="43" t="s">
        <v>2877</v>
      </c>
      <c r="C51" s="43"/>
      <c r="D51" s="1"/>
      <c r="E51" s="1" t="s">
        <v>2878</v>
      </c>
      <c r="F51" s="1" t="s">
        <v>2879</v>
      </c>
      <c r="G51" s="1"/>
    </row>
    <row r="52" ht="15.75" customHeight="1">
      <c r="A52" s="1"/>
      <c r="B52" s="43"/>
      <c r="C52" s="43"/>
      <c r="D52" s="1"/>
      <c r="E52" s="1"/>
      <c r="F52" s="1"/>
      <c r="G52" s="1"/>
    </row>
    <row r="53" ht="15.75" customHeight="1">
      <c r="A53" s="1"/>
      <c r="B53" s="43" t="s">
        <v>2880</v>
      </c>
      <c r="C53" s="43"/>
      <c r="E53" s="1"/>
      <c r="F53" s="2">
        <v>2243000.0</v>
      </c>
      <c r="G53" s="1"/>
    </row>
    <row r="54" ht="15.75" customHeight="1">
      <c r="A54" s="1"/>
      <c r="B54" s="43" t="s">
        <v>2881</v>
      </c>
      <c r="C54" s="43"/>
      <c r="D54" s="1"/>
      <c r="E54" s="1"/>
      <c r="F54" s="2">
        <f>F53+F10</f>
        <v>2604000</v>
      </c>
      <c r="G54" s="1"/>
    </row>
    <row r="55" ht="15.75" customHeight="1">
      <c r="A55" s="1"/>
      <c r="B55" s="33" t="s">
        <v>2882</v>
      </c>
      <c r="C55" s="1"/>
      <c r="D55" s="1"/>
      <c r="E55" s="1"/>
      <c r="F55" s="1"/>
      <c r="G55" s="2"/>
    </row>
    <row r="56" ht="15.75" customHeight="1">
      <c r="A56" s="1"/>
      <c r="B56" s="55" t="s">
        <v>531</v>
      </c>
      <c r="C56" s="56"/>
      <c r="D56" s="56"/>
      <c r="E56" s="56"/>
      <c r="F56" s="1" t="s">
        <v>2686</v>
      </c>
      <c r="G56" s="55"/>
    </row>
    <row r="57" ht="15.75" customHeight="1">
      <c r="A57" s="1"/>
      <c r="B57" s="55"/>
      <c r="C57" s="56"/>
      <c r="D57" s="56"/>
      <c r="E57" s="56"/>
      <c r="F57" s="1"/>
      <c r="G57" s="55"/>
    </row>
    <row r="58" ht="15.75" customHeight="1">
      <c r="A58" s="1"/>
      <c r="B58" s="55"/>
      <c r="C58" s="56"/>
      <c r="D58" s="56"/>
      <c r="E58" s="56"/>
      <c r="F58" s="1"/>
      <c r="G58" s="55"/>
    </row>
    <row r="59" ht="15.75" customHeight="1">
      <c r="A59" s="1"/>
      <c r="B59" s="55" t="s">
        <v>2883</v>
      </c>
      <c r="C59" s="56"/>
      <c r="D59" s="56"/>
      <c r="E59" s="56"/>
      <c r="F59" s="1" t="s">
        <v>2688</v>
      </c>
      <c r="G59" s="55"/>
    </row>
    <row r="60" ht="15.75" customHeight="1">
      <c r="A60" s="1"/>
      <c r="B60" s="55"/>
      <c r="C60" s="56"/>
      <c r="D60" s="56"/>
      <c r="E60" s="56"/>
      <c r="F60" s="1"/>
      <c r="G60" s="55"/>
    </row>
    <row r="61" ht="15.75" customHeight="1">
      <c r="A61" s="1"/>
      <c r="B61" s="55"/>
      <c r="C61" s="56"/>
      <c r="D61" s="56"/>
      <c r="E61" s="56"/>
      <c r="F61" s="1"/>
      <c r="G61" s="55"/>
    </row>
    <row r="62" ht="15.75" customHeight="1">
      <c r="A62" s="1"/>
      <c r="B62" s="55"/>
      <c r="C62" s="56"/>
      <c r="D62" s="56"/>
      <c r="E62" s="56"/>
      <c r="F62" s="1"/>
      <c r="G62" s="55"/>
    </row>
    <row r="63" ht="15.75" customHeight="1">
      <c r="A63" s="1"/>
      <c r="B63" s="55" t="s">
        <v>533</v>
      </c>
      <c r="F63" s="1" t="s">
        <v>2689</v>
      </c>
      <c r="G63" s="55"/>
    </row>
    <row r="64" ht="15.75" customHeight="1">
      <c r="A64" s="1"/>
      <c r="B64" s="55"/>
      <c r="C64" s="55"/>
      <c r="D64" s="55"/>
      <c r="E64" s="55"/>
      <c r="F64" s="1"/>
      <c r="G64" s="55"/>
    </row>
    <row r="65" ht="15.75" customHeight="1">
      <c r="A65" s="1"/>
      <c r="B65" s="55"/>
      <c r="C65" s="55"/>
      <c r="D65" s="55"/>
      <c r="E65" s="55"/>
      <c r="F65" s="1"/>
      <c r="G65" s="55"/>
    </row>
    <row r="66" ht="15.75" customHeight="1">
      <c r="A66" s="1"/>
      <c r="B66" s="55" t="s">
        <v>2738</v>
      </c>
      <c r="C66" s="55"/>
      <c r="D66" s="55"/>
      <c r="E66" s="55"/>
      <c r="F66" s="1"/>
      <c r="G66" s="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1:D11"/>
    <mergeCell ref="B12:F12"/>
    <mergeCell ref="B42:G42"/>
    <mergeCell ref="B63:E63"/>
  </mergeCells>
  <printOptions/>
  <pageMargins bottom="0.75" footer="0.0" header="0.0" left="0.7" right="0.7" top="0.75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8.29"/>
    <col customWidth="1" min="8" max="26" width="10.71"/>
  </cols>
  <sheetData>
    <row r="1">
      <c r="A1" s="1" t="s">
        <v>721</v>
      </c>
      <c r="B1" s="3" t="s">
        <v>2884</v>
      </c>
      <c r="C1" s="1"/>
      <c r="D1" s="1"/>
      <c r="E1" s="1"/>
      <c r="F1" s="1"/>
      <c r="G1" s="2"/>
    </row>
    <row r="2" ht="22.5" customHeight="1">
      <c r="A2" s="1"/>
      <c r="B2" s="75" t="s">
        <v>2885</v>
      </c>
      <c r="G2" s="47">
        <v>8179306.0</v>
      </c>
    </row>
    <row r="3">
      <c r="A3" s="1"/>
      <c r="G3" s="2"/>
    </row>
    <row r="4">
      <c r="A4" s="6" t="s">
        <v>2886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970000.0</v>
      </c>
      <c r="G5" s="7">
        <v>407000.0</v>
      </c>
    </row>
    <row r="6">
      <c r="A6" s="1"/>
      <c r="B6" s="4" t="s">
        <v>64</v>
      </c>
      <c r="C6" s="1"/>
      <c r="D6" s="1"/>
      <c r="E6" s="1"/>
      <c r="F6" s="2">
        <v>888100.0</v>
      </c>
      <c r="G6" s="7">
        <v>437000.0</v>
      </c>
    </row>
    <row r="7">
      <c r="A7" s="1"/>
      <c r="B7" s="4" t="s">
        <v>65</v>
      </c>
      <c r="C7" s="1"/>
      <c r="D7" s="1"/>
      <c r="E7" s="1"/>
      <c r="F7" s="2">
        <v>662400.0</v>
      </c>
      <c r="G7" s="7">
        <v>270000.0</v>
      </c>
    </row>
    <row r="8">
      <c r="A8" s="1"/>
      <c r="B8" s="4" t="s">
        <v>66</v>
      </c>
      <c r="C8" s="1"/>
      <c r="D8" s="1"/>
      <c r="E8" s="1"/>
      <c r="F8" s="2">
        <v>615560.0</v>
      </c>
      <c r="G8" s="76">
        <v>376000.0</v>
      </c>
    </row>
    <row r="9">
      <c r="A9" s="1"/>
      <c r="B9" s="4" t="s">
        <v>2887</v>
      </c>
      <c r="C9" s="1"/>
      <c r="D9" s="1"/>
      <c r="E9" s="1"/>
      <c r="F9" s="2">
        <v>697400.0</v>
      </c>
      <c r="G9" s="76">
        <v>220000.0</v>
      </c>
    </row>
    <row r="10">
      <c r="A10" s="1"/>
      <c r="B10" s="4" t="s">
        <v>2888</v>
      </c>
      <c r="C10" s="1"/>
      <c r="D10" s="49"/>
      <c r="E10" s="83">
        <v>45474.0</v>
      </c>
      <c r="F10" s="7">
        <v>344000.0</v>
      </c>
      <c r="G10" s="7"/>
    </row>
    <row r="11">
      <c r="A11" s="1"/>
      <c r="B11" s="4" t="s">
        <v>2889</v>
      </c>
      <c r="C11" s="1"/>
      <c r="D11" s="49" t="s">
        <v>2890</v>
      </c>
      <c r="E11" s="83"/>
      <c r="F11" s="7">
        <v>624000.0</v>
      </c>
      <c r="G11" s="7"/>
    </row>
    <row r="12">
      <c r="A12" s="1"/>
      <c r="B12" s="4"/>
      <c r="C12" s="50" t="s">
        <v>405</v>
      </c>
      <c r="E12" s="4"/>
      <c r="F12" s="2">
        <f>SUM(F5:F11)</f>
        <v>4801460</v>
      </c>
      <c r="G12" s="7">
        <f>SUM(G5:G9)</f>
        <v>1710000</v>
      </c>
    </row>
    <row r="13">
      <c r="A13" s="1"/>
      <c r="B13" s="4"/>
      <c r="C13" s="50"/>
      <c r="D13" s="50"/>
      <c r="E13" s="4"/>
      <c r="F13" s="2"/>
      <c r="G13" s="7"/>
    </row>
    <row r="14">
      <c r="A14" s="1"/>
      <c r="B14" s="51" t="s">
        <v>9</v>
      </c>
      <c r="C14" s="52"/>
      <c r="D14" s="52"/>
      <c r="E14" s="52"/>
      <c r="F14" s="53"/>
      <c r="G14" s="68">
        <f>SUM(F12:G12)</f>
        <v>6511460</v>
      </c>
    </row>
    <row r="15">
      <c r="A15" s="6" t="s">
        <v>2891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2745</v>
      </c>
      <c r="C17" s="1"/>
      <c r="D17" s="1"/>
      <c r="E17" s="1"/>
      <c r="F17" s="1"/>
      <c r="G17" s="77">
        <v>280000.0</v>
      </c>
    </row>
    <row r="18">
      <c r="A18" s="1"/>
      <c r="B18" s="4" t="s">
        <v>13</v>
      </c>
      <c r="C18" s="1"/>
      <c r="D18" s="1"/>
      <c r="E18" s="1"/>
      <c r="F18" s="1"/>
      <c r="G18" s="13">
        <v>150000.0</v>
      </c>
    </row>
    <row r="19">
      <c r="A19" s="1"/>
      <c r="B19" s="4" t="s">
        <v>14</v>
      </c>
      <c r="C19" s="1"/>
      <c r="D19" s="1"/>
      <c r="E19" s="1"/>
      <c r="F19" s="1"/>
      <c r="G19" s="13">
        <v>150000.0</v>
      </c>
    </row>
    <row r="20">
      <c r="A20" s="1"/>
      <c r="B20" s="4" t="s">
        <v>16</v>
      </c>
      <c r="C20" s="1"/>
      <c r="D20" s="1"/>
      <c r="E20" s="1"/>
      <c r="F20" s="1"/>
      <c r="G20" s="77">
        <v>100000.0</v>
      </c>
    </row>
    <row r="21" ht="15.75" customHeight="1">
      <c r="A21" s="1"/>
      <c r="B21" s="4" t="s">
        <v>2746</v>
      </c>
      <c r="C21" s="1"/>
      <c r="D21" s="1"/>
      <c r="E21" s="1"/>
      <c r="F21" s="1"/>
      <c r="G21" s="77">
        <v>100000.0</v>
      </c>
    </row>
    <row r="22" ht="15.75" customHeight="1">
      <c r="A22" s="1"/>
      <c r="B22" s="9" t="s">
        <v>18</v>
      </c>
      <c r="C22" s="10"/>
      <c r="D22" s="10"/>
      <c r="E22" s="10"/>
      <c r="F22" s="10"/>
      <c r="G22" s="69">
        <f>SUM(G17:G21)</f>
        <v>780000</v>
      </c>
    </row>
    <row r="23" ht="15.75" customHeight="1">
      <c r="A23" s="1"/>
      <c r="B23" s="12" t="s">
        <v>19</v>
      </c>
      <c r="C23" s="15"/>
      <c r="D23" s="1"/>
      <c r="E23" s="1"/>
      <c r="F23" s="1"/>
      <c r="G23" s="2"/>
    </row>
    <row r="24" ht="15.75" customHeight="1">
      <c r="A24" s="1"/>
      <c r="B24" s="4" t="s">
        <v>2892</v>
      </c>
      <c r="C24" s="15"/>
      <c r="D24" s="1"/>
      <c r="E24" s="1"/>
      <c r="F24" s="1"/>
      <c r="G24" s="2">
        <v>105000.0</v>
      </c>
    </row>
    <row r="25" ht="15.75" customHeight="1">
      <c r="A25" s="1"/>
      <c r="B25" s="4" t="s">
        <v>2856</v>
      </c>
      <c r="C25" s="15"/>
      <c r="D25" s="1"/>
      <c r="E25" s="1" t="s">
        <v>2893</v>
      </c>
      <c r="F25" s="1"/>
      <c r="G25" s="2">
        <v>60000.0</v>
      </c>
    </row>
    <row r="26" ht="15.75" customHeight="1">
      <c r="A26" s="1"/>
      <c r="B26" s="4" t="s">
        <v>2857</v>
      </c>
      <c r="C26" s="15" t="s">
        <v>2858</v>
      </c>
      <c r="D26" s="1"/>
      <c r="E26" s="1"/>
      <c r="F26" s="1"/>
      <c r="G26" s="2">
        <v>4000.0</v>
      </c>
    </row>
    <row r="27" ht="15.75" customHeight="1">
      <c r="A27" s="1"/>
      <c r="B27" s="4" t="s">
        <v>2894</v>
      </c>
      <c r="C27" s="15"/>
      <c r="D27" s="1"/>
      <c r="E27" s="1" t="s">
        <v>2895</v>
      </c>
      <c r="F27" s="1"/>
      <c r="G27" s="2">
        <v>2000.0</v>
      </c>
    </row>
    <row r="28" ht="15.75" customHeight="1">
      <c r="A28" s="1"/>
      <c r="B28" s="4" t="s">
        <v>2896</v>
      </c>
      <c r="C28" s="15"/>
      <c r="D28" s="1"/>
      <c r="E28" s="1"/>
      <c r="F28" s="1"/>
      <c r="G28" s="2">
        <v>2300.0</v>
      </c>
    </row>
    <row r="29" ht="15.75" customHeight="1">
      <c r="A29" s="1"/>
      <c r="B29" s="4" t="s">
        <v>2897</v>
      </c>
      <c r="C29" s="15"/>
      <c r="D29" s="1"/>
      <c r="E29" s="1"/>
      <c r="F29" s="1"/>
      <c r="G29" s="2">
        <v>100000.0</v>
      </c>
    </row>
    <row r="30" ht="15.75" customHeight="1">
      <c r="A30" s="1"/>
      <c r="B30" s="4" t="s">
        <v>2898</v>
      </c>
      <c r="C30" s="15"/>
      <c r="D30" s="1"/>
      <c r="E30" s="1"/>
      <c r="F30" s="1"/>
      <c r="G30" s="2">
        <v>32000.0</v>
      </c>
    </row>
    <row r="31" ht="15.75" customHeight="1">
      <c r="A31" s="1"/>
      <c r="B31" s="4" t="s">
        <v>2899</v>
      </c>
      <c r="C31" s="15"/>
      <c r="D31" s="1"/>
      <c r="E31" s="1"/>
      <c r="F31" s="1"/>
      <c r="G31" s="2">
        <v>15000.0</v>
      </c>
    </row>
    <row r="32" ht="15.75" customHeight="1">
      <c r="A32" s="1"/>
      <c r="B32" s="4" t="s">
        <v>2900</v>
      </c>
      <c r="C32" s="15"/>
      <c r="D32" s="1"/>
      <c r="E32" s="1"/>
      <c r="F32" s="1"/>
      <c r="G32" s="2">
        <v>10000.0</v>
      </c>
    </row>
    <row r="33" ht="15.75" customHeight="1">
      <c r="A33" s="1"/>
      <c r="B33" s="4" t="s">
        <v>2901</v>
      </c>
      <c r="C33" s="15"/>
      <c r="D33" s="1"/>
      <c r="E33" s="1"/>
      <c r="F33" s="1"/>
      <c r="G33" s="2">
        <v>10000.0</v>
      </c>
    </row>
    <row r="34" ht="15.75" customHeight="1">
      <c r="A34" s="1"/>
      <c r="B34" s="4" t="s">
        <v>2902</v>
      </c>
      <c r="C34" s="15"/>
      <c r="D34" s="1"/>
      <c r="E34" s="1"/>
      <c r="F34" s="1"/>
      <c r="G34" s="2">
        <v>4000.0</v>
      </c>
    </row>
    <row r="35" ht="15.75" customHeight="1">
      <c r="A35" s="1"/>
      <c r="B35" s="4" t="s">
        <v>2903</v>
      </c>
      <c r="C35" s="15"/>
      <c r="D35" s="1"/>
      <c r="E35" s="1"/>
      <c r="F35" s="1"/>
      <c r="G35" s="2">
        <v>20000.0</v>
      </c>
    </row>
    <row r="36" ht="15.75" customHeight="1">
      <c r="A36" s="1"/>
      <c r="B36" s="4" t="s">
        <v>2904</v>
      </c>
      <c r="C36" s="15"/>
      <c r="D36" s="1"/>
      <c r="E36" s="1"/>
      <c r="F36" s="1"/>
      <c r="G36" s="2">
        <v>718800.0</v>
      </c>
    </row>
    <row r="37" ht="15.75" customHeight="1">
      <c r="A37" s="1"/>
      <c r="B37" s="4" t="s">
        <v>2905</v>
      </c>
      <c r="C37" s="15"/>
      <c r="D37" s="1"/>
      <c r="E37" s="1"/>
      <c r="F37" s="1"/>
      <c r="G37" s="2">
        <v>2200.0</v>
      </c>
    </row>
    <row r="38" ht="15.75" customHeight="1">
      <c r="A38" s="1"/>
      <c r="B38" s="4" t="s">
        <v>2906</v>
      </c>
      <c r="C38" s="15"/>
      <c r="D38" s="1"/>
      <c r="E38" s="1"/>
      <c r="F38" s="1"/>
      <c r="G38" s="2">
        <v>98900.0</v>
      </c>
    </row>
    <row r="39" ht="15.75" customHeight="1">
      <c r="A39" s="1"/>
      <c r="B39" s="4" t="s">
        <v>2865</v>
      </c>
      <c r="C39" s="15"/>
      <c r="D39" s="1"/>
      <c r="E39" s="1"/>
      <c r="F39" s="1"/>
      <c r="G39" s="2">
        <v>57490.0</v>
      </c>
    </row>
    <row r="40" ht="15.75" customHeight="1">
      <c r="A40" s="1"/>
      <c r="B40" s="43" t="s">
        <v>43</v>
      </c>
      <c r="C40" s="1"/>
      <c r="D40" s="1"/>
      <c r="E40" s="1"/>
      <c r="F40" s="1"/>
      <c r="G40" s="18">
        <f>SUM(G24:G39)</f>
        <v>1241690</v>
      </c>
    </row>
    <row r="41" ht="15.75" customHeight="1">
      <c r="A41" s="1"/>
      <c r="B41" s="19" t="s">
        <v>45</v>
      </c>
      <c r="C41" s="20"/>
      <c r="D41" s="20"/>
      <c r="E41" s="20"/>
      <c r="F41" s="20"/>
      <c r="G41" s="70">
        <f>SUM(G22+G40)</f>
        <v>2021690</v>
      </c>
    </row>
    <row r="42" ht="15.75" customHeight="1">
      <c r="A42" s="35" t="s">
        <v>2907</v>
      </c>
      <c r="B42" s="36"/>
      <c r="C42" s="37"/>
      <c r="D42" s="82"/>
      <c r="E42" s="37"/>
      <c r="F42" s="37"/>
      <c r="G42" s="71">
        <f>(G14-G41)</f>
        <v>4489770</v>
      </c>
    </row>
    <row r="43" ht="15.75" customHeight="1">
      <c r="A43" s="35"/>
      <c r="B43" s="36"/>
      <c r="C43" s="37"/>
      <c r="D43" s="37"/>
      <c r="E43" s="37"/>
      <c r="F43" s="37"/>
      <c r="G43" s="71"/>
    </row>
    <row r="44" ht="15.75" customHeight="1">
      <c r="A44" s="22" t="s">
        <v>254</v>
      </c>
      <c r="B44" s="43" t="s">
        <v>255</v>
      </c>
      <c r="C44" s="1"/>
      <c r="D44" s="1"/>
      <c r="E44" s="1"/>
      <c r="F44" s="1"/>
      <c r="G44" s="2"/>
    </row>
    <row r="45" ht="15.75" customHeight="1">
      <c r="A45" s="22"/>
      <c r="B45" s="43" t="s">
        <v>2908</v>
      </c>
      <c r="C45" s="1"/>
      <c r="D45" s="1"/>
      <c r="E45" s="1"/>
      <c r="F45" s="1"/>
      <c r="G45" s="2">
        <v>400000.0</v>
      </c>
    </row>
    <row r="46" ht="15.75" customHeight="1">
      <c r="A46" s="44"/>
      <c r="B46" s="72" t="s">
        <v>51</v>
      </c>
      <c r="C46" s="27"/>
      <c r="D46" s="27"/>
      <c r="E46" s="27"/>
      <c r="F46" s="27"/>
      <c r="G46" s="81">
        <f>SUM(G45)</f>
        <v>400000</v>
      </c>
    </row>
    <row r="47" ht="15.75" customHeight="1">
      <c r="A47" s="44"/>
      <c r="B47" s="4"/>
      <c r="C47" s="15"/>
      <c r="D47" s="1"/>
      <c r="E47" s="1"/>
      <c r="F47" s="1"/>
    </row>
    <row r="48" ht="15.75" customHeight="1">
      <c r="A48" s="44"/>
      <c r="B48" s="45" t="s">
        <v>2909</v>
      </c>
      <c r="C48" s="45"/>
      <c r="D48" s="45"/>
      <c r="E48" s="46"/>
      <c r="F48" s="46"/>
      <c r="G48" s="47">
        <f>G2+G42-G46</f>
        <v>12269076</v>
      </c>
    </row>
    <row r="49" ht="15.75" customHeight="1">
      <c r="A49" s="1"/>
      <c r="B49" s="32" t="s">
        <v>2910</v>
      </c>
    </row>
    <row r="50" ht="15.75" customHeight="1">
      <c r="A50" s="1"/>
      <c r="B50" s="1"/>
      <c r="C50" s="1" t="s">
        <v>1115</v>
      </c>
      <c r="D50" s="1"/>
      <c r="E50" s="1" t="s">
        <v>2869</v>
      </c>
      <c r="F50" s="1"/>
      <c r="G50" s="2">
        <v>46500.0</v>
      </c>
    </row>
    <row r="51" ht="15.75" customHeight="1">
      <c r="A51" s="1"/>
      <c r="B51" s="1"/>
      <c r="C51" s="1" t="s">
        <v>1221</v>
      </c>
      <c r="D51" s="1"/>
      <c r="E51" s="1" t="s">
        <v>2870</v>
      </c>
      <c r="F51" s="1"/>
      <c r="G51" s="2">
        <v>328000.0</v>
      </c>
    </row>
    <row r="52" ht="15.75" customHeight="1">
      <c r="A52" s="1"/>
      <c r="B52" s="1"/>
      <c r="C52" s="43" t="s">
        <v>115</v>
      </c>
      <c r="D52" s="1"/>
      <c r="E52" s="1"/>
      <c r="F52" s="1"/>
      <c r="G52" s="2">
        <f>G50+G51</f>
        <v>374500</v>
      </c>
    </row>
    <row r="53" ht="15.75" customHeight="1">
      <c r="A53" s="1"/>
      <c r="B53" s="43" t="s">
        <v>2871</v>
      </c>
      <c r="C53" s="43"/>
      <c r="D53" s="1"/>
      <c r="E53" s="1"/>
      <c r="F53" s="1"/>
      <c r="G53" s="2"/>
    </row>
    <row r="54" ht="15.75" customHeight="1">
      <c r="A54" s="1"/>
      <c r="B54" s="43" t="s">
        <v>2771</v>
      </c>
      <c r="C54" s="43"/>
      <c r="D54" s="1"/>
      <c r="E54" s="1"/>
      <c r="F54" s="1"/>
      <c r="G54" s="1">
        <v>0.0</v>
      </c>
    </row>
    <row r="55" ht="15.75" customHeight="1">
      <c r="A55" s="1"/>
      <c r="B55" s="43" t="s">
        <v>2872</v>
      </c>
      <c r="C55" s="43"/>
      <c r="D55" s="1" t="s">
        <v>2873</v>
      </c>
      <c r="E55" s="2">
        <v>3236600.0</v>
      </c>
      <c r="F55" s="1"/>
      <c r="G55" s="1"/>
    </row>
    <row r="56" ht="15.75" customHeight="1">
      <c r="A56" s="1"/>
      <c r="B56" s="43" t="s">
        <v>2874</v>
      </c>
      <c r="C56" s="43"/>
      <c r="D56" s="1"/>
      <c r="E56" s="2">
        <v>7995500.0</v>
      </c>
      <c r="F56" s="1" t="s">
        <v>2875</v>
      </c>
      <c r="G56" s="1"/>
    </row>
    <row r="57" ht="15.75" customHeight="1">
      <c r="A57" s="1"/>
      <c r="B57" s="43" t="s">
        <v>2876</v>
      </c>
      <c r="C57" s="43"/>
      <c r="D57" s="2">
        <v>262900.0</v>
      </c>
      <c r="E57" s="2"/>
      <c r="F57" s="1"/>
      <c r="G57" s="1"/>
    </row>
    <row r="58" ht="15.75" customHeight="1">
      <c r="A58" s="1"/>
      <c r="B58" s="43" t="s">
        <v>2877</v>
      </c>
      <c r="C58" s="43"/>
      <c r="D58" s="1"/>
      <c r="E58" s="1" t="s">
        <v>2878</v>
      </c>
      <c r="F58" s="1" t="s">
        <v>2879</v>
      </c>
      <c r="G58" s="1"/>
    </row>
    <row r="59" ht="15.75" customHeight="1">
      <c r="A59" s="1"/>
      <c r="B59" s="43"/>
      <c r="C59" s="43"/>
      <c r="D59" s="1"/>
      <c r="E59" s="1"/>
      <c r="F59" s="1"/>
      <c r="G59" s="1"/>
    </row>
    <row r="60" ht="15.75" customHeight="1">
      <c r="A60" s="1"/>
      <c r="B60" s="43" t="s">
        <v>2880</v>
      </c>
      <c r="C60" s="43"/>
      <c r="E60" s="1"/>
      <c r="F60" s="2">
        <v>2604000.0</v>
      </c>
      <c r="G60" s="1"/>
    </row>
    <row r="61" ht="15.75" customHeight="1">
      <c r="A61" s="1"/>
      <c r="B61" s="43" t="s">
        <v>2881</v>
      </c>
      <c r="C61" s="43"/>
      <c r="D61" s="1"/>
      <c r="E61" s="1"/>
      <c r="F61" s="2">
        <f>F60+F11</f>
        <v>3228000</v>
      </c>
      <c r="G61" s="1"/>
    </row>
    <row r="62" ht="15.75" customHeight="1">
      <c r="A62" s="1"/>
      <c r="B62" s="33" t="s">
        <v>2911</v>
      </c>
      <c r="C62" s="1"/>
      <c r="D62" s="1"/>
      <c r="E62" s="1"/>
      <c r="F62" s="1"/>
      <c r="G62" s="2"/>
    </row>
    <row r="63" ht="15.75" customHeight="1">
      <c r="A63" s="1"/>
      <c r="B63" s="55" t="s">
        <v>531</v>
      </c>
      <c r="C63" s="56"/>
      <c r="D63" s="56"/>
      <c r="E63" s="56"/>
      <c r="F63" s="1" t="s">
        <v>2686</v>
      </c>
      <c r="G63" s="55"/>
    </row>
    <row r="64" ht="15.75" customHeight="1">
      <c r="A64" s="1"/>
      <c r="B64" s="55"/>
      <c r="C64" s="56"/>
      <c r="D64" s="56"/>
      <c r="E64" s="56"/>
      <c r="F64" s="1"/>
      <c r="G64" s="55"/>
    </row>
    <row r="65" ht="15.75" customHeight="1">
      <c r="A65" s="1"/>
      <c r="B65" s="55"/>
      <c r="C65" s="56"/>
      <c r="D65" s="56"/>
      <c r="E65" s="56"/>
      <c r="F65" s="1"/>
      <c r="G65" s="55"/>
    </row>
    <row r="66" ht="15.75" customHeight="1">
      <c r="A66" s="1"/>
      <c r="B66" s="55" t="s">
        <v>2912</v>
      </c>
      <c r="C66" s="56"/>
      <c r="D66" s="56"/>
      <c r="E66" s="56"/>
      <c r="F66" s="1" t="s">
        <v>2688</v>
      </c>
      <c r="G66" s="55"/>
    </row>
    <row r="67" ht="15.75" customHeight="1">
      <c r="A67" s="1"/>
      <c r="B67" s="55"/>
      <c r="C67" s="56"/>
      <c r="D67" s="56"/>
      <c r="E67" s="56"/>
      <c r="F67" s="1"/>
      <c r="G67" s="55"/>
    </row>
    <row r="68" ht="15.75" customHeight="1">
      <c r="A68" s="1"/>
      <c r="B68" s="55"/>
      <c r="C68" s="56"/>
      <c r="D68" s="56"/>
      <c r="E68" s="56"/>
      <c r="F68" s="1"/>
      <c r="G68" s="55"/>
    </row>
    <row r="69" ht="15.75" customHeight="1">
      <c r="A69" s="1"/>
      <c r="B69" s="55"/>
      <c r="C69" s="56"/>
      <c r="D69" s="56"/>
      <c r="E69" s="56"/>
      <c r="F69" s="1"/>
      <c r="G69" s="55"/>
    </row>
    <row r="70" ht="15.75" customHeight="1">
      <c r="A70" s="1"/>
      <c r="B70" s="55" t="s">
        <v>533</v>
      </c>
      <c r="F70" s="1" t="s">
        <v>2689</v>
      </c>
      <c r="G70" s="55"/>
    </row>
    <row r="71" ht="15.75" customHeight="1">
      <c r="A71" s="1"/>
      <c r="B71" s="55"/>
      <c r="C71" s="55"/>
      <c r="D71" s="55"/>
      <c r="E71" s="55"/>
      <c r="F71" s="1"/>
      <c r="G71" s="55"/>
    </row>
    <row r="72" ht="15.75" customHeight="1">
      <c r="A72" s="1"/>
      <c r="B72" s="55"/>
      <c r="C72" s="55"/>
      <c r="D72" s="55"/>
      <c r="E72" s="55"/>
      <c r="F72" s="1"/>
      <c r="G72" s="55"/>
    </row>
    <row r="73" ht="15.75" customHeight="1">
      <c r="A73" s="1"/>
      <c r="B73" s="55" t="s">
        <v>2738</v>
      </c>
      <c r="C73" s="55"/>
      <c r="D73" s="55"/>
      <c r="E73" s="55"/>
      <c r="F73" s="1"/>
      <c r="G73" s="2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2:D12"/>
    <mergeCell ref="B14:F14"/>
    <mergeCell ref="B49:G49"/>
    <mergeCell ref="B70:E70"/>
  </mergeCells>
  <printOptions/>
  <pageMargins bottom="0.75" footer="0.0" header="0.0" left="0.7" right="0.7" top="0.75"/>
  <pageSetup paperSize="9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8.29"/>
    <col customWidth="1" min="8" max="26" width="10.71"/>
  </cols>
  <sheetData>
    <row r="1">
      <c r="A1" s="1" t="s">
        <v>721</v>
      </c>
      <c r="B1" s="3" t="s">
        <v>2913</v>
      </c>
      <c r="C1" s="1"/>
      <c r="D1" s="1"/>
      <c r="E1" s="1"/>
      <c r="F1" s="1"/>
      <c r="G1" s="2"/>
    </row>
    <row r="2">
      <c r="A2" s="1"/>
      <c r="B2" s="75" t="s">
        <v>2914</v>
      </c>
      <c r="G2" s="47">
        <v>1.2269076E7</v>
      </c>
    </row>
    <row r="3">
      <c r="A3" s="1"/>
      <c r="G3" s="2"/>
    </row>
    <row r="4">
      <c r="A4" s="6" t="s">
        <v>2915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274300.0</v>
      </c>
      <c r="G5" s="7">
        <v>106000.0</v>
      </c>
    </row>
    <row r="6">
      <c r="A6" s="1"/>
      <c r="B6" s="4" t="s">
        <v>64</v>
      </c>
      <c r="C6" s="1"/>
      <c r="D6" s="1"/>
      <c r="E6" s="1"/>
      <c r="F6" s="2">
        <v>705700.0</v>
      </c>
      <c r="G6" s="7">
        <v>333000.0</v>
      </c>
    </row>
    <row r="7">
      <c r="A7" s="1"/>
      <c r="B7" s="4" t="s">
        <v>65</v>
      </c>
      <c r="C7" s="1"/>
      <c r="D7" s="1"/>
      <c r="E7" s="1"/>
      <c r="F7" s="2">
        <v>402200.0</v>
      </c>
      <c r="G7" s="7">
        <v>239000.0</v>
      </c>
    </row>
    <row r="8">
      <c r="A8" s="1"/>
      <c r="B8" s="4" t="s">
        <v>66</v>
      </c>
      <c r="C8" s="1"/>
      <c r="D8" s="1"/>
      <c r="E8" s="1"/>
      <c r="F8" s="2">
        <v>380700.0</v>
      </c>
      <c r="G8" s="76">
        <v>179000.0</v>
      </c>
    </row>
    <row r="9">
      <c r="A9" s="1"/>
      <c r="B9" s="4" t="s">
        <v>2887</v>
      </c>
      <c r="C9" s="1"/>
      <c r="D9" s="1"/>
      <c r="E9" s="1"/>
      <c r="F9" s="2">
        <v>443600.0</v>
      </c>
      <c r="G9" s="76">
        <v>244000.0</v>
      </c>
    </row>
    <row r="10">
      <c r="A10" s="1"/>
      <c r="B10" s="4" t="s">
        <v>2916</v>
      </c>
      <c r="C10" s="1"/>
      <c r="D10" s="49"/>
      <c r="E10" s="83"/>
      <c r="F10" s="7">
        <v>585000.0</v>
      </c>
      <c r="G10" s="7"/>
    </row>
    <row r="11">
      <c r="A11" s="1"/>
      <c r="B11" s="4" t="s">
        <v>2917</v>
      </c>
      <c r="C11" s="1"/>
      <c r="D11" s="49"/>
      <c r="E11" s="83"/>
      <c r="F11" s="7">
        <v>331000.0</v>
      </c>
      <c r="G11" s="7"/>
    </row>
    <row r="12">
      <c r="A12" s="1"/>
      <c r="B12" s="4"/>
      <c r="C12" s="50" t="s">
        <v>405</v>
      </c>
      <c r="E12" s="4"/>
      <c r="F12" s="2">
        <f>SUM(F5:F11)</f>
        <v>3122500</v>
      </c>
      <c r="G12" s="7">
        <f>SUM(G5:G9)</f>
        <v>1101000</v>
      </c>
    </row>
    <row r="13">
      <c r="A13" s="1"/>
      <c r="B13" s="4"/>
      <c r="C13" s="50"/>
      <c r="D13" s="50"/>
      <c r="E13" s="4"/>
      <c r="F13" s="2"/>
      <c r="G13" s="7"/>
    </row>
    <row r="14">
      <c r="A14" s="1"/>
      <c r="B14" s="51" t="s">
        <v>9</v>
      </c>
      <c r="C14" s="52"/>
      <c r="D14" s="52"/>
      <c r="E14" s="52"/>
      <c r="F14" s="53"/>
      <c r="G14" s="68">
        <f>SUM(F12:G12)</f>
        <v>4223500</v>
      </c>
    </row>
    <row r="15">
      <c r="A15" s="6" t="s">
        <v>2918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2745</v>
      </c>
      <c r="C17" s="1"/>
      <c r="D17" s="1"/>
      <c r="E17" s="1"/>
      <c r="F17" s="1"/>
      <c r="G17" s="77">
        <v>220000.0</v>
      </c>
    </row>
    <row r="18">
      <c r="A18" s="1"/>
      <c r="B18" s="4" t="s">
        <v>13</v>
      </c>
      <c r="C18" s="1"/>
      <c r="D18" s="1"/>
      <c r="E18" s="1"/>
      <c r="F18" s="1"/>
      <c r="G18" s="13">
        <v>150000.0</v>
      </c>
    </row>
    <row r="19">
      <c r="A19" s="1"/>
      <c r="B19" s="4" t="s">
        <v>14</v>
      </c>
      <c r="C19" s="1"/>
      <c r="D19" s="1"/>
      <c r="E19" s="1"/>
      <c r="F19" s="1"/>
      <c r="G19" s="13">
        <v>150000.0</v>
      </c>
    </row>
    <row r="20">
      <c r="A20" s="1"/>
      <c r="B20" s="4" t="s">
        <v>16</v>
      </c>
      <c r="C20" s="1"/>
      <c r="D20" s="1"/>
      <c r="E20" s="1"/>
      <c r="F20" s="1"/>
      <c r="G20" s="77">
        <v>100000.0</v>
      </c>
    </row>
    <row r="21" ht="15.75" customHeight="1">
      <c r="A21" s="1"/>
      <c r="B21" s="4" t="s">
        <v>2746</v>
      </c>
      <c r="C21" s="1"/>
      <c r="D21" s="1"/>
      <c r="E21" s="1"/>
      <c r="F21" s="1"/>
      <c r="G21" s="77">
        <v>100000.0</v>
      </c>
    </row>
    <row r="22" ht="15.75" customHeight="1">
      <c r="A22" s="1"/>
      <c r="B22" s="9" t="s">
        <v>18</v>
      </c>
      <c r="C22" s="10"/>
      <c r="D22" s="10"/>
      <c r="E22" s="10"/>
      <c r="F22" s="10"/>
      <c r="G22" s="69">
        <f>SUM(G17:G21)</f>
        <v>720000</v>
      </c>
    </row>
    <row r="23" ht="15.75" customHeight="1">
      <c r="A23" s="1"/>
      <c r="B23" s="12" t="s">
        <v>19</v>
      </c>
      <c r="C23" s="15"/>
      <c r="D23" s="1"/>
      <c r="E23" s="1"/>
      <c r="F23" s="1"/>
      <c r="G23" s="2"/>
    </row>
    <row r="24" ht="15.75" customHeight="1">
      <c r="A24" s="1"/>
      <c r="B24" s="4" t="s">
        <v>2919</v>
      </c>
      <c r="C24" s="15"/>
      <c r="D24" s="1"/>
      <c r="E24" s="1"/>
      <c r="F24" s="1"/>
      <c r="G24" s="2">
        <v>8950.0</v>
      </c>
    </row>
    <row r="25" ht="15.75" customHeight="1">
      <c r="A25" s="1"/>
      <c r="B25" s="4" t="s">
        <v>203</v>
      </c>
      <c r="C25" s="15"/>
      <c r="D25" s="1"/>
      <c r="E25" s="1"/>
      <c r="F25" s="1"/>
      <c r="G25" s="2">
        <v>7000.0</v>
      </c>
    </row>
    <row r="26" ht="15.75" customHeight="1">
      <c r="A26" s="1"/>
      <c r="B26" s="4" t="s">
        <v>2920</v>
      </c>
      <c r="C26" s="15" t="s">
        <v>2858</v>
      </c>
      <c r="D26" s="1"/>
      <c r="E26" s="1"/>
      <c r="F26" s="1"/>
      <c r="G26" s="2">
        <v>30000.0</v>
      </c>
    </row>
    <row r="27" ht="15.75" customHeight="1">
      <c r="A27" s="1"/>
      <c r="B27" s="4" t="s">
        <v>2921</v>
      </c>
      <c r="C27" s="15"/>
      <c r="D27" s="1"/>
      <c r="E27" s="1"/>
      <c r="F27" s="1"/>
      <c r="G27" s="2">
        <v>278800.0</v>
      </c>
    </row>
    <row r="28" ht="15.75" customHeight="1">
      <c r="A28" s="1"/>
      <c r="B28" s="4" t="s">
        <v>2922</v>
      </c>
      <c r="C28" s="15"/>
      <c r="D28" s="1"/>
      <c r="E28" s="1"/>
      <c r="F28" s="1"/>
      <c r="G28" s="2">
        <v>65250.0</v>
      </c>
    </row>
    <row r="29" ht="15.75" customHeight="1">
      <c r="A29" s="1"/>
      <c r="B29" s="4" t="s">
        <v>2923</v>
      </c>
      <c r="C29" s="15"/>
      <c r="D29" s="1"/>
      <c r="E29" s="1"/>
      <c r="F29" s="1"/>
      <c r="G29" s="2">
        <v>65250.0</v>
      </c>
    </row>
    <row r="30" ht="15.75" customHeight="1">
      <c r="A30" s="1"/>
      <c r="B30" s="4" t="s">
        <v>2157</v>
      </c>
      <c r="C30" s="15"/>
      <c r="D30" s="1"/>
      <c r="E30" s="1"/>
      <c r="F30" s="1"/>
      <c r="G30" s="2">
        <v>20000.0</v>
      </c>
    </row>
    <row r="31" ht="15.75" customHeight="1">
      <c r="A31" s="1"/>
      <c r="B31" s="4" t="s">
        <v>2924</v>
      </c>
      <c r="C31" s="15"/>
      <c r="D31" s="1"/>
      <c r="E31" s="1"/>
      <c r="F31" s="1"/>
      <c r="G31" s="2">
        <v>27000.0</v>
      </c>
    </row>
    <row r="32" ht="15.75" customHeight="1">
      <c r="A32" s="1"/>
      <c r="B32" s="4" t="s">
        <v>2925</v>
      </c>
      <c r="C32" s="15"/>
      <c r="D32" s="1"/>
      <c r="E32" s="1"/>
      <c r="F32" s="1"/>
      <c r="G32" s="2">
        <v>90000.0</v>
      </c>
    </row>
    <row r="33" ht="15.75" customHeight="1">
      <c r="A33" s="1"/>
      <c r="B33" s="4" t="s">
        <v>2926</v>
      </c>
      <c r="C33" s="15"/>
      <c r="D33" s="1"/>
      <c r="E33" s="1"/>
      <c r="F33" s="1"/>
      <c r="G33" s="2">
        <v>1783.0</v>
      </c>
    </row>
    <row r="34" ht="15.75" customHeight="1">
      <c r="A34" s="1"/>
      <c r="B34" s="4" t="s">
        <v>2927</v>
      </c>
      <c r="C34" s="15"/>
      <c r="D34" s="1"/>
      <c r="E34" s="1"/>
      <c r="F34" s="1"/>
      <c r="G34" s="2">
        <v>3200.0</v>
      </c>
    </row>
    <row r="35" ht="15.75" customHeight="1">
      <c r="A35" s="1"/>
      <c r="B35" s="4" t="s">
        <v>652</v>
      </c>
      <c r="C35" s="15"/>
      <c r="D35" s="1"/>
      <c r="E35" s="1"/>
      <c r="F35" s="1"/>
      <c r="G35" s="2">
        <v>8000.0</v>
      </c>
    </row>
    <row r="36" ht="15.75" customHeight="1">
      <c r="A36" s="1"/>
      <c r="B36" s="4" t="s">
        <v>2928</v>
      </c>
      <c r="C36" s="15"/>
      <c r="D36" s="1"/>
      <c r="E36" s="1"/>
      <c r="F36" s="1"/>
      <c r="G36" s="2">
        <v>137356.0</v>
      </c>
    </row>
    <row r="37" ht="15.75" customHeight="1">
      <c r="A37" s="1"/>
      <c r="B37" s="4" t="s">
        <v>1470</v>
      </c>
      <c r="C37" s="15"/>
      <c r="D37" s="1"/>
      <c r="E37" s="1"/>
      <c r="F37" s="1"/>
      <c r="G37" s="2">
        <v>2000.0</v>
      </c>
    </row>
    <row r="38" ht="15.75" customHeight="1">
      <c r="A38" s="1"/>
      <c r="B38" s="4" t="s">
        <v>2929</v>
      </c>
      <c r="C38" s="15"/>
      <c r="D38" s="1"/>
      <c r="E38" s="1"/>
      <c r="F38" s="1"/>
      <c r="G38" s="2">
        <v>55000.0</v>
      </c>
    </row>
    <row r="39" ht="15.75" customHeight="1">
      <c r="A39" s="1"/>
      <c r="B39" s="4" t="s">
        <v>2672</v>
      </c>
      <c r="C39" s="15"/>
      <c r="D39" s="1"/>
      <c r="E39" s="1"/>
      <c r="F39" s="1"/>
      <c r="G39" s="2">
        <v>9000.0</v>
      </c>
    </row>
    <row r="40" ht="15.75" customHeight="1">
      <c r="A40" s="1"/>
      <c r="B40" s="4" t="s">
        <v>2930</v>
      </c>
      <c r="C40" s="15"/>
      <c r="D40" s="1"/>
      <c r="E40" s="1"/>
      <c r="F40" s="1"/>
      <c r="G40" s="2">
        <v>335000.0</v>
      </c>
    </row>
    <row r="41" ht="15.75" customHeight="1">
      <c r="A41" s="1"/>
      <c r="B41" s="4" t="s">
        <v>2931</v>
      </c>
      <c r="C41" s="15"/>
      <c r="D41" s="1"/>
      <c r="E41" s="1"/>
      <c r="F41" s="1"/>
      <c r="G41" s="2">
        <v>2000.0</v>
      </c>
    </row>
    <row r="42" ht="15.75" customHeight="1">
      <c r="A42" s="1"/>
      <c r="B42" s="4" t="s">
        <v>2932</v>
      </c>
      <c r="C42" s="15"/>
      <c r="D42" s="1"/>
      <c r="E42" s="1"/>
      <c r="F42" s="1"/>
      <c r="G42" s="2">
        <v>125000.0</v>
      </c>
    </row>
    <row r="43" ht="15.75" customHeight="1">
      <c r="A43" s="1"/>
      <c r="B43" s="4" t="s">
        <v>2931</v>
      </c>
      <c r="C43" s="15"/>
      <c r="D43" s="1"/>
      <c r="E43" s="1"/>
      <c r="F43" s="1"/>
      <c r="G43" s="2">
        <v>2500.0</v>
      </c>
    </row>
    <row r="44" ht="15.75" customHeight="1">
      <c r="A44" s="1"/>
      <c r="B44" s="4" t="s">
        <v>2933</v>
      </c>
      <c r="C44" s="15"/>
      <c r="D44" s="1"/>
      <c r="E44" s="1"/>
      <c r="F44" s="1"/>
      <c r="G44" s="2">
        <v>10000.0</v>
      </c>
    </row>
    <row r="45" ht="15.75" customHeight="1">
      <c r="A45" s="1"/>
      <c r="B45" s="4" t="s">
        <v>2931</v>
      </c>
      <c r="C45" s="15"/>
      <c r="D45" s="1"/>
      <c r="E45" s="1"/>
      <c r="F45" s="1"/>
      <c r="G45" s="2">
        <v>2000.0</v>
      </c>
    </row>
    <row r="46" ht="15.75" customHeight="1">
      <c r="A46" s="1"/>
      <c r="B46" s="4" t="s">
        <v>203</v>
      </c>
      <c r="C46" s="15"/>
      <c r="D46" s="1"/>
      <c r="E46" s="1"/>
      <c r="F46" s="1"/>
      <c r="G46" s="2">
        <v>6500.0</v>
      </c>
    </row>
    <row r="47" ht="15.75" customHeight="1">
      <c r="A47" s="1"/>
      <c r="B47" s="4" t="s">
        <v>2934</v>
      </c>
      <c r="C47" s="15"/>
      <c r="D47" s="1"/>
      <c r="E47" s="1"/>
      <c r="F47" s="1"/>
      <c r="G47" s="2">
        <v>2500.0</v>
      </c>
    </row>
    <row r="48" ht="15.75" customHeight="1">
      <c r="A48" s="1"/>
      <c r="B48" s="4" t="s">
        <v>245</v>
      </c>
      <c r="C48" s="15"/>
      <c r="D48" s="1"/>
      <c r="E48" s="1"/>
      <c r="F48" s="1"/>
      <c r="G48" s="2">
        <v>6000.0</v>
      </c>
    </row>
    <row r="49" ht="15.75" customHeight="1">
      <c r="A49" s="1"/>
      <c r="B49" s="4" t="s">
        <v>2935</v>
      </c>
      <c r="C49" s="15"/>
      <c r="D49" s="1"/>
      <c r="E49" s="1"/>
      <c r="F49" s="1"/>
      <c r="G49" s="2">
        <v>103100.0</v>
      </c>
    </row>
    <row r="50" ht="15.75" customHeight="1">
      <c r="A50" s="1"/>
      <c r="B50" s="4" t="s">
        <v>2936</v>
      </c>
      <c r="C50" s="15"/>
      <c r="D50" s="1"/>
      <c r="E50" s="1"/>
      <c r="F50" s="1"/>
      <c r="G50" s="2">
        <v>9312.0</v>
      </c>
    </row>
    <row r="51" ht="15.75" customHeight="1">
      <c r="A51" s="1"/>
      <c r="B51" s="4" t="s">
        <v>2937</v>
      </c>
      <c r="C51" s="15"/>
      <c r="D51" s="1"/>
      <c r="E51" s="1"/>
      <c r="F51" s="1"/>
      <c r="G51" s="2">
        <v>40000.0</v>
      </c>
    </row>
    <row r="52" ht="15.75" customHeight="1">
      <c r="A52" s="1"/>
      <c r="B52" s="4" t="s">
        <v>2938</v>
      </c>
      <c r="C52" s="15"/>
      <c r="D52" s="1"/>
      <c r="E52" s="1"/>
      <c r="F52" s="1"/>
      <c r="G52" s="2">
        <v>71349.0</v>
      </c>
    </row>
    <row r="53" ht="15.75" customHeight="1">
      <c r="A53" s="1"/>
      <c r="B53" s="4" t="s">
        <v>2939</v>
      </c>
      <c r="C53" s="15"/>
      <c r="D53" s="1"/>
      <c r="E53" s="1"/>
      <c r="F53" s="1"/>
      <c r="G53" s="2">
        <v>37230.0</v>
      </c>
    </row>
    <row r="54" ht="15.75" customHeight="1">
      <c r="A54" s="1"/>
      <c r="B54" s="4" t="s">
        <v>2940</v>
      </c>
      <c r="C54" s="15"/>
      <c r="D54" s="1"/>
      <c r="E54" s="1"/>
      <c r="F54" s="1"/>
      <c r="G54" s="2">
        <v>44014.0</v>
      </c>
    </row>
    <row r="55" ht="15.75" customHeight="1">
      <c r="A55" s="1"/>
      <c r="B55" s="4" t="s">
        <v>2941</v>
      </c>
      <c r="C55" s="15"/>
      <c r="D55" s="1"/>
      <c r="E55" s="1"/>
      <c r="F55" s="1"/>
      <c r="G55" s="2">
        <v>3600.0</v>
      </c>
    </row>
    <row r="56" ht="15.75" customHeight="1">
      <c r="A56" s="1"/>
      <c r="B56" s="4" t="s">
        <v>507</v>
      </c>
      <c r="C56" s="15"/>
      <c r="D56" s="1"/>
      <c r="E56" s="1"/>
      <c r="F56" s="1"/>
      <c r="G56" s="2">
        <v>1000.0</v>
      </c>
    </row>
    <row r="57" ht="15.75" customHeight="1">
      <c r="A57" s="1"/>
      <c r="B57" s="4" t="s">
        <v>2942</v>
      </c>
      <c r="C57" s="15"/>
      <c r="D57" s="1"/>
      <c r="E57" s="1"/>
      <c r="F57" s="1"/>
      <c r="G57" s="2">
        <v>1500.0</v>
      </c>
    </row>
    <row r="58" ht="15.75" customHeight="1">
      <c r="A58" s="1"/>
      <c r="B58" s="4" t="s">
        <v>2718</v>
      </c>
      <c r="C58" s="15"/>
      <c r="D58" s="1"/>
      <c r="E58" s="1"/>
      <c r="F58" s="1"/>
      <c r="G58" s="2">
        <v>3500.0</v>
      </c>
    </row>
    <row r="59" ht="15.75" customHeight="1">
      <c r="A59" s="1"/>
      <c r="B59" s="4" t="s">
        <v>2943</v>
      </c>
      <c r="C59" s="15"/>
      <c r="D59" s="1"/>
      <c r="E59" s="1"/>
      <c r="F59" s="1"/>
      <c r="G59" s="2">
        <v>16000.0</v>
      </c>
    </row>
    <row r="60" ht="15.75" customHeight="1">
      <c r="A60" s="1"/>
      <c r="B60" s="4" t="s">
        <v>2944</v>
      </c>
      <c r="C60" s="15"/>
      <c r="D60" s="1"/>
      <c r="E60" s="1"/>
      <c r="F60" s="1"/>
      <c r="G60" s="2">
        <v>3972.0</v>
      </c>
    </row>
    <row r="61" ht="15.75" customHeight="1">
      <c r="A61" s="1"/>
      <c r="B61" s="4" t="s">
        <v>2945</v>
      </c>
      <c r="C61" s="15"/>
      <c r="D61" s="1"/>
      <c r="E61" s="1"/>
      <c r="F61" s="1"/>
      <c r="G61" s="2">
        <v>2376.0</v>
      </c>
    </row>
    <row r="62" ht="15.75" customHeight="1">
      <c r="A62" s="1"/>
      <c r="B62" s="4" t="s">
        <v>2946</v>
      </c>
      <c r="C62" s="15"/>
      <c r="D62" s="1"/>
      <c r="E62" s="1"/>
      <c r="F62" s="1"/>
      <c r="G62" s="2">
        <v>14000.0</v>
      </c>
    </row>
    <row r="63" ht="15.75" customHeight="1">
      <c r="A63" s="1"/>
      <c r="B63" s="4" t="s">
        <v>2947</v>
      </c>
      <c r="C63" s="15"/>
      <c r="D63" s="1"/>
      <c r="E63" s="1"/>
      <c r="F63" s="1"/>
      <c r="G63" s="2">
        <v>1400.0</v>
      </c>
    </row>
    <row r="64" ht="15.75" customHeight="1">
      <c r="A64" s="1"/>
      <c r="B64" s="4" t="s">
        <v>2722</v>
      </c>
      <c r="C64" s="15"/>
      <c r="D64" s="1"/>
      <c r="E64" s="1"/>
      <c r="F64" s="1"/>
      <c r="G64" s="2">
        <v>6000.0</v>
      </c>
    </row>
    <row r="65" ht="15.75" customHeight="1">
      <c r="A65" s="1"/>
      <c r="B65" s="4" t="s">
        <v>2642</v>
      </c>
      <c r="C65" s="15"/>
      <c r="D65" s="1"/>
      <c r="E65" s="1"/>
      <c r="F65" s="1"/>
      <c r="G65" s="2">
        <v>7500.0</v>
      </c>
    </row>
    <row r="66" ht="15.75" customHeight="1">
      <c r="A66" s="1"/>
      <c r="B66" s="4" t="s">
        <v>2948</v>
      </c>
      <c r="C66" s="15"/>
      <c r="D66" s="1"/>
      <c r="E66" s="1"/>
      <c r="F66" s="1"/>
      <c r="G66" s="2">
        <v>40000.0</v>
      </c>
    </row>
    <row r="67" ht="15.75" customHeight="1">
      <c r="A67" s="1"/>
      <c r="B67" s="4" t="s">
        <v>2949</v>
      </c>
      <c r="C67" s="15"/>
      <c r="D67" s="1"/>
      <c r="E67" s="1"/>
      <c r="F67" s="1"/>
      <c r="G67" s="2">
        <v>13000.0</v>
      </c>
    </row>
    <row r="68" ht="15.75" customHeight="1">
      <c r="A68" s="1"/>
      <c r="B68" s="43" t="s">
        <v>43</v>
      </c>
      <c r="C68" s="1"/>
      <c r="D68" s="1"/>
      <c r="E68" s="1"/>
      <c r="F68" s="1"/>
      <c r="G68" s="18">
        <f>SUM(G24:G67)</f>
        <v>1718942</v>
      </c>
    </row>
    <row r="69" ht="15.75" customHeight="1">
      <c r="A69" s="1"/>
      <c r="B69" s="19" t="s">
        <v>45</v>
      </c>
      <c r="C69" s="20"/>
      <c r="D69" s="20"/>
      <c r="E69" s="20"/>
      <c r="F69" s="20"/>
      <c r="G69" s="70">
        <f>SUM(G22+G68)</f>
        <v>2438942</v>
      </c>
    </row>
    <row r="70" ht="15.75" customHeight="1">
      <c r="A70" s="35" t="s">
        <v>2950</v>
      </c>
      <c r="B70" s="36"/>
      <c r="C70" s="37"/>
      <c r="D70" s="82"/>
      <c r="E70" s="37"/>
      <c r="F70" s="37"/>
      <c r="G70" s="71">
        <f>(G14-G69)</f>
        <v>1784558</v>
      </c>
    </row>
    <row r="71" ht="15.75" customHeight="1">
      <c r="A71" s="35"/>
      <c r="B71" s="36"/>
      <c r="C71" s="37"/>
      <c r="D71" s="37"/>
      <c r="E71" s="37"/>
      <c r="F71" s="37"/>
      <c r="G71" s="71"/>
    </row>
    <row r="72" ht="15.75" customHeight="1">
      <c r="A72" s="22" t="s">
        <v>254</v>
      </c>
      <c r="B72" s="43" t="s">
        <v>255</v>
      </c>
      <c r="C72" s="1"/>
      <c r="D72" s="1"/>
      <c r="E72" s="1"/>
      <c r="F72" s="1"/>
      <c r="G72" s="2"/>
    </row>
    <row r="73" ht="15.75" customHeight="1">
      <c r="A73" s="22"/>
      <c r="B73" s="43" t="s">
        <v>2951</v>
      </c>
      <c r="C73" s="1"/>
      <c r="D73" s="1"/>
      <c r="E73" s="1"/>
      <c r="F73" s="1"/>
      <c r="G73" s="2">
        <v>2000000.0</v>
      </c>
    </row>
    <row r="74" ht="15.75" customHeight="1">
      <c r="A74" s="22"/>
      <c r="B74" s="43" t="s">
        <v>2952</v>
      </c>
      <c r="C74" s="1"/>
      <c r="D74" s="1"/>
      <c r="E74" s="1"/>
      <c r="F74" s="1"/>
      <c r="G74" s="2">
        <v>4750000.0</v>
      </c>
    </row>
    <row r="75" ht="15.75" customHeight="1">
      <c r="A75" s="44"/>
      <c r="B75" s="72" t="s">
        <v>51</v>
      </c>
      <c r="C75" s="27"/>
      <c r="D75" s="27"/>
      <c r="E75" s="27"/>
      <c r="F75" s="27"/>
      <c r="G75" s="81">
        <f>SUM(G73:G74)</f>
        <v>6750000</v>
      </c>
    </row>
    <row r="76" ht="15.75" customHeight="1">
      <c r="A76" s="44"/>
      <c r="B76" s="4"/>
      <c r="C76" s="15"/>
      <c r="D76" s="1"/>
      <c r="E76" s="1"/>
      <c r="F76" s="1"/>
    </row>
    <row r="77" ht="15.75" customHeight="1">
      <c r="A77" s="44"/>
      <c r="B77" s="45" t="s">
        <v>2953</v>
      </c>
      <c r="C77" s="45"/>
      <c r="D77" s="45"/>
      <c r="E77" s="46"/>
      <c r="F77" s="46"/>
      <c r="G77" s="47">
        <f>G2+G70-G75</f>
        <v>7303634</v>
      </c>
    </row>
    <row r="78" ht="15.75" customHeight="1">
      <c r="A78" s="1"/>
      <c r="B78" s="32" t="s">
        <v>2954</v>
      </c>
    </row>
    <row r="79" ht="15.75" customHeight="1">
      <c r="A79" s="1"/>
      <c r="B79" s="1"/>
      <c r="C79" s="1" t="s">
        <v>1115</v>
      </c>
      <c r="D79" s="1"/>
      <c r="E79" s="1"/>
      <c r="F79" s="1"/>
      <c r="G79" s="2">
        <v>6900.0</v>
      </c>
    </row>
    <row r="80" ht="15.75" customHeight="1">
      <c r="A80" s="1"/>
      <c r="B80" s="1"/>
      <c r="C80" s="1" t="s">
        <v>1665</v>
      </c>
      <c r="D80" s="1"/>
      <c r="E80" s="1"/>
      <c r="F80" s="1"/>
      <c r="G80" s="2">
        <v>490900.0</v>
      </c>
    </row>
    <row r="81" ht="15.75" customHeight="1">
      <c r="A81" s="1"/>
      <c r="B81" s="1"/>
      <c r="C81" s="43" t="s">
        <v>115</v>
      </c>
      <c r="D81" s="1"/>
      <c r="E81" s="1"/>
      <c r="F81" s="1"/>
      <c r="G81" s="2">
        <f>G79+G80</f>
        <v>497800</v>
      </c>
    </row>
    <row r="82" ht="15.75" customHeight="1">
      <c r="A82" s="43" t="s">
        <v>2955</v>
      </c>
      <c r="B82" s="43"/>
      <c r="C82" s="43"/>
      <c r="D82" s="1"/>
      <c r="E82" s="1"/>
      <c r="F82" s="1"/>
      <c r="G82" s="2"/>
    </row>
    <row r="83" ht="15.75" customHeight="1">
      <c r="A83" s="43" t="s">
        <v>2956</v>
      </c>
      <c r="B83" s="43"/>
      <c r="C83" s="43"/>
      <c r="D83" s="1"/>
      <c r="E83" s="1"/>
      <c r="F83" s="1"/>
      <c r="G83" s="1"/>
    </row>
    <row r="84" ht="15.75" customHeight="1">
      <c r="A84" s="43" t="s">
        <v>2957</v>
      </c>
      <c r="B84" s="43"/>
      <c r="C84" s="43"/>
      <c r="D84" s="1"/>
      <c r="E84" s="2"/>
      <c r="F84" s="1"/>
      <c r="G84" s="1"/>
    </row>
    <row r="85" ht="15.75" customHeight="1">
      <c r="A85" s="43" t="s">
        <v>2958</v>
      </c>
      <c r="B85" s="43"/>
      <c r="C85" s="43"/>
      <c r="D85" s="1"/>
      <c r="E85" s="2"/>
      <c r="F85" s="1"/>
      <c r="G85" s="1"/>
    </row>
    <row r="86" ht="15.75" customHeight="1">
      <c r="A86" s="43" t="s">
        <v>2959</v>
      </c>
      <c r="B86" s="43"/>
      <c r="C86" s="43"/>
      <c r="D86" s="2"/>
      <c r="E86" s="2"/>
      <c r="F86" s="1"/>
      <c r="G86" s="1"/>
    </row>
    <row r="87" ht="15.75" customHeight="1">
      <c r="A87" s="43" t="s">
        <v>2960</v>
      </c>
      <c r="B87" s="43"/>
      <c r="C87" s="43"/>
      <c r="D87" s="1"/>
      <c r="E87" s="1"/>
      <c r="F87" s="1"/>
      <c r="G87" s="1"/>
    </row>
    <row r="88" ht="15.75" customHeight="1">
      <c r="A88" s="1"/>
      <c r="B88" s="43" t="s">
        <v>2880</v>
      </c>
      <c r="C88" s="43"/>
      <c r="E88" s="1"/>
      <c r="F88" s="2">
        <v>3228000.0</v>
      </c>
      <c r="G88" s="1"/>
    </row>
    <row r="89" ht="15.75" customHeight="1">
      <c r="A89" s="1"/>
      <c r="B89" s="43" t="s">
        <v>2881</v>
      </c>
      <c r="C89" s="43"/>
      <c r="D89" s="1"/>
      <c r="E89" s="1"/>
      <c r="F89" s="2">
        <f>F10+F88</f>
        <v>3813000</v>
      </c>
      <c r="G89" s="1"/>
    </row>
    <row r="90" ht="15.75" customHeight="1">
      <c r="A90" s="1"/>
      <c r="B90" s="43"/>
      <c r="C90" s="43"/>
      <c r="D90" s="1"/>
      <c r="E90" s="1"/>
      <c r="F90" s="2"/>
      <c r="G90" s="1"/>
    </row>
    <row r="91" ht="15.75" customHeight="1">
      <c r="A91" s="1"/>
      <c r="B91" s="33" t="s">
        <v>2961</v>
      </c>
      <c r="C91" s="1"/>
      <c r="D91" s="1"/>
      <c r="E91" s="1"/>
      <c r="F91" s="1"/>
      <c r="G91" s="2"/>
    </row>
    <row r="92" ht="15.75" customHeight="1">
      <c r="A92" s="1"/>
      <c r="B92" s="55" t="s">
        <v>531</v>
      </c>
      <c r="C92" s="56"/>
      <c r="D92" s="56"/>
      <c r="E92" s="56"/>
      <c r="F92" s="1" t="s">
        <v>2686</v>
      </c>
      <c r="G92" s="55"/>
    </row>
    <row r="93" ht="15.75" customHeight="1">
      <c r="A93" s="1"/>
      <c r="B93" s="55" t="s">
        <v>2962</v>
      </c>
      <c r="C93" s="56"/>
      <c r="D93" s="56"/>
      <c r="E93" s="56"/>
      <c r="F93" s="1" t="s">
        <v>2688</v>
      </c>
      <c r="G93" s="55"/>
    </row>
    <row r="94" ht="15.75" customHeight="1">
      <c r="A94" s="1"/>
      <c r="B94" s="55" t="s">
        <v>533</v>
      </c>
      <c r="F94" s="1" t="s">
        <v>2689</v>
      </c>
      <c r="G94" s="55"/>
    </row>
    <row r="95" ht="15.75" customHeight="1">
      <c r="A95" s="1"/>
      <c r="B95" s="55" t="s">
        <v>2738</v>
      </c>
      <c r="C95" s="55"/>
      <c r="D95" s="55"/>
      <c r="E95" s="55"/>
      <c r="F95" s="1"/>
      <c r="G95" s="2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2:D12"/>
    <mergeCell ref="B14:F14"/>
    <mergeCell ref="B78:G78"/>
    <mergeCell ref="B94:E94"/>
  </mergeCells>
  <printOptions/>
  <pageMargins bottom="0.75" footer="0.0" header="0.0" left="0.7" right="0.7" top="0.75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26" width="10.71"/>
  </cols>
  <sheetData>
    <row r="1">
      <c r="A1" s="1" t="s">
        <v>721</v>
      </c>
      <c r="B1" s="3" t="s">
        <v>2963</v>
      </c>
      <c r="C1" s="1"/>
      <c r="D1" s="1"/>
      <c r="E1" s="1"/>
      <c r="F1" s="1"/>
      <c r="G1" s="2"/>
    </row>
    <row r="2">
      <c r="A2" s="1"/>
      <c r="B2" s="75" t="s">
        <v>2964</v>
      </c>
      <c r="G2" s="47">
        <v>7303634.0</v>
      </c>
    </row>
    <row r="3">
      <c r="A3" s="1"/>
      <c r="G3" s="2"/>
    </row>
    <row r="4">
      <c r="A4" s="6" t="s">
        <v>2965</v>
      </c>
      <c r="B4" s="1"/>
      <c r="C4" s="1"/>
      <c r="D4" s="1"/>
      <c r="E4" s="1"/>
      <c r="F4" s="48" t="s">
        <v>403</v>
      </c>
      <c r="G4" s="7" t="s">
        <v>404</v>
      </c>
    </row>
    <row r="5">
      <c r="A5" s="1"/>
      <c r="B5" s="4" t="s">
        <v>63</v>
      </c>
      <c r="C5" s="1"/>
      <c r="D5" s="1"/>
      <c r="E5" s="1"/>
      <c r="F5" s="2">
        <v>840300.0</v>
      </c>
      <c r="G5" s="7">
        <v>256000.0</v>
      </c>
    </row>
    <row r="6">
      <c r="A6" s="1"/>
      <c r="B6" s="4" t="s">
        <v>64</v>
      </c>
      <c r="C6" s="1"/>
      <c r="D6" s="1"/>
      <c r="E6" s="1"/>
      <c r="F6" s="2">
        <v>460900.0</v>
      </c>
      <c r="G6" s="7">
        <v>361000.0</v>
      </c>
    </row>
    <row r="7">
      <c r="A7" s="1"/>
      <c r="B7" s="4" t="s">
        <v>65</v>
      </c>
      <c r="C7" s="1"/>
      <c r="D7" s="1"/>
      <c r="E7" s="1"/>
      <c r="F7" s="2">
        <v>333100.0</v>
      </c>
      <c r="G7" s="7">
        <v>188000.0</v>
      </c>
    </row>
    <row r="8">
      <c r="A8" s="1"/>
      <c r="B8" s="4" t="s">
        <v>66</v>
      </c>
      <c r="C8" s="1"/>
      <c r="D8" s="1"/>
      <c r="E8" s="1"/>
      <c r="F8" s="2">
        <v>468600.0</v>
      </c>
      <c r="G8" s="76">
        <v>346000.0</v>
      </c>
    </row>
    <row r="9">
      <c r="A9" s="1"/>
      <c r="B9" s="4" t="s">
        <v>2887</v>
      </c>
      <c r="C9" s="1"/>
      <c r="D9" s="1"/>
      <c r="E9" s="1"/>
      <c r="F9" s="2">
        <v>243500.0</v>
      </c>
      <c r="G9" s="76">
        <v>78000.0</v>
      </c>
    </row>
    <row r="10">
      <c r="A10" s="1"/>
      <c r="B10" s="4" t="s">
        <v>2916</v>
      </c>
      <c r="C10" s="1"/>
      <c r="D10" s="49"/>
      <c r="E10" s="83"/>
      <c r="F10" s="7">
        <v>399000.0</v>
      </c>
      <c r="G10" s="7"/>
    </row>
    <row r="11">
      <c r="A11" s="1"/>
      <c r="B11" s="4" t="s">
        <v>2917</v>
      </c>
      <c r="C11" s="1"/>
      <c r="D11" s="49"/>
      <c r="E11" s="83"/>
      <c r="F11" s="7">
        <v>378000.0</v>
      </c>
      <c r="G11" s="7"/>
    </row>
    <row r="12">
      <c r="A12" s="1"/>
      <c r="B12" s="4"/>
      <c r="C12" s="50" t="s">
        <v>405</v>
      </c>
      <c r="E12" s="4"/>
      <c r="F12" s="2">
        <f>SUM(F5:F11)</f>
        <v>3123400</v>
      </c>
      <c r="G12" s="7">
        <f>SUM(G5:G9)</f>
        <v>1229000</v>
      </c>
    </row>
    <row r="13">
      <c r="A13" s="1"/>
      <c r="B13" s="4"/>
      <c r="C13" s="50"/>
      <c r="D13" s="50"/>
      <c r="E13" s="4"/>
      <c r="F13" s="2"/>
      <c r="G13" s="7"/>
    </row>
    <row r="14">
      <c r="A14" s="1"/>
      <c r="B14" s="51" t="s">
        <v>9</v>
      </c>
      <c r="C14" s="52"/>
      <c r="D14" s="52"/>
      <c r="E14" s="52"/>
      <c r="F14" s="53"/>
      <c r="G14" s="68">
        <f>SUM(F12:G12)</f>
        <v>4352400</v>
      </c>
    </row>
    <row r="15">
      <c r="A15" s="6" t="s">
        <v>2966</v>
      </c>
      <c r="B15" s="1"/>
      <c r="C15" s="1"/>
      <c r="D15" s="1"/>
      <c r="E15" s="1"/>
      <c r="F15" s="1"/>
      <c r="G15" s="2"/>
    </row>
    <row r="16">
      <c r="A16" s="1"/>
      <c r="B16" s="12" t="s">
        <v>11</v>
      </c>
      <c r="C16" s="1"/>
      <c r="D16" s="1"/>
      <c r="E16" s="1"/>
      <c r="F16" s="1"/>
      <c r="G16" s="2"/>
    </row>
    <row r="17">
      <c r="A17" s="1"/>
      <c r="B17" s="4" t="s">
        <v>2745</v>
      </c>
      <c r="C17" s="1"/>
      <c r="D17" s="1"/>
      <c r="E17" s="1"/>
      <c r="F17" s="1"/>
      <c r="G17" s="77">
        <v>280000.0</v>
      </c>
    </row>
    <row r="18">
      <c r="A18" s="1"/>
      <c r="B18" s="4" t="s">
        <v>13</v>
      </c>
      <c r="C18" s="1"/>
      <c r="D18" s="1"/>
      <c r="E18" s="1"/>
      <c r="F18" s="1"/>
      <c r="G18" s="13">
        <v>150000.0</v>
      </c>
    </row>
    <row r="19">
      <c r="A19" s="1"/>
      <c r="B19" s="4" t="s">
        <v>14</v>
      </c>
      <c r="C19" s="1"/>
      <c r="D19" s="1"/>
      <c r="E19" s="1"/>
      <c r="F19" s="1"/>
      <c r="G19" s="13">
        <v>150000.0</v>
      </c>
    </row>
    <row r="20">
      <c r="A20" s="1"/>
      <c r="B20" s="4" t="s">
        <v>16</v>
      </c>
      <c r="C20" s="1"/>
      <c r="D20" s="1"/>
      <c r="E20" s="1"/>
      <c r="F20" s="1"/>
      <c r="G20" s="77">
        <v>100000.0</v>
      </c>
    </row>
    <row r="21" ht="15.75" customHeight="1">
      <c r="A21" s="1"/>
      <c r="B21" s="4" t="s">
        <v>2746</v>
      </c>
      <c r="C21" s="1"/>
      <c r="D21" s="1"/>
      <c r="E21" s="1"/>
      <c r="F21" s="1"/>
      <c r="G21" s="77">
        <v>100000.0</v>
      </c>
    </row>
    <row r="22" ht="15.75" customHeight="1">
      <c r="A22" s="1"/>
      <c r="B22" s="9" t="s">
        <v>18</v>
      </c>
      <c r="C22" s="10"/>
      <c r="D22" s="10"/>
      <c r="E22" s="10"/>
      <c r="F22" s="10"/>
      <c r="G22" s="69">
        <f>SUM(G17:G21)</f>
        <v>780000</v>
      </c>
    </row>
    <row r="23" ht="15.75" customHeight="1">
      <c r="A23" s="1"/>
      <c r="B23" s="12" t="s">
        <v>19</v>
      </c>
      <c r="C23" s="15"/>
      <c r="D23" s="1"/>
      <c r="E23" s="1"/>
      <c r="F23" s="1"/>
      <c r="G23" s="2"/>
    </row>
    <row r="24" ht="15.75" customHeight="1">
      <c r="A24" s="1"/>
      <c r="B24" s="4" t="s">
        <v>2967</v>
      </c>
      <c r="C24" s="15"/>
      <c r="D24" s="1"/>
      <c r="E24" s="1"/>
      <c r="F24" s="1"/>
      <c r="G24" s="2">
        <v>40000.0</v>
      </c>
    </row>
    <row r="25" ht="15.75" customHeight="1">
      <c r="A25" s="1"/>
      <c r="B25" s="4" t="s">
        <v>2163</v>
      </c>
      <c r="C25" s="15"/>
      <c r="D25" s="1"/>
      <c r="E25" s="1"/>
      <c r="F25" s="1"/>
      <c r="G25" s="2">
        <v>5000.0</v>
      </c>
    </row>
    <row r="26" ht="15.75" customHeight="1">
      <c r="A26" s="1"/>
      <c r="B26" s="4" t="s">
        <v>2968</v>
      </c>
      <c r="C26" s="15" t="s">
        <v>2858</v>
      </c>
      <c r="D26" s="1"/>
      <c r="E26" s="1"/>
      <c r="F26" s="1"/>
      <c r="G26" s="2">
        <v>29205.0</v>
      </c>
    </row>
    <row r="27" ht="15.75" customHeight="1">
      <c r="A27" s="1"/>
      <c r="B27" s="4" t="s">
        <v>463</v>
      </c>
      <c r="C27" s="15"/>
      <c r="D27" s="1"/>
      <c r="E27" s="1"/>
      <c r="F27" s="1"/>
      <c r="G27" s="2">
        <v>10000.0</v>
      </c>
    </row>
    <row r="28" ht="15.75" customHeight="1">
      <c r="A28" s="1"/>
      <c r="B28" s="4" t="s">
        <v>282</v>
      </c>
      <c r="C28" s="15"/>
      <c r="D28" s="1"/>
      <c r="E28" s="1"/>
      <c r="F28" s="1"/>
      <c r="G28" s="2">
        <v>100000.0</v>
      </c>
    </row>
    <row r="29" ht="15.75" customHeight="1">
      <c r="A29" s="1"/>
      <c r="B29" s="4" t="s">
        <v>2969</v>
      </c>
      <c r="C29" s="15"/>
      <c r="D29" s="1"/>
      <c r="E29" s="1"/>
      <c r="F29" s="1"/>
      <c r="G29" s="2">
        <v>65250.0</v>
      </c>
    </row>
    <row r="30" ht="15.75" customHeight="1">
      <c r="A30" s="1"/>
      <c r="B30" s="4" t="s">
        <v>2970</v>
      </c>
      <c r="C30" s="15"/>
      <c r="D30" s="1"/>
      <c r="E30" s="1"/>
      <c r="F30" s="1"/>
      <c r="G30" s="2">
        <v>9000.0</v>
      </c>
    </row>
    <row r="31" ht="15.75" customHeight="1">
      <c r="A31" s="1"/>
      <c r="B31" s="4" t="s">
        <v>2971</v>
      </c>
      <c r="C31" s="15"/>
      <c r="D31" s="1"/>
      <c r="E31" s="1"/>
      <c r="F31" s="1"/>
      <c r="G31" s="2">
        <v>1149.0</v>
      </c>
    </row>
    <row r="32" ht="15.75" customHeight="1">
      <c r="A32" s="1"/>
      <c r="B32" s="4" t="s">
        <v>2972</v>
      </c>
      <c r="C32" s="15"/>
      <c r="D32" s="1"/>
      <c r="E32" s="1"/>
      <c r="F32" s="1"/>
      <c r="G32" s="2">
        <v>258300.0</v>
      </c>
    </row>
    <row r="33" ht="15.75" customHeight="1">
      <c r="A33" s="1"/>
      <c r="B33" s="4" t="s">
        <v>2973</v>
      </c>
      <c r="C33" s="15"/>
      <c r="D33" s="1"/>
      <c r="E33" s="1"/>
      <c r="F33" s="1"/>
      <c r="G33" s="2">
        <v>56000.0</v>
      </c>
    </row>
    <row r="34" ht="15.75" customHeight="1">
      <c r="A34" s="1"/>
      <c r="B34" s="4" t="s">
        <v>463</v>
      </c>
      <c r="C34" s="15"/>
      <c r="D34" s="1"/>
      <c r="E34" s="1"/>
      <c r="F34" s="1"/>
      <c r="G34" s="2">
        <v>10000.0</v>
      </c>
    </row>
    <row r="35" ht="15.75" customHeight="1">
      <c r="A35" s="1"/>
      <c r="B35" s="4" t="s">
        <v>203</v>
      </c>
      <c r="C35" s="15"/>
      <c r="D35" s="1"/>
      <c r="E35" s="1"/>
      <c r="F35" s="1"/>
      <c r="G35" s="2">
        <v>6500.0</v>
      </c>
    </row>
    <row r="36" ht="15.75" customHeight="1">
      <c r="A36" s="1"/>
      <c r="B36" s="4" t="s">
        <v>2974</v>
      </c>
      <c r="C36" s="15"/>
      <c r="D36" s="1"/>
      <c r="E36" s="1"/>
      <c r="F36" s="1"/>
      <c r="G36" s="2">
        <v>2000.0</v>
      </c>
    </row>
    <row r="37" ht="15.75" customHeight="1">
      <c r="A37" s="1"/>
      <c r="B37" s="4" t="s">
        <v>2975</v>
      </c>
      <c r="C37" s="15"/>
      <c r="D37" s="1"/>
      <c r="E37" s="1"/>
      <c r="F37" s="1"/>
      <c r="G37" s="2">
        <v>180000.0</v>
      </c>
    </row>
    <row r="38" ht="15.75" customHeight="1">
      <c r="A38" s="1"/>
      <c r="B38" s="4" t="s">
        <v>2976</v>
      </c>
      <c r="C38" s="15"/>
      <c r="D38" s="1"/>
      <c r="E38" s="1"/>
      <c r="F38" s="1"/>
      <c r="G38" s="2">
        <v>32450.0</v>
      </c>
    </row>
    <row r="39" ht="15.75" customHeight="1">
      <c r="A39" s="1"/>
      <c r="B39" s="4" t="s">
        <v>2389</v>
      </c>
      <c r="C39" s="15"/>
      <c r="D39" s="1"/>
      <c r="E39" s="1"/>
      <c r="F39" s="1"/>
      <c r="G39" s="2">
        <v>14000.0</v>
      </c>
    </row>
    <row r="40" ht="15.75" customHeight="1">
      <c r="A40" s="1"/>
      <c r="B40" s="4" t="s">
        <v>2977</v>
      </c>
      <c r="C40" s="15"/>
      <c r="D40" s="1"/>
      <c r="E40" s="1"/>
      <c r="F40" s="1"/>
      <c r="G40" s="2">
        <v>4750.0</v>
      </c>
    </row>
    <row r="41" ht="15.75" customHeight="1">
      <c r="A41" s="1"/>
      <c r="B41" s="4" t="s">
        <v>2978</v>
      </c>
      <c r="C41" s="15"/>
      <c r="D41" s="1"/>
      <c r="E41" s="1"/>
      <c r="F41" s="1"/>
      <c r="G41" s="2">
        <v>9800.0</v>
      </c>
    </row>
    <row r="42" ht="15.75" customHeight="1">
      <c r="A42" s="1"/>
      <c r="B42" s="4" t="s">
        <v>2979</v>
      </c>
      <c r="C42" s="15"/>
      <c r="D42" s="1"/>
      <c r="E42" s="1"/>
      <c r="F42" s="1"/>
      <c r="G42" s="2">
        <v>60000.0</v>
      </c>
      <c r="K42" s="67" t="s">
        <v>480</v>
      </c>
    </row>
    <row r="43" ht="15.75" customHeight="1">
      <c r="A43" s="1"/>
      <c r="B43" s="4" t="s">
        <v>2980</v>
      </c>
      <c r="C43" s="15"/>
      <c r="D43" s="1"/>
      <c r="E43" s="1"/>
      <c r="F43" s="1"/>
      <c r="G43" s="2">
        <v>110000.0</v>
      </c>
    </row>
    <row r="44" ht="15.75" customHeight="1">
      <c r="A44" s="1"/>
      <c r="B44" s="4" t="s">
        <v>463</v>
      </c>
      <c r="C44" s="15"/>
      <c r="D44" s="1"/>
      <c r="E44" s="1"/>
      <c r="F44" s="1"/>
      <c r="G44" s="2">
        <v>10000.0</v>
      </c>
    </row>
    <row r="45" ht="15.75" customHeight="1">
      <c r="A45" s="1"/>
      <c r="B45" s="4" t="s">
        <v>2066</v>
      </c>
      <c r="C45" s="15"/>
      <c r="D45" s="1"/>
      <c r="E45" s="1"/>
      <c r="F45" s="1"/>
      <c r="G45" s="2">
        <v>9000.0</v>
      </c>
    </row>
    <row r="46" ht="15.75" customHeight="1">
      <c r="A46" s="1"/>
      <c r="B46" s="4" t="s">
        <v>2981</v>
      </c>
      <c r="C46" s="15"/>
      <c r="D46" s="1"/>
      <c r="E46" s="1"/>
      <c r="F46" s="1"/>
      <c r="G46" s="2">
        <v>187500.0</v>
      </c>
    </row>
    <row r="47" ht="15.75" customHeight="1">
      <c r="A47" s="1"/>
      <c r="B47" s="4" t="s">
        <v>2982</v>
      </c>
      <c r="C47" s="15"/>
      <c r="D47" s="1"/>
      <c r="E47" s="1"/>
      <c r="F47" s="1"/>
      <c r="G47" s="2">
        <v>1400.0</v>
      </c>
    </row>
    <row r="48" ht="15.75" customHeight="1">
      <c r="A48" s="1"/>
      <c r="B48" s="4" t="s">
        <v>324</v>
      </c>
      <c r="C48" s="15"/>
      <c r="D48" s="1"/>
      <c r="E48" s="1"/>
      <c r="F48" s="1"/>
      <c r="G48" s="2">
        <v>1000.0</v>
      </c>
    </row>
    <row r="49" ht="15.75" customHeight="1">
      <c r="A49" s="1"/>
      <c r="B49" s="4" t="s">
        <v>2983</v>
      </c>
      <c r="C49" s="15"/>
      <c r="D49" s="1"/>
      <c r="E49" s="1"/>
      <c r="F49" s="1"/>
      <c r="G49" s="2">
        <v>2000.0</v>
      </c>
    </row>
    <row r="50" ht="15.75" customHeight="1">
      <c r="A50" s="1"/>
      <c r="B50" s="4" t="s">
        <v>2984</v>
      </c>
      <c r="C50" s="15"/>
      <c r="D50" s="1"/>
      <c r="E50" s="1"/>
      <c r="F50" s="1"/>
      <c r="G50" s="2">
        <v>3500.0</v>
      </c>
    </row>
    <row r="51" ht="15.75" customHeight="1">
      <c r="A51" s="1"/>
      <c r="B51" s="4" t="s">
        <v>2985</v>
      </c>
      <c r="C51" s="15"/>
      <c r="D51" s="1"/>
      <c r="E51" s="1"/>
      <c r="F51" s="1"/>
      <c r="G51" s="2">
        <v>147650.0</v>
      </c>
    </row>
    <row r="52" ht="15.75" customHeight="1">
      <c r="A52" s="1"/>
      <c r="B52" s="43" t="s">
        <v>43</v>
      </c>
      <c r="C52" s="1"/>
      <c r="D52" s="1"/>
      <c r="E52" s="1"/>
      <c r="F52" s="1"/>
      <c r="G52" s="18">
        <f>SUM(G24:G51)</f>
        <v>1365454</v>
      </c>
    </row>
    <row r="53" ht="15.75" customHeight="1">
      <c r="A53" s="1"/>
      <c r="B53" s="19" t="s">
        <v>45</v>
      </c>
      <c r="C53" s="20"/>
      <c r="D53" s="20"/>
      <c r="E53" s="20"/>
      <c r="F53" s="20"/>
      <c r="G53" s="70">
        <f>SUM(G22+G52)</f>
        <v>2145454</v>
      </c>
    </row>
    <row r="54" ht="15.75" customHeight="1">
      <c r="A54" s="35" t="s">
        <v>2986</v>
      </c>
      <c r="B54" s="36"/>
      <c r="C54" s="37"/>
      <c r="D54" s="82"/>
      <c r="E54" s="37"/>
      <c r="F54" s="37"/>
      <c r="G54" s="71">
        <f>(G14-G53)</f>
        <v>2206946</v>
      </c>
    </row>
    <row r="55" ht="15.75" customHeight="1">
      <c r="A55" s="35"/>
      <c r="B55" s="36"/>
      <c r="C55" s="37"/>
      <c r="D55" s="37"/>
      <c r="E55" s="37"/>
      <c r="F55" s="37"/>
      <c r="G55" s="71"/>
    </row>
    <row r="56" ht="15.75" customHeight="1">
      <c r="A56" s="22" t="s">
        <v>254</v>
      </c>
      <c r="B56" s="43" t="s">
        <v>255</v>
      </c>
      <c r="C56" s="1"/>
      <c r="D56" s="1"/>
      <c r="E56" s="1"/>
      <c r="F56" s="1"/>
      <c r="G56" s="2"/>
    </row>
    <row r="57" ht="15.75" customHeight="1">
      <c r="A57" s="22"/>
      <c r="B57" s="43" t="s">
        <v>2987</v>
      </c>
      <c r="C57" s="1"/>
      <c r="D57" s="1"/>
      <c r="E57" s="1"/>
      <c r="F57" s="1"/>
      <c r="G57" s="2">
        <v>586060.0</v>
      </c>
      <c r="L57" s="67" t="s">
        <v>480</v>
      </c>
    </row>
    <row r="58" ht="15.75" customHeight="1">
      <c r="A58" s="22"/>
      <c r="B58" s="43" t="s">
        <v>2988</v>
      </c>
      <c r="C58" s="1"/>
      <c r="D58" s="1"/>
      <c r="E58" s="1"/>
      <c r="F58" s="1"/>
      <c r="G58" s="2">
        <v>3000000.0</v>
      </c>
    </row>
    <row r="59" ht="15.75" customHeight="1">
      <c r="A59" s="22"/>
      <c r="B59" s="43" t="s">
        <v>2989</v>
      </c>
      <c r="C59" s="1"/>
      <c r="D59" s="1"/>
      <c r="E59" s="1"/>
      <c r="F59" s="1"/>
      <c r="G59" s="2">
        <v>475000.0</v>
      </c>
    </row>
    <row r="60" ht="15.75" customHeight="1">
      <c r="A60" s="22"/>
      <c r="B60" s="43" t="s">
        <v>2990</v>
      </c>
      <c r="C60" s="1"/>
      <c r="D60" s="1"/>
      <c r="E60" s="1"/>
      <c r="F60" s="1"/>
      <c r="G60" s="2">
        <v>500000.0</v>
      </c>
    </row>
    <row r="61" ht="15.75" customHeight="1">
      <c r="A61" s="44"/>
      <c r="B61" s="72" t="s">
        <v>51</v>
      </c>
      <c r="C61" s="27"/>
      <c r="D61" s="27"/>
      <c r="E61" s="27"/>
      <c r="F61" s="27"/>
      <c r="G61" s="81">
        <f>SUM(G57:G60)</f>
        <v>4561060</v>
      </c>
    </row>
    <row r="62" ht="15.75" customHeight="1">
      <c r="A62" s="44"/>
      <c r="B62" s="4"/>
      <c r="C62" s="15"/>
      <c r="D62" s="1"/>
      <c r="E62" s="1"/>
      <c r="F62" s="1"/>
    </row>
    <row r="63" ht="15.75" customHeight="1">
      <c r="A63" s="44"/>
      <c r="B63" s="45" t="s">
        <v>2991</v>
      </c>
      <c r="C63" s="45"/>
      <c r="D63" s="45"/>
      <c r="E63" s="46"/>
      <c r="F63" s="46"/>
      <c r="G63" s="47">
        <f>G2+G54-G61</f>
        <v>4949520</v>
      </c>
    </row>
    <row r="64" ht="15.75" customHeight="1">
      <c r="A64" s="1"/>
      <c r="B64" s="32" t="s">
        <v>2992</v>
      </c>
    </row>
    <row r="65" ht="15.75" customHeight="1">
      <c r="A65" s="1"/>
      <c r="B65" s="1"/>
      <c r="C65" s="1" t="s">
        <v>2227</v>
      </c>
      <c r="D65" s="1"/>
      <c r="E65" s="1"/>
      <c r="F65" s="1"/>
      <c r="G65" s="2">
        <v>0.0</v>
      </c>
    </row>
    <row r="66" ht="15.75" customHeight="1">
      <c r="A66" s="1"/>
      <c r="B66" s="1"/>
      <c r="C66" s="1" t="s">
        <v>2626</v>
      </c>
      <c r="D66" s="1"/>
      <c r="E66" s="1"/>
      <c r="F66" s="1"/>
      <c r="G66" s="2">
        <v>384500.0</v>
      </c>
    </row>
    <row r="67" ht="15.75" customHeight="1">
      <c r="A67" s="1"/>
      <c r="B67" s="1"/>
      <c r="C67" s="43" t="s">
        <v>115</v>
      </c>
      <c r="D67" s="1"/>
      <c r="E67" s="1"/>
      <c r="F67" s="1"/>
      <c r="G67" s="2">
        <f>G65+G66</f>
        <v>384500</v>
      </c>
    </row>
    <row r="68" ht="15.75" customHeight="1">
      <c r="A68" s="43" t="s">
        <v>2955</v>
      </c>
      <c r="B68" s="43"/>
      <c r="C68" s="43"/>
      <c r="D68" s="1"/>
      <c r="E68" s="1"/>
      <c r="F68" s="1"/>
      <c r="G68" s="2"/>
      <c r="J68" s="67" t="s">
        <v>480</v>
      </c>
    </row>
    <row r="69" ht="15.75" customHeight="1">
      <c r="A69" s="43" t="s">
        <v>2993</v>
      </c>
      <c r="B69" s="43"/>
      <c r="C69" s="43"/>
      <c r="D69" s="1"/>
      <c r="E69" s="1"/>
      <c r="F69" s="1"/>
      <c r="G69" s="1"/>
    </row>
    <row r="70" ht="15.75" customHeight="1">
      <c r="A70" s="43" t="s">
        <v>2958</v>
      </c>
      <c r="B70" s="43"/>
      <c r="C70" s="43"/>
      <c r="D70" s="1"/>
      <c r="E70" s="2"/>
      <c r="F70" s="1"/>
      <c r="G70" s="1"/>
    </row>
    <row r="71" ht="15.75" customHeight="1">
      <c r="A71" s="43" t="s">
        <v>2994</v>
      </c>
      <c r="B71" s="43"/>
      <c r="C71" s="43"/>
      <c r="D71" s="1"/>
      <c r="E71" s="2"/>
      <c r="F71" s="1"/>
      <c r="G71" s="1"/>
      <c r="N71" s="67" t="s">
        <v>480</v>
      </c>
    </row>
    <row r="72" ht="15.75" customHeight="1">
      <c r="A72" s="43" t="s">
        <v>2995</v>
      </c>
      <c r="B72" s="43"/>
      <c r="C72" s="43"/>
      <c r="D72" s="1"/>
      <c r="E72" s="1"/>
      <c r="F72" s="1"/>
      <c r="G72" s="1"/>
    </row>
    <row r="73" ht="15.75" customHeight="1">
      <c r="A73" s="1"/>
      <c r="B73" s="43" t="s">
        <v>2880</v>
      </c>
      <c r="C73" s="43"/>
      <c r="E73" s="1"/>
      <c r="F73" s="2">
        <v>228000.0</v>
      </c>
      <c r="G73" s="1"/>
    </row>
    <row r="74" ht="15.75" customHeight="1">
      <c r="A74" s="1"/>
      <c r="B74" s="43" t="s">
        <v>2881</v>
      </c>
      <c r="C74" s="43"/>
      <c r="D74" s="1"/>
      <c r="E74" s="1"/>
      <c r="F74" s="2">
        <f>F10+F73-G60</f>
        <v>127000</v>
      </c>
      <c r="G74" s="1"/>
    </row>
    <row r="75" ht="15.75" customHeight="1">
      <c r="A75" s="1"/>
      <c r="B75" s="43"/>
      <c r="C75" s="43"/>
      <c r="D75" s="1"/>
      <c r="E75" s="1"/>
      <c r="F75" s="2"/>
      <c r="G75" s="1"/>
    </row>
    <row r="76" ht="15.75" customHeight="1">
      <c r="A76" s="1"/>
      <c r="B76" s="33" t="s">
        <v>2996</v>
      </c>
      <c r="C76" s="1"/>
      <c r="D76" s="1"/>
      <c r="E76" s="1"/>
      <c r="F76" s="1"/>
      <c r="G76" s="2"/>
    </row>
    <row r="77" ht="15.75" customHeight="1">
      <c r="A77" s="1"/>
      <c r="B77" s="55" t="s">
        <v>531</v>
      </c>
      <c r="C77" s="56"/>
      <c r="D77" s="56"/>
      <c r="E77" s="56"/>
      <c r="F77" s="1" t="s">
        <v>2686</v>
      </c>
      <c r="G77" s="55"/>
    </row>
    <row r="78" ht="15.75" customHeight="1">
      <c r="A78" s="1"/>
      <c r="B78" s="55"/>
      <c r="C78" s="56"/>
      <c r="D78" s="56"/>
      <c r="E78" s="56"/>
      <c r="F78" s="1"/>
      <c r="G78" s="55"/>
    </row>
    <row r="79" ht="15.75" customHeight="1">
      <c r="A79" s="1"/>
      <c r="B79" s="55" t="s">
        <v>2997</v>
      </c>
      <c r="C79" s="56"/>
      <c r="D79" s="56"/>
      <c r="E79" s="56"/>
      <c r="F79" s="1" t="s">
        <v>2688</v>
      </c>
      <c r="G79" s="55"/>
    </row>
    <row r="80" ht="15.75" customHeight="1">
      <c r="A80" s="1"/>
      <c r="B80" s="55"/>
      <c r="C80" s="56"/>
      <c r="D80" s="56"/>
      <c r="E80" s="56"/>
      <c r="F80" s="1"/>
      <c r="G80" s="55"/>
    </row>
    <row r="81" ht="15.75" customHeight="1">
      <c r="A81" s="1"/>
      <c r="B81" s="55" t="s">
        <v>533</v>
      </c>
      <c r="F81" s="1" t="s">
        <v>2689</v>
      </c>
      <c r="G81" s="55"/>
    </row>
    <row r="82" ht="15.75" customHeight="1">
      <c r="A82" s="1"/>
      <c r="B82" s="55"/>
      <c r="C82" s="55"/>
      <c r="D82" s="55"/>
      <c r="E82" s="55"/>
      <c r="F82" s="1"/>
      <c r="G82" s="55"/>
    </row>
    <row r="83" ht="15.75" customHeight="1">
      <c r="A83" s="1"/>
      <c r="B83" s="55" t="s">
        <v>2738</v>
      </c>
      <c r="C83" s="55"/>
      <c r="D83" s="55"/>
      <c r="E83" s="55"/>
      <c r="F83" s="1"/>
      <c r="G83" s="2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3"/>
    <mergeCell ref="C12:D12"/>
    <mergeCell ref="B14:F14"/>
    <mergeCell ref="B64:G64"/>
    <mergeCell ref="B81:E81"/>
  </mergeCells>
  <printOptions/>
  <pageMargins bottom="0.75" footer="0.0" header="0.0" left="0.7" right="0.7" top="0.75"/>
  <pageSetup paperSize="9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6.71"/>
    <col customWidth="1" min="5" max="5" width="13.14"/>
    <col customWidth="1" min="6" max="6" width="18.14"/>
    <col customWidth="1" min="7" max="7" width="19.14"/>
    <col customWidth="1" min="8" max="26" width="10.71"/>
  </cols>
  <sheetData>
    <row r="1">
      <c r="A1" s="1" t="s">
        <v>721</v>
      </c>
      <c r="B1" s="3" t="s">
        <v>2998</v>
      </c>
      <c r="C1" s="1"/>
      <c r="D1" s="1"/>
      <c r="E1" s="1"/>
      <c r="F1" s="1"/>
      <c r="G1" s="2"/>
    </row>
    <row r="2" ht="22.5" customHeight="1">
      <c r="A2" s="75" t="s">
        <v>2999</v>
      </c>
      <c r="F2" s="84">
        <v>4949520.0</v>
      </c>
      <c r="G2" s="53"/>
    </row>
    <row r="3">
      <c r="G3" s="2"/>
    </row>
    <row r="4">
      <c r="A4" s="6" t="s">
        <v>3000</v>
      </c>
      <c r="B4" s="1"/>
      <c r="C4" s="1"/>
      <c r="D4" s="1" t="s">
        <v>3001</v>
      </c>
      <c r="E4" s="50" t="s">
        <v>3002</v>
      </c>
      <c r="F4" s="50" t="s">
        <v>3003</v>
      </c>
      <c r="G4" s="85" t="s">
        <v>3004</v>
      </c>
    </row>
    <row r="5">
      <c r="A5" s="1"/>
      <c r="B5" s="4" t="s">
        <v>63</v>
      </c>
      <c r="C5" s="1"/>
      <c r="D5" s="1">
        <v>33000.0</v>
      </c>
      <c r="E5" s="1">
        <v>151000.0</v>
      </c>
      <c r="F5" s="2">
        <v>102500.0</v>
      </c>
      <c r="G5" s="7">
        <v>611000.0</v>
      </c>
    </row>
    <row r="6">
      <c r="A6" s="1"/>
      <c r="B6" s="4" t="s">
        <v>64</v>
      </c>
      <c r="C6" s="1"/>
      <c r="D6" s="1">
        <v>90000.0</v>
      </c>
      <c r="E6" s="1">
        <v>179000.0</v>
      </c>
      <c r="F6" s="2">
        <v>132500.0</v>
      </c>
      <c r="G6" s="7">
        <v>673900.0</v>
      </c>
    </row>
    <row r="7">
      <c r="A7" s="1"/>
      <c r="B7" s="4" t="s">
        <v>65</v>
      </c>
      <c r="C7" s="1"/>
      <c r="D7" s="1">
        <v>84000.0</v>
      </c>
      <c r="E7" s="1">
        <v>163000.0</v>
      </c>
      <c r="F7" s="2">
        <v>132500.0</v>
      </c>
      <c r="G7" s="7">
        <v>785700.0</v>
      </c>
    </row>
    <row r="8">
      <c r="A8" s="1"/>
      <c r="B8" s="4" t="s">
        <v>66</v>
      </c>
      <c r="C8" s="1"/>
      <c r="D8" s="1">
        <v>81000.0</v>
      </c>
      <c r="E8" s="1">
        <v>123000.0</v>
      </c>
      <c r="F8" s="2">
        <v>157500.0</v>
      </c>
      <c r="G8" s="76">
        <v>718500.0</v>
      </c>
    </row>
    <row r="9">
      <c r="A9" s="1"/>
      <c r="B9" s="4" t="s">
        <v>2887</v>
      </c>
      <c r="C9" s="1"/>
      <c r="D9" s="1">
        <v>68000.0</v>
      </c>
      <c r="E9" s="1">
        <v>127000.0</v>
      </c>
      <c r="F9" s="2">
        <v>140000.0</v>
      </c>
      <c r="G9" s="76">
        <v>859500.0</v>
      </c>
    </row>
    <row r="10">
      <c r="A10" s="50" t="s">
        <v>405</v>
      </c>
      <c r="D10" s="67">
        <f t="shared" ref="D10:G10" si="1">SUM(D5:D9)</f>
        <v>356000</v>
      </c>
      <c r="E10" s="4">
        <f t="shared" si="1"/>
        <v>743000</v>
      </c>
      <c r="F10" s="2">
        <f t="shared" si="1"/>
        <v>665000</v>
      </c>
      <c r="G10" s="7">
        <f t="shared" si="1"/>
        <v>3648600</v>
      </c>
    </row>
    <row r="11">
      <c r="A11" s="1"/>
      <c r="B11" s="4"/>
      <c r="C11" s="50"/>
      <c r="D11" s="50"/>
      <c r="E11" s="4"/>
      <c r="F11" s="2"/>
      <c r="G11" s="7"/>
    </row>
    <row r="12">
      <c r="A12" s="1"/>
      <c r="B12" s="51" t="s">
        <v>9</v>
      </c>
      <c r="C12" s="52"/>
      <c r="D12" s="52"/>
      <c r="E12" s="52"/>
      <c r="F12" s="53"/>
      <c r="G12" s="68">
        <f>SUM(D10:G10)</f>
        <v>5412600</v>
      </c>
    </row>
    <row r="13">
      <c r="A13" s="6" t="s">
        <v>3005</v>
      </c>
      <c r="B13" s="1"/>
      <c r="C13" s="1"/>
      <c r="D13" s="1"/>
      <c r="E13" s="1"/>
      <c r="F13" s="1"/>
      <c r="G13" s="2"/>
    </row>
    <row r="14">
      <c r="A14" s="1"/>
      <c r="B14" s="12" t="s">
        <v>11</v>
      </c>
      <c r="C14" s="1"/>
      <c r="D14" s="1"/>
      <c r="E14" s="1"/>
      <c r="F14" s="1"/>
      <c r="G14" s="2"/>
    </row>
    <row r="15">
      <c r="A15" s="1"/>
      <c r="B15" s="4" t="s">
        <v>2745</v>
      </c>
      <c r="C15" s="1"/>
      <c r="D15" s="1"/>
      <c r="E15" s="1"/>
      <c r="F15" s="1"/>
      <c r="G15" s="77">
        <v>160000.0</v>
      </c>
    </row>
    <row r="16">
      <c r="A16" s="1"/>
      <c r="B16" s="4" t="s">
        <v>13</v>
      </c>
      <c r="C16" s="1"/>
      <c r="D16" s="1"/>
      <c r="E16" s="1"/>
      <c r="F16" s="1"/>
      <c r="G16" s="13">
        <v>150000.0</v>
      </c>
    </row>
    <row r="17">
      <c r="A17" s="1"/>
      <c r="B17" s="4" t="s">
        <v>14</v>
      </c>
      <c r="C17" s="1"/>
      <c r="D17" s="1"/>
      <c r="E17" s="1"/>
      <c r="F17" s="1"/>
      <c r="G17" s="13">
        <v>150000.0</v>
      </c>
    </row>
    <row r="18">
      <c r="A18" s="1"/>
      <c r="B18" s="4" t="s">
        <v>16</v>
      </c>
      <c r="C18" s="1"/>
      <c r="D18" s="1"/>
      <c r="E18" s="1"/>
      <c r="F18" s="1"/>
      <c r="G18" s="77">
        <v>100000.0</v>
      </c>
    </row>
    <row r="19" ht="16.5" customHeight="1">
      <c r="A19" s="1"/>
      <c r="B19" s="4" t="s">
        <v>2746</v>
      </c>
      <c r="C19" s="1"/>
      <c r="D19" s="1"/>
      <c r="E19" s="1"/>
      <c r="F19" s="1"/>
      <c r="G19" s="77">
        <v>100000.0</v>
      </c>
    </row>
    <row r="20" ht="16.5" customHeight="1">
      <c r="A20" s="1"/>
      <c r="B20" s="4" t="s">
        <v>3006</v>
      </c>
      <c r="C20" s="1"/>
      <c r="D20" s="1"/>
      <c r="E20" s="1"/>
      <c r="F20" s="1"/>
      <c r="G20" s="77">
        <v>100000.0</v>
      </c>
    </row>
    <row r="21" ht="16.5" customHeight="1">
      <c r="A21" s="1"/>
      <c r="B21" s="4" t="s">
        <v>3007</v>
      </c>
      <c r="C21" s="1"/>
      <c r="D21" s="1"/>
      <c r="E21" s="1"/>
      <c r="F21" s="1"/>
      <c r="G21" s="77">
        <v>100000.0</v>
      </c>
    </row>
    <row r="22" ht="15.75" customHeight="1">
      <c r="A22" s="1"/>
      <c r="B22" s="9" t="s">
        <v>18</v>
      </c>
      <c r="C22" s="10"/>
      <c r="D22" s="10"/>
      <c r="E22" s="10"/>
      <c r="F22" s="10"/>
      <c r="G22" s="69">
        <f>SUM(G15:G21)</f>
        <v>860000</v>
      </c>
    </row>
    <row r="23" ht="15.75" customHeight="1">
      <c r="A23" s="1"/>
      <c r="B23" s="12" t="s">
        <v>19</v>
      </c>
      <c r="C23" s="15"/>
      <c r="D23" s="1"/>
      <c r="E23" s="1"/>
      <c r="F23" s="1"/>
      <c r="G23" s="2"/>
    </row>
    <row r="24" ht="15.75" customHeight="1">
      <c r="A24" s="1"/>
      <c r="B24" s="4" t="s">
        <v>463</v>
      </c>
      <c r="C24" s="15"/>
      <c r="D24" s="1"/>
      <c r="E24" s="1"/>
      <c r="F24" s="1"/>
      <c r="G24" s="2">
        <v>10000.0</v>
      </c>
    </row>
    <row r="25" ht="15.75" customHeight="1">
      <c r="A25" s="1"/>
      <c r="B25" s="4" t="s">
        <v>3008</v>
      </c>
      <c r="C25" s="15"/>
      <c r="D25" s="1"/>
      <c r="E25" s="1"/>
      <c r="F25" s="1"/>
      <c r="G25" s="2">
        <v>65000.0</v>
      </c>
    </row>
    <row r="26" ht="15.75" customHeight="1">
      <c r="A26" s="1"/>
      <c r="B26" s="4" t="s">
        <v>3009</v>
      </c>
      <c r="C26" s="15"/>
      <c r="D26" s="1"/>
      <c r="E26" s="1"/>
      <c r="F26" s="1"/>
      <c r="G26" s="2">
        <v>99356.0</v>
      </c>
    </row>
    <row r="27" ht="15.75" customHeight="1">
      <c r="A27" s="1"/>
      <c r="B27" s="4" t="s">
        <v>3010</v>
      </c>
      <c r="C27" s="15"/>
      <c r="D27" s="1"/>
      <c r="E27" s="1"/>
      <c r="F27" s="1"/>
      <c r="G27" s="2">
        <v>65250.0</v>
      </c>
    </row>
    <row r="28" ht="15.75" customHeight="1">
      <c r="A28" s="1"/>
      <c r="B28" s="4" t="s">
        <v>203</v>
      </c>
      <c r="C28" s="15"/>
      <c r="D28" s="1"/>
      <c r="E28" s="1"/>
      <c r="F28" s="1"/>
      <c r="G28" s="2">
        <v>6500.0</v>
      </c>
    </row>
    <row r="29" ht="15.75" customHeight="1">
      <c r="A29" s="1"/>
      <c r="B29" s="4" t="s">
        <v>2429</v>
      </c>
      <c r="C29" s="15"/>
      <c r="D29" s="1"/>
      <c r="E29" s="1"/>
      <c r="F29" s="1"/>
      <c r="G29" s="2">
        <v>16000.0</v>
      </c>
    </row>
    <row r="30" ht="15.75" customHeight="1">
      <c r="A30" s="1"/>
      <c r="B30" s="4" t="s">
        <v>3011</v>
      </c>
      <c r="C30" s="15"/>
      <c r="D30" s="1"/>
      <c r="E30" s="1"/>
      <c r="F30" s="1"/>
      <c r="G30" s="2">
        <v>1500.0</v>
      </c>
    </row>
    <row r="31" ht="15.75" customHeight="1">
      <c r="A31" s="1"/>
      <c r="B31" s="4" t="s">
        <v>3012</v>
      </c>
      <c r="C31" s="15"/>
      <c r="D31" s="1"/>
      <c r="E31" s="1"/>
      <c r="F31" s="1"/>
      <c r="G31" s="2">
        <v>27000.0</v>
      </c>
    </row>
    <row r="32" ht="15.75" customHeight="1">
      <c r="A32" s="1"/>
      <c r="B32" s="4" t="s">
        <v>3013</v>
      </c>
      <c r="C32" s="15"/>
      <c r="D32" s="1"/>
      <c r="E32" s="1"/>
      <c r="F32" s="1"/>
      <c r="G32" s="2">
        <v>10000.0</v>
      </c>
    </row>
    <row r="33" ht="15.75" customHeight="1">
      <c r="A33" s="1"/>
      <c r="B33" s="4" t="s">
        <v>2672</v>
      </c>
      <c r="C33" s="15"/>
      <c r="D33" s="1"/>
      <c r="E33" s="1"/>
      <c r="F33" s="1"/>
      <c r="G33" s="2">
        <v>9000.0</v>
      </c>
    </row>
    <row r="34" ht="15.75" customHeight="1">
      <c r="A34" s="1"/>
      <c r="B34" s="4" t="s">
        <v>2157</v>
      </c>
      <c r="C34" s="15"/>
      <c r="D34" s="1"/>
      <c r="E34" s="1"/>
      <c r="F34" s="1"/>
      <c r="G34" s="2">
        <v>20000.0</v>
      </c>
    </row>
    <row r="35" ht="15.75" customHeight="1">
      <c r="A35" s="1"/>
      <c r="B35" s="4" t="s">
        <v>3014</v>
      </c>
      <c r="C35" s="15"/>
      <c r="D35" s="1"/>
      <c r="E35" s="1"/>
      <c r="F35" s="1"/>
      <c r="G35" s="2">
        <v>50000.0</v>
      </c>
    </row>
    <row r="36" ht="15.75" customHeight="1">
      <c r="A36" s="1"/>
      <c r="B36" s="4" t="s">
        <v>3015</v>
      </c>
      <c r="C36" s="15"/>
      <c r="D36" s="1"/>
      <c r="E36" s="1"/>
      <c r="F36" s="1"/>
      <c r="G36" s="2">
        <v>74700.0</v>
      </c>
    </row>
    <row r="37" ht="15.75" customHeight="1">
      <c r="A37" s="1"/>
      <c r="B37" s="4" t="s">
        <v>3016</v>
      </c>
      <c r="C37" s="15"/>
      <c r="D37" s="1"/>
      <c r="E37" s="1"/>
      <c r="F37" s="1"/>
      <c r="G37" s="2">
        <v>123900.0</v>
      </c>
    </row>
    <row r="38" ht="15.75" customHeight="1">
      <c r="A38" s="1"/>
      <c r="B38" s="4" t="s">
        <v>3017</v>
      </c>
      <c r="C38" s="15"/>
      <c r="D38" s="1"/>
      <c r="E38" s="1"/>
      <c r="F38" s="1"/>
      <c r="G38" s="2">
        <v>1000.0</v>
      </c>
    </row>
    <row r="39" ht="15.75" customHeight="1">
      <c r="A39" s="1"/>
      <c r="B39" s="4" t="s">
        <v>3018</v>
      </c>
      <c r="C39" s="15"/>
      <c r="D39" s="1"/>
      <c r="E39" s="1"/>
      <c r="F39" s="1"/>
      <c r="G39" s="2">
        <v>58700.0</v>
      </c>
    </row>
    <row r="40" ht="15.75" customHeight="1">
      <c r="A40" s="1"/>
      <c r="B40" s="4" t="s">
        <v>3019</v>
      </c>
      <c r="C40" s="15"/>
      <c r="D40" s="1"/>
      <c r="E40" s="1"/>
      <c r="F40" s="1"/>
      <c r="G40" s="2">
        <v>10000.0</v>
      </c>
    </row>
    <row r="41" ht="15.75" customHeight="1">
      <c r="A41" s="1"/>
      <c r="B41" s="4" t="s">
        <v>2429</v>
      </c>
      <c r="C41" s="15"/>
      <c r="D41" s="1"/>
      <c r="E41" s="1"/>
      <c r="F41" s="1"/>
      <c r="G41" s="2">
        <v>16000.0</v>
      </c>
    </row>
    <row r="42" ht="15.75" customHeight="1">
      <c r="A42" s="1"/>
      <c r="B42" s="4" t="s">
        <v>3020</v>
      </c>
      <c r="C42" s="15"/>
      <c r="D42" s="1"/>
      <c r="E42" s="1"/>
      <c r="F42" s="1"/>
      <c r="G42" s="2">
        <v>2000.0</v>
      </c>
    </row>
    <row r="43" ht="15.75" customHeight="1">
      <c r="A43" s="1"/>
      <c r="B43" s="4" t="s">
        <v>3021</v>
      </c>
      <c r="C43" s="15"/>
      <c r="D43" s="1"/>
      <c r="E43" s="1"/>
      <c r="F43" s="1"/>
      <c r="G43" s="2">
        <v>4200.0</v>
      </c>
    </row>
    <row r="44" ht="15.75" customHeight="1">
      <c r="A44" s="1"/>
      <c r="B44" s="4" t="s">
        <v>3022</v>
      </c>
      <c r="C44" s="15"/>
      <c r="D44" s="1"/>
      <c r="E44" s="1"/>
      <c r="F44" s="1"/>
      <c r="G44" s="2">
        <v>5600.0</v>
      </c>
    </row>
    <row r="45" ht="15.75" customHeight="1">
      <c r="A45" s="1"/>
      <c r="B45" s="4" t="s">
        <v>3023</v>
      </c>
      <c r="C45" s="15"/>
      <c r="D45" s="1"/>
      <c r="E45" s="1"/>
      <c r="F45" s="1"/>
      <c r="G45" s="2">
        <v>100000.0</v>
      </c>
    </row>
    <row r="46" ht="15.75" customHeight="1">
      <c r="A46" s="1"/>
      <c r="B46" s="4" t="s">
        <v>3024</v>
      </c>
      <c r="C46" s="15"/>
      <c r="D46" s="1"/>
      <c r="E46" s="1"/>
      <c r="F46" s="1"/>
      <c r="G46" s="2">
        <v>190000.0</v>
      </c>
    </row>
    <row r="47" ht="15.75" customHeight="1">
      <c r="A47" s="1"/>
      <c r="B47" s="4" t="s">
        <v>3025</v>
      </c>
      <c r="C47" s="15"/>
      <c r="D47" s="1"/>
      <c r="E47" s="1"/>
      <c r="F47" s="1"/>
      <c r="G47" s="2">
        <v>125000.0</v>
      </c>
    </row>
    <row r="48" ht="15.75" customHeight="1">
      <c r="A48" s="1"/>
      <c r="B48" s="4" t="s">
        <v>3026</v>
      </c>
      <c r="C48" s="15"/>
      <c r="D48" s="1"/>
      <c r="E48" s="1"/>
      <c r="F48" s="1"/>
      <c r="G48" s="2">
        <v>197600.0</v>
      </c>
    </row>
    <row r="49" ht="15.75" customHeight="1">
      <c r="A49" s="1"/>
      <c r="B49" s="4" t="s">
        <v>3027</v>
      </c>
      <c r="C49" s="15"/>
      <c r="D49" s="1"/>
      <c r="E49" s="1"/>
      <c r="F49" s="1"/>
      <c r="G49" s="2">
        <v>30000.0</v>
      </c>
    </row>
    <row r="50" ht="15.75" customHeight="1">
      <c r="A50" s="1"/>
      <c r="B50" s="4" t="s">
        <v>3028</v>
      </c>
      <c r="C50" s="15"/>
      <c r="D50" s="1"/>
      <c r="E50" s="1"/>
      <c r="F50" s="1"/>
      <c r="G50" s="2">
        <v>39000.0</v>
      </c>
      <c r="P50" s="67" t="s">
        <v>3029</v>
      </c>
    </row>
    <row r="51" ht="15.75" customHeight="1">
      <c r="A51" s="1"/>
      <c r="B51" s="4" t="s">
        <v>2429</v>
      </c>
      <c r="C51" s="15"/>
      <c r="D51" s="1"/>
      <c r="E51" s="1"/>
      <c r="F51" s="1"/>
      <c r="G51" s="2">
        <v>16000.0</v>
      </c>
    </row>
    <row r="52" ht="15.75" customHeight="1">
      <c r="A52" s="1"/>
      <c r="B52" s="4" t="s">
        <v>3030</v>
      </c>
      <c r="C52" s="15"/>
      <c r="D52" s="1"/>
      <c r="E52" s="1"/>
      <c r="F52" s="1"/>
      <c r="G52" s="2">
        <v>50000.0</v>
      </c>
    </row>
    <row r="53" ht="15.75" customHeight="1">
      <c r="A53" s="1"/>
      <c r="B53" s="4" t="s">
        <v>3031</v>
      </c>
      <c r="C53" s="15"/>
      <c r="D53" s="1"/>
      <c r="E53" s="1"/>
      <c r="F53" s="1"/>
      <c r="G53" s="2">
        <v>5200.0</v>
      </c>
    </row>
    <row r="54" ht="15.75" customHeight="1">
      <c r="A54" s="1"/>
      <c r="B54" s="4" t="s">
        <v>3032</v>
      </c>
      <c r="C54" s="15"/>
      <c r="D54" s="1"/>
      <c r="E54" s="1"/>
      <c r="F54" s="1"/>
      <c r="G54" s="2">
        <v>2000.0</v>
      </c>
    </row>
    <row r="55" ht="15.75" customHeight="1">
      <c r="A55" s="1"/>
      <c r="B55" s="4" t="s">
        <v>3033</v>
      </c>
      <c r="C55" s="15"/>
      <c r="D55" s="1"/>
      <c r="E55" s="1"/>
      <c r="F55" s="1"/>
      <c r="G55" s="2">
        <v>10000.0</v>
      </c>
    </row>
    <row r="56" ht="15.75" customHeight="1">
      <c r="A56" s="1"/>
      <c r="B56" s="4" t="s">
        <v>3034</v>
      </c>
      <c r="C56" s="15"/>
      <c r="D56" s="1"/>
      <c r="E56" s="1"/>
      <c r="F56" s="1"/>
      <c r="G56" s="2">
        <v>3900.0</v>
      </c>
    </row>
    <row r="57" ht="15.75" customHeight="1">
      <c r="A57" s="1"/>
      <c r="B57" s="4" t="s">
        <v>3035</v>
      </c>
      <c r="C57" s="15"/>
      <c r="D57" s="1"/>
      <c r="E57" s="1"/>
      <c r="F57" s="1"/>
      <c r="G57" s="2">
        <v>17700.0</v>
      </c>
    </row>
    <row r="58" ht="15.75" customHeight="1">
      <c r="A58" s="1"/>
      <c r="B58" s="4" t="s">
        <v>3036</v>
      </c>
      <c r="C58" s="15"/>
      <c r="D58" s="1"/>
      <c r="E58" s="1"/>
      <c r="F58" s="1"/>
      <c r="G58" s="2">
        <v>12248.0</v>
      </c>
    </row>
    <row r="59" ht="15.75" customHeight="1">
      <c r="A59" s="1"/>
      <c r="B59" s="4" t="s">
        <v>3037</v>
      </c>
      <c r="C59" s="15"/>
      <c r="D59" s="1"/>
      <c r="E59" s="1"/>
      <c r="F59" s="1"/>
      <c r="G59" s="2">
        <v>10400.0</v>
      </c>
    </row>
    <row r="60" ht="15.75" customHeight="1">
      <c r="A60" s="1"/>
      <c r="B60" s="4" t="s">
        <v>3038</v>
      </c>
      <c r="C60" s="15"/>
      <c r="D60" s="1"/>
      <c r="E60" s="1"/>
      <c r="F60" s="1"/>
      <c r="G60" s="2">
        <v>3766.0</v>
      </c>
    </row>
    <row r="61" ht="15.75" customHeight="1">
      <c r="A61" s="1"/>
      <c r="B61" s="4" t="s">
        <v>3039</v>
      </c>
      <c r="C61" s="15"/>
      <c r="D61" s="1"/>
      <c r="E61" s="1"/>
      <c r="F61" s="1"/>
      <c r="G61" s="2">
        <v>5000.0</v>
      </c>
    </row>
    <row r="62" ht="15.75" customHeight="1">
      <c r="A62" s="1"/>
      <c r="B62" s="4" t="s">
        <v>3040</v>
      </c>
      <c r="C62" s="15"/>
      <c r="D62" s="1"/>
      <c r="E62" s="1"/>
      <c r="F62" s="1"/>
      <c r="G62" s="2">
        <v>30000.0</v>
      </c>
    </row>
    <row r="63" ht="15.75" customHeight="1">
      <c r="A63" s="1"/>
      <c r="B63" s="4" t="s">
        <v>3041</v>
      </c>
      <c r="C63" s="15"/>
      <c r="D63" s="1"/>
      <c r="E63" s="1"/>
      <c r="F63" s="1"/>
      <c r="G63" s="2">
        <v>512700.0</v>
      </c>
    </row>
    <row r="64" ht="15.75" customHeight="1">
      <c r="A64" s="1"/>
      <c r="B64" s="43" t="s">
        <v>43</v>
      </c>
      <c r="C64" s="1"/>
      <c r="D64" s="1"/>
      <c r="E64" s="1"/>
      <c r="F64" s="1"/>
      <c r="G64" s="18">
        <f>SUM(G24:G63)</f>
        <v>2036220</v>
      </c>
    </row>
    <row r="65" ht="15.75" customHeight="1">
      <c r="A65" s="1"/>
      <c r="B65" s="19" t="s">
        <v>45</v>
      </c>
      <c r="C65" s="20"/>
      <c r="D65" s="20"/>
      <c r="E65" s="20"/>
      <c r="F65" s="20"/>
      <c r="G65" s="70">
        <f>SUM(G22+G64)</f>
        <v>2896220</v>
      </c>
    </row>
    <row r="66" ht="15.75" customHeight="1">
      <c r="A66" s="35" t="s">
        <v>3042</v>
      </c>
      <c r="B66" s="36"/>
      <c r="C66" s="37"/>
      <c r="D66" s="82"/>
      <c r="E66" s="37"/>
      <c r="F66" s="37"/>
      <c r="G66" s="71">
        <f>(G12-G65)</f>
        <v>2516380</v>
      </c>
    </row>
    <row r="67" ht="15.75" customHeight="1">
      <c r="A67" s="35"/>
      <c r="B67" s="36"/>
      <c r="C67" s="37"/>
      <c r="D67" s="37"/>
      <c r="E67" s="37"/>
      <c r="F67" s="37"/>
      <c r="G67" s="71"/>
    </row>
    <row r="68" ht="15.75" customHeight="1">
      <c r="A68" s="22" t="s">
        <v>254</v>
      </c>
      <c r="B68" s="43" t="s">
        <v>255</v>
      </c>
      <c r="C68" s="1"/>
      <c r="D68" s="1"/>
      <c r="E68" s="1"/>
      <c r="F68" s="1"/>
      <c r="G68" s="2"/>
    </row>
    <row r="69" ht="15.75" customHeight="1">
      <c r="A69" s="22"/>
      <c r="B69" s="43" t="s">
        <v>3043</v>
      </c>
      <c r="C69" s="1"/>
      <c r="D69" s="1"/>
      <c r="E69" s="1"/>
      <c r="F69" s="1"/>
      <c r="G69" s="2">
        <v>862020.0</v>
      </c>
    </row>
    <row r="70" ht="15.75" customHeight="1">
      <c r="A70" s="22"/>
      <c r="B70" s="43" t="s">
        <v>3044</v>
      </c>
      <c r="C70" s="1"/>
      <c r="D70" s="1"/>
      <c r="E70" s="1"/>
      <c r="F70" s="1"/>
      <c r="G70" s="2">
        <v>500000.0</v>
      </c>
    </row>
    <row r="71" ht="15.75" customHeight="1">
      <c r="A71" s="22"/>
      <c r="B71" s="43" t="s">
        <v>3045</v>
      </c>
      <c r="C71" s="1"/>
      <c r="D71" s="1"/>
      <c r="E71" s="1"/>
      <c r="F71" s="1"/>
      <c r="G71" s="2">
        <v>475000.0</v>
      </c>
    </row>
    <row r="72" ht="15.75" customHeight="1">
      <c r="A72" s="44"/>
      <c r="B72" s="72" t="s">
        <v>51</v>
      </c>
      <c r="C72" s="27"/>
      <c r="D72" s="27"/>
      <c r="E72" s="27"/>
      <c r="F72" s="27"/>
      <c r="G72" s="81">
        <f>SUM(G69:G71)</f>
        <v>1837020</v>
      </c>
    </row>
    <row r="73" ht="15.75" customHeight="1">
      <c r="A73" s="44"/>
      <c r="B73" s="4"/>
      <c r="C73" s="15"/>
      <c r="D73" s="1"/>
      <c r="E73" s="1"/>
      <c r="F73" s="1"/>
    </row>
    <row r="74" ht="15.75" customHeight="1">
      <c r="A74" s="44"/>
      <c r="B74" s="45" t="s">
        <v>3046</v>
      </c>
      <c r="C74" s="45"/>
      <c r="D74" s="45"/>
      <c r="E74" s="46"/>
      <c r="F74" s="46"/>
      <c r="G74" s="47">
        <f>F2+G66-G72</f>
        <v>5628880</v>
      </c>
    </row>
    <row r="75" ht="15.75" customHeight="1">
      <c r="A75" s="1"/>
      <c r="B75" s="32" t="s">
        <v>3047</v>
      </c>
    </row>
    <row r="76" ht="15.75" customHeight="1">
      <c r="A76" s="1"/>
      <c r="B76" s="1"/>
      <c r="C76" s="1" t="s">
        <v>3048</v>
      </c>
      <c r="D76" s="1"/>
      <c r="E76" s="1"/>
      <c r="F76" s="1"/>
      <c r="G76" s="2">
        <v>16700.0</v>
      </c>
    </row>
    <row r="77" ht="15.75" customHeight="1">
      <c r="A77" s="1"/>
      <c r="B77" s="1"/>
      <c r="C77" s="1" t="s">
        <v>3049</v>
      </c>
      <c r="D77" s="1"/>
      <c r="E77" s="1"/>
      <c r="F77" s="1"/>
      <c r="G77" s="2">
        <v>714400.0</v>
      </c>
    </row>
    <row r="78" ht="15.75" customHeight="1">
      <c r="A78" s="1"/>
      <c r="B78" s="1"/>
      <c r="C78" s="43" t="s">
        <v>115</v>
      </c>
      <c r="D78" s="1"/>
      <c r="E78" s="1"/>
      <c r="F78" s="1"/>
      <c r="G78" s="2">
        <f>G76+G77</f>
        <v>731100</v>
      </c>
    </row>
    <row r="79" ht="15.75" customHeight="1">
      <c r="A79" s="43" t="s">
        <v>3050</v>
      </c>
      <c r="B79" s="43"/>
      <c r="C79" s="43"/>
      <c r="D79" s="1"/>
      <c r="E79" s="1"/>
      <c r="F79" s="1"/>
      <c r="G79" s="2"/>
    </row>
    <row r="80" ht="15.75" customHeight="1">
      <c r="A80" s="43" t="s">
        <v>3051</v>
      </c>
      <c r="B80" s="43"/>
      <c r="C80" s="43"/>
      <c r="D80" s="1"/>
      <c r="E80" s="1"/>
      <c r="F80" s="1"/>
      <c r="G80" s="1"/>
    </row>
    <row r="81" ht="15.75" customHeight="1">
      <c r="A81" s="43" t="s">
        <v>2958</v>
      </c>
      <c r="B81" s="43"/>
      <c r="C81" s="43"/>
      <c r="D81" s="1"/>
      <c r="E81" s="2"/>
      <c r="F81" s="1"/>
      <c r="G81" s="1"/>
    </row>
    <row r="82" ht="15.75" customHeight="1">
      <c r="A82" s="43" t="s">
        <v>3052</v>
      </c>
      <c r="B82" s="43"/>
      <c r="C82" s="43"/>
      <c r="D82" s="1"/>
      <c r="E82" s="2"/>
      <c r="F82" s="1"/>
      <c r="G82" s="1"/>
    </row>
    <row r="83" ht="15.75" customHeight="1">
      <c r="A83" s="43" t="s">
        <v>2995</v>
      </c>
      <c r="B83" s="43"/>
      <c r="C83" s="43"/>
      <c r="D83" s="1"/>
      <c r="E83" s="1"/>
      <c r="F83" s="1"/>
      <c r="G83" s="1"/>
    </row>
    <row r="84" ht="15.75" customHeight="1">
      <c r="A84" s="1"/>
      <c r="B84" s="43"/>
      <c r="C84" s="43"/>
      <c r="D84" s="1"/>
      <c r="E84" s="1"/>
      <c r="F84" s="2"/>
      <c r="G84" s="1"/>
    </row>
    <row r="85" ht="15.75" customHeight="1">
      <c r="A85" s="1"/>
      <c r="B85" s="33" t="s">
        <v>3053</v>
      </c>
      <c r="C85" s="1"/>
      <c r="D85" s="1"/>
      <c r="E85" s="1"/>
      <c r="F85" s="1"/>
      <c r="G85" s="2"/>
    </row>
    <row r="86" ht="15.75" customHeight="1">
      <c r="A86" s="55" t="s">
        <v>3054</v>
      </c>
      <c r="B86" s="56"/>
      <c r="C86" s="56"/>
      <c r="D86" s="56"/>
      <c r="F86" s="1" t="s">
        <v>2686</v>
      </c>
      <c r="G86" s="55"/>
    </row>
    <row r="87" ht="15.75" customHeight="1">
      <c r="A87" s="55"/>
      <c r="B87" s="56"/>
      <c r="C87" s="56"/>
      <c r="D87" s="56"/>
      <c r="F87" s="1"/>
      <c r="G87" s="55"/>
    </row>
    <row r="88" ht="15.75" customHeight="1">
      <c r="A88" s="55" t="s">
        <v>3055</v>
      </c>
      <c r="B88" s="56"/>
      <c r="C88" s="56"/>
      <c r="D88" s="56"/>
      <c r="F88" s="1" t="s">
        <v>2688</v>
      </c>
      <c r="G88" s="55"/>
    </row>
    <row r="89" ht="15.75" customHeight="1">
      <c r="A89" s="55"/>
      <c r="B89" s="56"/>
      <c r="C89" s="56"/>
      <c r="D89" s="56"/>
      <c r="F89" s="1"/>
      <c r="G89" s="55"/>
    </row>
    <row r="90" ht="15.75" customHeight="1">
      <c r="A90" s="55" t="s">
        <v>3056</v>
      </c>
      <c r="B90" s="55"/>
      <c r="C90" s="55"/>
      <c r="D90" s="55"/>
      <c r="F90" s="1" t="s">
        <v>2689</v>
      </c>
      <c r="G90" s="55"/>
    </row>
    <row r="91" ht="15.75" customHeight="1">
      <c r="A91" s="55"/>
      <c r="B91" s="55"/>
      <c r="C91" s="55"/>
      <c r="D91" s="55"/>
      <c r="F91" s="1"/>
      <c r="G91" s="55"/>
    </row>
    <row r="92" ht="15.75" customHeight="1">
      <c r="A92" s="55" t="s">
        <v>3057</v>
      </c>
      <c r="B92" s="55"/>
      <c r="C92" s="55"/>
      <c r="D92" s="55"/>
      <c r="F92" s="1" t="s">
        <v>3058</v>
      </c>
      <c r="G92" s="2"/>
    </row>
    <row r="93" ht="15.75" customHeight="1"/>
    <row r="94" ht="15.75" customHeight="1">
      <c r="A94" s="1" t="s">
        <v>3059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3"/>
    <mergeCell ref="F2:G2"/>
    <mergeCell ref="A10:B10"/>
    <mergeCell ref="B12:F12"/>
    <mergeCell ref="B75:G75"/>
  </mergeCells>
  <printOptions/>
  <pageMargins bottom="0.75" footer="0.0" header="0.0" left="0.7" right="0.7" top="0.75"/>
  <pageSetup paperSize="9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57"/>
    <col customWidth="1" min="8" max="26" width="10.71"/>
  </cols>
  <sheetData>
    <row r="1">
      <c r="A1" s="1" t="s">
        <v>721</v>
      </c>
      <c r="B1" s="3" t="s">
        <v>3060</v>
      </c>
      <c r="C1" s="1"/>
      <c r="D1" s="1"/>
      <c r="E1" s="1"/>
      <c r="F1" s="1"/>
      <c r="G1" s="2"/>
    </row>
    <row r="2">
      <c r="A2" s="75" t="s">
        <v>3061</v>
      </c>
      <c r="F2" s="84">
        <v>5628880.0</v>
      </c>
      <c r="G2" s="53"/>
    </row>
    <row r="3">
      <c r="G3" s="2"/>
    </row>
    <row r="4">
      <c r="A4" s="6" t="s">
        <v>3062</v>
      </c>
      <c r="B4" s="1"/>
      <c r="C4" s="1"/>
      <c r="D4" s="1" t="s">
        <v>3001</v>
      </c>
      <c r="E4" s="50" t="s">
        <v>3002</v>
      </c>
      <c r="F4" s="50" t="s">
        <v>3003</v>
      </c>
      <c r="G4" s="85" t="s">
        <v>3004</v>
      </c>
    </row>
    <row r="5">
      <c r="A5" s="1"/>
      <c r="B5" s="4" t="s">
        <v>63</v>
      </c>
      <c r="C5" s="1"/>
      <c r="D5" s="2">
        <v>99000.0</v>
      </c>
      <c r="E5" s="2">
        <v>213000.0</v>
      </c>
      <c r="F5" s="2">
        <v>87500.0</v>
      </c>
      <c r="G5" s="7">
        <v>732400.0</v>
      </c>
    </row>
    <row r="6">
      <c r="A6" s="1"/>
      <c r="B6" s="4" t="s">
        <v>64</v>
      </c>
      <c r="C6" s="1"/>
      <c r="D6" s="2">
        <v>83000.0</v>
      </c>
      <c r="E6" s="2">
        <v>189000.0</v>
      </c>
      <c r="F6" s="2">
        <v>160000.0</v>
      </c>
      <c r="G6" s="7">
        <v>621300.0</v>
      </c>
    </row>
    <row r="7">
      <c r="A7" s="1"/>
      <c r="B7" s="4" t="s">
        <v>65</v>
      </c>
      <c r="C7" s="1"/>
      <c r="D7" s="2">
        <v>87000.0</v>
      </c>
      <c r="E7" s="2">
        <v>166000.0</v>
      </c>
      <c r="F7" s="2">
        <v>105000.0</v>
      </c>
      <c r="G7" s="7">
        <v>667900.0</v>
      </c>
    </row>
    <row r="8">
      <c r="A8" s="1"/>
      <c r="B8" s="4" t="s">
        <v>66</v>
      </c>
      <c r="C8" s="1"/>
      <c r="D8" s="2">
        <v>53000.0</v>
      </c>
      <c r="E8" s="2">
        <v>207500.0</v>
      </c>
      <c r="F8" s="2">
        <v>175000.0</v>
      </c>
      <c r="G8" s="76">
        <v>897400.0</v>
      </c>
    </row>
    <row r="9">
      <c r="A9" s="1"/>
      <c r="B9" s="4" t="s">
        <v>2887</v>
      </c>
      <c r="C9" s="1"/>
      <c r="D9" s="2"/>
      <c r="E9" s="2">
        <v>0.0</v>
      </c>
      <c r="F9" s="2">
        <v>0.0</v>
      </c>
      <c r="G9" s="76">
        <v>0.0</v>
      </c>
    </row>
    <row r="10">
      <c r="A10" s="50" t="s">
        <v>405</v>
      </c>
      <c r="D10" s="60">
        <f t="shared" ref="D10:G10" si="1">SUM(D5:D9)</f>
        <v>322000</v>
      </c>
      <c r="E10" s="13">
        <f t="shared" si="1"/>
        <v>775500</v>
      </c>
      <c r="F10" s="2">
        <f t="shared" si="1"/>
        <v>527500</v>
      </c>
      <c r="G10" s="7">
        <f t="shared" si="1"/>
        <v>2919000</v>
      </c>
    </row>
    <row r="11">
      <c r="A11" s="1"/>
      <c r="B11" s="4"/>
      <c r="C11" s="50"/>
      <c r="D11" s="50"/>
      <c r="E11" s="4"/>
      <c r="F11" s="2"/>
      <c r="G11" s="7"/>
    </row>
    <row r="12">
      <c r="A12" s="1"/>
      <c r="B12" s="51" t="s">
        <v>9</v>
      </c>
      <c r="C12" s="52"/>
      <c r="D12" s="52"/>
      <c r="E12" s="52"/>
      <c r="F12" s="53"/>
      <c r="G12" s="68">
        <v>5628880.0</v>
      </c>
    </row>
    <row r="13">
      <c r="A13" s="6" t="s">
        <v>3063</v>
      </c>
      <c r="B13" s="1"/>
      <c r="C13" s="1"/>
      <c r="D13" s="1"/>
      <c r="E13" s="1"/>
      <c r="F13" s="1"/>
      <c r="G13" s="2"/>
    </row>
    <row r="14">
      <c r="A14" s="1"/>
      <c r="B14" s="12" t="s">
        <v>11</v>
      </c>
      <c r="C14" s="1"/>
      <c r="D14" s="1"/>
      <c r="E14" s="1"/>
      <c r="F14" s="1"/>
      <c r="G14" s="2"/>
    </row>
    <row r="15">
      <c r="A15" s="1"/>
      <c r="B15" s="4" t="s">
        <v>2745</v>
      </c>
      <c r="C15" s="1"/>
      <c r="D15" s="1"/>
      <c r="E15" s="1"/>
      <c r="F15" s="1"/>
      <c r="G15" s="77">
        <v>310000.0</v>
      </c>
    </row>
    <row r="16">
      <c r="A16" s="1"/>
      <c r="B16" s="4" t="s">
        <v>13</v>
      </c>
      <c r="C16" s="1"/>
      <c r="D16" s="1"/>
      <c r="E16" s="1"/>
      <c r="F16" s="1"/>
      <c r="G16" s="13">
        <v>150000.0</v>
      </c>
    </row>
    <row r="17">
      <c r="A17" s="1"/>
      <c r="B17" s="4" t="s">
        <v>14</v>
      </c>
      <c r="C17" s="1"/>
      <c r="D17" s="1"/>
      <c r="E17" s="1"/>
      <c r="F17" s="1"/>
      <c r="G17" s="13">
        <v>150000.0</v>
      </c>
    </row>
    <row r="18">
      <c r="A18" s="1"/>
      <c r="B18" s="4" t="s">
        <v>16</v>
      </c>
      <c r="C18" s="1"/>
      <c r="D18" s="1"/>
      <c r="E18" s="1"/>
      <c r="F18" s="1"/>
      <c r="G18" s="77">
        <v>100000.0</v>
      </c>
    </row>
    <row r="19">
      <c r="A19" s="1"/>
      <c r="B19" s="4" t="s">
        <v>2746</v>
      </c>
      <c r="C19" s="1"/>
      <c r="D19" s="1"/>
      <c r="E19" s="1"/>
      <c r="F19" s="1"/>
      <c r="G19" s="77">
        <v>100000.0</v>
      </c>
    </row>
    <row r="20">
      <c r="A20" s="1"/>
      <c r="B20" s="4" t="s">
        <v>3006</v>
      </c>
      <c r="C20" s="1"/>
      <c r="D20" s="1"/>
      <c r="E20" s="1"/>
      <c r="F20" s="1"/>
      <c r="G20" s="77">
        <v>100000.0</v>
      </c>
    </row>
    <row r="21" ht="15.75" customHeight="1">
      <c r="A21" s="1"/>
      <c r="B21" s="4"/>
      <c r="C21" s="1"/>
      <c r="D21" s="1"/>
      <c r="E21" s="1"/>
      <c r="F21" s="1"/>
      <c r="G21" s="77"/>
    </row>
    <row r="22" ht="15.75" customHeight="1">
      <c r="A22" s="1"/>
      <c r="B22" s="9" t="s">
        <v>18</v>
      </c>
      <c r="C22" s="10"/>
      <c r="D22" s="10"/>
      <c r="E22" s="10"/>
      <c r="F22" s="10"/>
      <c r="G22" s="69">
        <f>SUM(G15:G21)</f>
        <v>910000</v>
      </c>
    </row>
    <row r="23" ht="15.75" customHeight="1">
      <c r="A23" s="1"/>
      <c r="B23" s="12" t="s">
        <v>19</v>
      </c>
      <c r="C23" s="15"/>
      <c r="D23" s="1"/>
      <c r="E23" s="1"/>
      <c r="F23" s="1"/>
      <c r="G23" s="2"/>
    </row>
    <row r="24" ht="15.75" customHeight="1">
      <c r="A24" s="1"/>
      <c r="B24" s="4" t="s">
        <v>203</v>
      </c>
      <c r="C24" s="15"/>
      <c r="D24" s="1"/>
      <c r="E24" s="1"/>
      <c r="F24" s="1"/>
      <c r="G24" s="2">
        <v>6500.0</v>
      </c>
    </row>
    <row r="25" ht="15.75" customHeight="1">
      <c r="A25" s="1"/>
      <c r="B25" s="4" t="s">
        <v>2429</v>
      </c>
      <c r="C25" s="15"/>
      <c r="D25" s="1"/>
      <c r="E25" s="1"/>
      <c r="F25" s="1"/>
      <c r="G25" s="2">
        <v>16000.0</v>
      </c>
    </row>
    <row r="26" ht="15.75" customHeight="1">
      <c r="A26" s="1"/>
      <c r="B26" s="4" t="s">
        <v>3064</v>
      </c>
      <c r="C26" s="15"/>
      <c r="D26" s="1"/>
      <c r="E26" s="1"/>
      <c r="F26" s="1"/>
      <c r="G26" s="2">
        <v>4200.0</v>
      </c>
    </row>
    <row r="27" ht="15.75" customHeight="1">
      <c r="A27" s="1"/>
      <c r="B27" s="4" t="s">
        <v>3065</v>
      </c>
      <c r="C27" s="15"/>
      <c r="D27" s="1"/>
      <c r="E27" s="1"/>
      <c r="F27" s="1"/>
      <c r="G27" s="2">
        <v>90000.0</v>
      </c>
    </row>
    <row r="28" ht="15.75" customHeight="1">
      <c r="A28" s="1"/>
      <c r="B28" s="4" t="s">
        <v>3066</v>
      </c>
      <c r="C28" s="15"/>
      <c r="D28" s="1"/>
      <c r="E28" s="1"/>
      <c r="F28" s="1"/>
      <c r="G28" s="2">
        <v>65250.0</v>
      </c>
    </row>
    <row r="29" ht="15.75" customHeight="1">
      <c r="A29" s="1"/>
      <c r="B29" s="4" t="s">
        <v>3067</v>
      </c>
      <c r="C29" s="15"/>
      <c r="D29" s="1"/>
      <c r="E29" s="1"/>
      <c r="F29" s="1"/>
      <c r="G29" s="2">
        <v>180000.0</v>
      </c>
    </row>
    <row r="30" ht="15.75" customHeight="1">
      <c r="A30" s="1"/>
      <c r="B30" s="4" t="s">
        <v>3068</v>
      </c>
      <c r="C30" s="15"/>
      <c r="D30" s="1"/>
      <c r="E30" s="1"/>
      <c r="F30" s="1"/>
      <c r="G30" s="2">
        <v>81000.0</v>
      </c>
    </row>
    <row r="31" ht="15.75" customHeight="1">
      <c r="A31" s="1"/>
      <c r="B31" s="4" t="s">
        <v>2066</v>
      </c>
      <c r="C31" s="15"/>
      <c r="D31" s="1"/>
      <c r="E31" s="1"/>
      <c r="F31" s="1"/>
      <c r="G31" s="2">
        <v>9000.0</v>
      </c>
    </row>
    <row r="32" ht="15.75" customHeight="1">
      <c r="A32" s="1"/>
      <c r="B32" s="4" t="s">
        <v>3069</v>
      </c>
      <c r="C32" s="15"/>
      <c r="D32" s="1"/>
      <c r="E32" s="1"/>
      <c r="F32" s="1"/>
      <c r="G32" s="2">
        <v>73000.0</v>
      </c>
    </row>
    <row r="33" ht="15.75" customHeight="1">
      <c r="A33" s="1"/>
      <c r="B33" s="4" t="s">
        <v>3070</v>
      </c>
      <c r="C33" s="15"/>
      <c r="D33" s="1"/>
      <c r="E33" s="1"/>
      <c r="F33" s="1"/>
      <c r="G33" s="2">
        <v>90000.0</v>
      </c>
    </row>
    <row r="34" ht="15.75" customHeight="1">
      <c r="A34" s="1"/>
      <c r="B34" s="4" t="s">
        <v>3071</v>
      </c>
      <c r="C34" s="15"/>
      <c r="D34" s="1"/>
      <c r="E34" s="1"/>
      <c r="F34" s="1"/>
      <c r="G34" s="2">
        <v>2543.0</v>
      </c>
    </row>
    <row r="35" ht="15.75" customHeight="1">
      <c r="A35" s="1"/>
      <c r="B35" s="4" t="s">
        <v>3072</v>
      </c>
      <c r="C35" s="15"/>
      <c r="D35" s="1"/>
      <c r="E35" s="1"/>
      <c r="F35" s="1"/>
      <c r="G35" s="2">
        <v>100000.0</v>
      </c>
    </row>
    <row r="36" ht="15.75" customHeight="1">
      <c r="A36" s="1"/>
      <c r="B36" s="4" t="s">
        <v>2157</v>
      </c>
      <c r="C36" s="15"/>
      <c r="D36" s="1"/>
      <c r="E36" s="1"/>
      <c r="F36" s="1"/>
      <c r="G36" s="2">
        <v>20000.0</v>
      </c>
    </row>
    <row r="37" ht="15.75" customHeight="1">
      <c r="A37" s="1"/>
      <c r="B37" s="4" t="s">
        <v>2429</v>
      </c>
      <c r="C37" s="15"/>
      <c r="D37" s="1"/>
      <c r="E37" s="1"/>
      <c r="F37" s="1"/>
      <c r="G37" s="2">
        <v>16000.0</v>
      </c>
    </row>
    <row r="38" ht="15.75" customHeight="1">
      <c r="A38" s="1"/>
      <c r="B38" s="4" t="s">
        <v>3073</v>
      </c>
      <c r="C38" s="15"/>
      <c r="D38" s="1"/>
      <c r="E38" s="1"/>
      <c r="F38" s="1"/>
      <c r="G38" s="2">
        <v>6500.0</v>
      </c>
    </row>
    <row r="39" ht="15.75" customHeight="1">
      <c r="A39" s="1"/>
      <c r="B39" s="4" t="s">
        <v>3074</v>
      </c>
      <c r="C39" s="15"/>
      <c r="D39" s="1"/>
      <c r="E39" s="1"/>
      <c r="F39" s="1"/>
      <c r="G39" s="2">
        <v>58000.0</v>
      </c>
    </row>
    <row r="40" ht="15.75" customHeight="1">
      <c r="A40" s="1"/>
      <c r="B40" s="4" t="s">
        <v>507</v>
      </c>
      <c r="C40" s="15"/>
      <c r="D40" s="1"/>
      <c r="E40" s="1"/>
      <c r="F40" s="1"/>
      <c r="G40" s="2">
        <v>10000.0</v>
      </c>
    </row>
    <row r="41" ht="15.75" customHeight="1">
      <c r="A41" s="1"/>
      <c r="B41" s="4" t="s">
        <v>3075</v>
      </c>
      <c r="C41" s="15"/>
      <c r="D41" s="1"/>
      <c r="E41" s="1"/>
      <c r="F41" s="1"/>
      <c r="G41" s="2">
        <v>125000.0</v>
      </c>
    </row>
    <row r="42" ht="15.75" customHeight="1">
      <c r="A42" s="1"/>
      <c r="B42" s="4" t="s">
        <v>3076</v>
      </c>
      <c r="C42" s="15"/>
      <c r="D42" s="1"/>
      <c r="E42" s="1"/>
      <c r="F42" s="1"/>
      <c r="G42" s="2">
        <v>42000.0</v>
      </c>
    </row>
    <row r="43" ht="15.75" customHeight="1">
      <c r="A43" s="1"/>
      <c r="B43" s="4" t="s">
        <v>3077</v>
      </c>
      <c r="C43" s="15"/>
      <c r="D43" s="1"/>
      <c r="E43" s="1"/>
      <c r="F43" s="1"/>
      <c r="G43" s="2">
        <v>30000.0</v>
      </c>
    </row>
    <row r="44" ht="15.75" customHeight="1">
      <c r="A44" s="1"/>
      <c r="B44" s="4" t="s">
        <v>2389</v>
      </c>
      <c r="C44" s="15"/>
      <c r="D44" s="1"/>
      <c r="E44" s="1"/>
      <c r="F44" s="1"/>
      <c r="G44" s="2">
        <v>14000.0</v>
      </c>
    </row>
    <row r="45" ht="15.75" customHeight="1">
      <c r="A45" s="1"/>
      <c r="B45" s="4" t="s">
        <v>3078</v>
      </c>
      <c r="C45" s="15"/>
      <c r="D45" s="1"/>
      <c r="E45" s="1"/>
      <c r="F45" s="1"/>
      <c r="G45" s="2">
        <v>47000.0</v>
      </c>
    </row>
    <row r="46" ht="15.75" customHeight="1">
      <c r="A46" s="1"/>
      <c r="B46" s="4" t="s">
        <v>3079</v>
      </c>
      <c r="C46" s="15"/>
      <c r="D46" s="1"/>
      <c r="E46" s="1"/>
      <c r="F46" s="1"/>
      <c r="G46" s="2">
        <v>70000.0</v>
      </c>
    </row>
    <row r="47" ht="15.75" customHeight="1">
      <c r="A47" s="1"/>
      <c r="B47" s="4" t="s">
        <v>3080</v>
      </c>
      <c r="C47" s="15"/>
      <c r="D47" s="1"/>
      <c r="E47" s="1"/>
      <c r="F47" s="1"/>
      <c r="G47" s="2">
        <v>492880.0</v>
      </c>
    </row>
    <row r="48" ht="15.75" customHeight="1">
      <c r="A48" s="1"/>
      <c r="B48" s="4" t="s">
        <v>3081</v>
      </c>
      <c r="C48" s="15"/>
      <c r="D48" s="1"/>
      <c r="E48" s="1"/>
      <c r="F48" s="1"/>
      <c r="G48" s="2">
        <v>57960.0</v>
      </c>
    </row>
    <row r="49" ht="15.75" customHeight="1">
      <c r="A49" s="1"/>
      <c r="B49" s="4" t="s">
        <v>3082</v>
      </c>
      <c r="C49" s="15"/>
      <c r="D49" s="1"/>
      <c r="E49" s="1"/>
      <c r="F49" s="1"/>
      <c r="G49" s="2">
        <v>259855.0</v>
      </c>
    </row>
    <row r="50" ht="15.75" customHeight="1">
      <c r="A50" s="1"/>
      <c r="B50" s="4" t="s">
        <v>3083</v>
      </c>
      <c r="C50" s="15"/>
      <c r="D50" s="1"/>
      <c r="E50" s="1"/>
      <c r="F50" s="1"/>
      <c r="G50" s="2">
        <v>100000.0</v>
      </c>
    </row>
    <row r="51" ht="15.75" customHeight="1">
      <c r="A51" s="1"/>
      <c r="B51" s="4" t="s">
        <v>3084</v>
      </c>
      <c r="C51" s="15"/>
      <c r="D51" s="1"/>
      <c r="E51" s="1"/>
      <c r="F51" s="1"/>
      <c r="G51" s="2">
        <v>1000.0</v>
      </c>
    </row>
    <row r="52" ht="15.75" customHeight="1">
      <c r="A52" s="1"/>
      <c r="B52" s="4" t="s">
        <v>3085</v>
      </c>
      <c r="C52" s="15"/>
      <c r="D52" s="1"/>
      <c r="E52" s="1"/>
      <c r="F52" s="1"/>
      <c r="G52" s="2">
        <v>80700.0</v>
      </c>
    </row>
    <row r="53" ht="15.75" customHeight="1">
      <c r="A53" s="1"/>
      <c r="B53" s="4"/>
      <c r="C53" s="15"/>
      <c r="D53" s="1"/>
      <c r="E53" s="1"/>
      <c r="F53" s="1"/>
      <c r="G53" s="2"/>
    </row>
    <row r="54" ht="15.75" customHeight="1">
      <c r="A54" s="1"/>
      <c r="B54" s="43" t="s">
        <v>43</v>
      </c>
      <c r="C54" s="1"/>
      <c r="D54" s="1"/>
      <c r="E54" s="1"/>
      <c r="F54" s="1"/>
      <c r="G54" s="18">
        <f>SUM(Nov.24!G24:G52)</f>
        <v>2148388</v>
      </c>
    </row>
    <row r="55" ht="15.75" customHeight="1">
      <c r="A55" s="1"/>
      <c r="B55" s="19" t="s">
        <v>45</v>
      </c>
      <c r="C55" s="20"/>
      <c r="D55" s="20"/>
      <c r="E55" s="20"/>
      <c r="F55" s="20"/>
      <c r="G55" s="70">
        <f>SUM(G22+G54)</f>
        <v>3058388</v>
      </c>
    </row>
    <row r="56" ht="15.75" customHeight="1">
      <c r="A56" s="35" t="s">
        <v>3086</v>
      </c>
      <c r="B56" s="36"/>
      <c r="C56" s="37"/>
      <c r="D56" s="82"/>
      <c r="E56" s="37"/>
      <c r="F56" s="37"/>
      <c r="G56" s="71">
        <f>(G12-G55)</f>
        <v>2570492</v>
      </c>
    </row>
    <row r="57" ht="15.75" customHeight="1">
      <c r="A57" s="35"/>
      <c r="B57" s="36"/>
      <c r="C57" s="37"/>
      <c r="D57" s="37"/>
      <c r="E57" s="37"/>
      <c r="F57" s="37"/>
      <c r="G57" s="71"/>
    </row>
    <row r="58" ht="15.75" customHeight="1">
      <c r="A58" s="22" t="s">
        <v>254</v>
      </c>
      <c r="B58" s="43" t="s">
        <v>255</v>
      </c>
      <c r="C58" s="1"/>
      <c r="D58" s="1"/>
      <c r="E58" s="1"/>
      <c r="F58" s="1"/>
      <c r="G58" s="2"/>
    </row>
    <row r="59" ht="15.75" customHeight="1">
      <c r="A59" s="22"/>
      <c r="B59" s="43" t="s">
        <v>3087</v>
      </c>
      <c r="C59" s="1"/>
      <c r="D59" s="1"/>
      <c r="E59" s="1"/>
      <c r="F59" s="1"/>
      <c r="G59" s="2">
        <v>862020.0</v>
      </c>
    </row>
    <row r="60" ht="15.75" customHeight="1">
      <c r="A60" s="22"/>
      <c r="B60" s="43" t="s">
        <v>3088</v>
      </c>
      <c r="C60" s="1"/>
      <c r="D60" s="1"/>
      <c r="E60" s="1"/>
      <c r="F60" s="1"/>
      <c r="G60" s="2">
        <v>500000.0</v>
      </c>
    </row>
    <row r="61" ht="15.75" customHeight="1">
      <c r="A61" s="22"/>
      <c r="B61" s="43" t="s">
        <v>3089</v>
      </c>
      <c r="C61" s="1"/>
      <c r="D61" s="1"/>
      <c r="E61" s="1"/>
      <c r="F61" s="1"/>
      <c r="G61" s="2">
        <v>475000.0</v>
      </c>
    </row>
    <row r="62" ht="15.75" customHeight="1">
      <c r="A62" s="44"/>
      <c r="B62" s="72" t="s">
        <v>51</v>
      </c>
      <c r="C62" s="27"/>
      <c r="D62" s="27"/>
      <c r="E62" s="27"/>
      <c r="F62" s="27"/>
      <c r="G62" s="81">
        <f>SUM(G59:G61)</f>
        <v>1837020</v>
      </c>
    </row>
    <row r="63" ht="15.75" customHeight="1">
      <c r="A63" s="44"/>
      <c r="B63" s="4"/>
      <c r="C63" s="15"/>
      <c r="D63" s="1"/>
      <c r="E63" s="1"/>
      <c r="F63" s="1"/>
    </row>
    <row r="64" ht="15.75" customHeight="1">
      <c r="A64" s="44"/>
      <c r="B64" s="45" t="s">
        <v>3090</v>
      </c>
      <c r="C64" s="45"/>
      <c r="D64" s="45"/>
      <c r="E64" s="46"/>
      <c r="F64" s="46"/>
      <c r="G64" s="47">
        <f>F2+G56-G62</f>
        <v>6362352</v>
      </c>
    </row>
    <row r="65" ht="15.75" customHeight="1">
      <c r="A65" s="1"/>
      <c r="B65" s="32" t="s">
        <v>3091</v>
      </c>
    </row>
    <row r="66" ht="15.75" customHeight="1">
      <c r="A66" s="1"/>
      <c r="B66" s="1"/>
      <c r="C66" s="1" t="s">
        <v>3048</v>
      </c>
      <c r="D66" s="1"/>
      <c r="E66" s="1"/>
      <c r="F66" s="1"/>
      <c r="G66" s="2">
        <v>0.0</v>
      </c>
    </row>
    <row r="67" ht="15.75" customHeight="1">
      <c r="A67" s="1"/>
      <c r="B67" s="1"/>
      <c r="C67" s="1" t="s">
        <v>3092</v>
      </c>
      <c r="D67" s="1"/>
      <c r="E67" s="1"/>
      <c r="F67" s="1"/>
      <c r="G67" s="2">
        <v>422100.0</v>
      </c>
    </row>
    <row r="68" ht="15.75" customHeight="1">
      <c r="A68" s="1"/>
      <c r="B68" s="1"/>
      <c r="C68" s="43" t="s">
        <v>115</v>
      </c>
      <c r="D68" s="1"/>
      <c r="E68" s="1"/>
      <c r="F68" s="1"/>
      <c r="G68" s="2">
        <f>G66+G67</f>
        <v>422100</v>
      </c>
    </row>
    <row r="69" ht="15.75" customHeight="1">
      <c r="A69" s="43" t="s">
        <v>3093</v>
      </c>
      <c r="B69" s="43"/>
      <c r="C69" s="43"/>
      <c r="D69" s="1"/>
      <c r="E69" s="1"/>
      <c r="F69" s="1"/>
      <c r="G69" s="2"/>
    </row>
    <row r="70" ht="15.75" customHeight="1">
      <c r="A70" s="43" t="s">
        <v>3094</v>
      </c>
      <c r="B70" s="43"/>
      <c r="C70" s="43"/>
      <c r="D70" s="1"/>
      <c r="E70" s="1"/>
      <c r="F70" s="1"/>
      <c r="G70" s="1"/>
    </row>
    <row r="71" ht="15.75" customHeight="1">
      <c r="A71" s="43" t="s">
        <v>2958</v>
      </c>
      <c r="B71" s="43"/>
      <c r="C71" s="43"/>
      <c r="D71" s="1"/>
      <c r="E71" s="2"/>
      <c r="F71" s="1"/>
      <c r="G71" s="1"/>
    </row>
    <row r="72" ht="15.75" customHeight="1">
      <c r="A72" s="43" t="s">
        <v>3095</v>
      </c>
      <c r="B72" s="43"/>
      <c r="C72" s="43"/>
      <c r="D72" s="1"/>
      <c r="E72" s="2"/>
      <c r="F72" s="1"/>
      <c r="G72" s="1"/>
    </row>
    <row r="73" ht="15.75" customHeight="1">
      <c r="A73" s="43" t="s">
        <v>2995</v>
      </c>
      <c r="B73" s="43"/>
      <c r="C73" s="43"/>
      <c r="D73" s="1"/>
      <c r="E73" s="1"/>
      <c r="F73" s="1"/>
      <c r="G73" s="1"/>
    </row>
    <row r="74" ht="15.75" customHeight="1">
      <c r="A74" s="1"/>
      <c r="B74" s="43"/>
      <c r="C74" s="43"/>
      <c r="D74" s="1"/>
      <c r="E74" s="1"/>
      <c r="F74" s="2"/>
      <c r="G74" s="1"/>
    </row>
    <row r="75" ht="15.75" customHeight="1">
      <c r="A75" s="1"/>
      <c r="B75" s="33" t="s">
        <v>3096</v>
      </c>
      <c r="C75" s="1"/>
      <c r="D75" s="1"/>
      <c r="E75" s="1"/>
      <c r="F75" s="1"/>
      <c r="G75" s="2"/>
    </row>
    <row r="76" ht="15.75" customHeight="1">
      <c r="A76" s="55" t="s">
        <v>3054</v>
      </c>
      <c r="B76" s="56"/>
      <c r="C76" s="56"/>
      <c r="D76" s="56"/>
      <c r="F76" s="1" t="s">
        <v>2686</v>
      </c>
      <c r="G76" s="55"/>
    </row>
    <row r="77" ht="15.75" customHeight="1">
      <c r="A77" s="55"/>
      <c r="B77" s="56"/>
      <c r="C77" s="56"/>
      <c r="D77" s="56"/>
      <c r="F77" s="1"/>
      <c r="G77" s="55"/>
    </row>
    <row r="78" ht="15.75" customHeight="1">
      <c r="A78" s="55" t="s">
        <v>3055</v>
      </c>
      <c r="B78" s="56"/>
      <c r="C78" s="56"/>
      <c r="D78" s="56"/>
      <c r="F78" s="1" t="s">
        <v>2688</v>
      </c>
      <c r="G78" s="55"/>
    </row>
    <row r="79" ht="15.75" customHeight="1">
      <c r="A79" s="55"/>
      <c r="B79" s="56"/>
      <c r="C79" s="56"/>
      <c r="D79" s="56"/>
      <c r="F79" s="1"/>
      <c r="G79" s="55"/>
    </row>
    <row r="80" ht="15.75" customHeight="1">
      <c r="A80" s="55" t="s">
        <v>3056</v>
      </c>
      <c r="B80" s="55"/>
      <c r="C80" s="55"/>
      <c r="D80" s="55"/>
      <c r="F80" s="1" t="s">
        <v>2689</v>
      </c>
      <c r="G80" s="55"/>
    </row>
    <row r="81" ht="15.75" customHeight="1">
      <c r="A81" s="55"/>
      <c r="B81" s="55"/>
      <c r="C81" s="55"/>
      <c r="D81" s="55"/>
      <c r="F81" s="1"/>
      <c r="G81" s="55"/>
    </row>
    <row r="82" ht="15.75" customHeight="1">
      <c r="A82" s="55" t="s">
        <v>3057</v>
      </c>
      <c r="B82" s="55"/>
      <c r="C82" s="55"/>
      <c r="D82" s="55"/>
      <c r="F82" s="1" t="s">
        <v>3058</v>
      </c>
      <c r="G82" s="2"/>
    </row>
    <row r="83" ht="15.75" customHeight="1"/>
    <row r="84" ht="15.75" customHeight="1">
      <c r="A84" s="1" t="s">
        <v>3059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3"/>
    <mergeCell ref="F2:G2"/>
    <mergeCell ref="A10:B10"/>
    <mergeCell ref="B12:F12"/>
    <mergeCell ref="B65:G65"/>
  </mergeCells>
  <printOptions/>
  <pageMargins bottom="0.75" footer="0.0" header="0.0" left="0.7" right="0.7" top="0.75"/>
  <pageSetup paperSize="9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8.71"/>
    <col customWidth="1" min="7" max="7" width="16.57"/>
    <col customWidth="1" min="8" max="26" width="10.71"/>
  </cols>
  <sheetData>
    <row r="1">
      <c r="A1" s="1" t="s">
        <v>721</v>
      </c>
      <c r="B1" s="3" t="s">
        <v>3097</v>
      </c>
      <c r="C1" s="1"/>
      <c r="D1" s="1"/>
      <c r="E1" s="1"/>
      <c r="F1" s="1"/>
      <c r="G1" s="2"/>
    </row>
    <row r="2">
      <c r="A2" s="75" t="s">
        <v>3098</v>
      </c>
      <c r="F2" s="84">
        <v>5277472.0</v>
      </c>
      <c r="G2" s="53"/>
    </row>
    <row r="3">
      <c r="G3" s="2"/>
    </row>
    <row r="4">
      <c r="A4" s="6" t="s">
        <v>3099</v>
      </c>
      <c r="B4" s="1"/>
      <c r="C4" s="1"/>
      <c r="D4" s="1" t="s">
        <v>3001</v>
      </c>
      <c r="E4" s="50" t="s">
        <v>3002</v>
      </c>
      <c r="F4" s="50" t="s">
        <v>3003</v>
      </c>
      <c r="G4" s="85" t="s">
        <v>3004</v>
      </c>
    </row>
    <row r="5">
      <c r="A5" s="1"/>
      <c r="B5" s="4" t="s">
        <v>63</v>
      </c>
      <c r="C5" s="1"/>
      <c r="D5" s="2">
        <v>93000.0</v>
      </c>
      <c r="E5" s="2">
        <v>120000.0</v>
      </c>
      <c r="F5" s="2">
        <v>167500.0</v>
      </c>
      <c r="G5" s="7">
        <v>794600.0</v>
      </c>
    </row>
    <row r="6">
      <c r="A6" s="1"/>
      <c r="B6" s="4" t="s">
        <v>64</v>
      </c>
      <c r="C6" s="1"/>
      <c r="D6" s="2">
        <v>73000.0</v>
      </c>
      <c r="E6" s="2">
        <v>161000.0</v>
      </c>
      <c r="F6" s="2">
        <v>157500.0</v>
      </c>
      <c r="G6" s="7">
        <v>742700.0</v>
      </c>
    </row>
    <row r="7">
      <c r="A7" s="1"/>
      <c r="B7" s="4" t="s">
        <v>65</v>
      </c>
      <c r="C7" s="1"/>
      <c r="D7" s="2">
        <v>120000.0</v>
      </c>
      <c r="E7" s="2">
        <v>149000.0</v>
      </c>
      <c r="F7" s="2">
        <v>132500.0</v>
      </c>
      <c r="G7" s="7">
        <v>622700.0</v>
      </c>
    </row>
    <row r="8">
      <c r="A8" s="1"/>
      <c r="B8" s="4" t="s">
        <v>66</v>
      </c>
      <c r="C8" s="1"/>
      <c r="D8" s="2">
        <v>129000.0</v>
      </c>
      <c r="E8" s="2">
        <v>232000.0</v>
      </c>
      <c r="F8" s="2">
        <v>22500.0</v>
      </c>
      <c r="G8" s="76">
        <v>648100.0</v>
      </c>
    </row>
    <row r="9">
      <c r="A9" s="1"/>
      <c r="B9" s="4" t="s">
        <v>2887</v>
      </c>
      <c r="C9" s="1"/>
      <c r="D9" s="2">
        <v>108000.0</v>
      </c>
      <c r="E9" s="2">
        <v>143000.0</v>
      </c>
      <c r="F9" s="2">
        <v>20000.0</v>
      </c>
      <c r="G9" s="76">
        <v>343200.0</v>
      </c>
    </row>
    <row r="10">
      <c r="A10" s="50" t="s">
        <v>405</v>
      </c>
      <c r="D10" s="60">
        <f t="shared" ref="D10:G10" si="1">SUM(D5:D9)</f>
        <v>523000</v>
      </c>
      <c r="E10" s="13">
        <f t="shared" si="1"/>
        <v>805000</v>
      </c>
      <c r="F10" s="2">
        <f t="shared" si="1"/>
        <v>500000</v>
      </c>
      <c r="G10" s="7">
        <f t="shared" si="1"/>
        <v>3151300</v>
      </c>
    </row>
    <row r="11">
      <c r="A11" s="1"/>
      <c r="B11" s="4"/>
      <c r="C11" s="50"/>
      <c r="D11" s="50"/>
      <c r="E11" s="4"/>
      <c r="F11" s="2"/>
      <c r="G11" s="7"/>
      <c r="I11" s="67" t="s">
        <v>480</v>
      </c>
    </row>
    <row r="12">
      <c r="A12" s="1"/>
      <c r="B12" s="51" t="s">
        <v>9</v>
      </c>
      <c r="C12" s="52"/>
      <c r="D12" s="52"/>
      <c r="E12" s="52"/>
      <c r="F12" s="53"/>
      <c r="G12" s="68">
        <f>SUM(D10:G10)</f>
        <v>4979300</v>
      </c>
    </row>
    <row r="13">
      <c r="A13" s="6" t="s">
        <v>3100</v>
      </c>
      <c r="B13" s="1"/>
      <c r="C13" s="1"/>
      <c r="D13" s="1"/>
      <c r="E13" s="1"/>
      <c r="F13" s="1"/>
      <c r="G13" s="2" t="s">
        <v>480</v>
      </c>
    </row>
    <row r="14">
      <c r="A14" s="1"/>
      <c r="B14" s="12" t="s">
        <v>11</v>
      </c>
      <c r="C14" s="1"/>
      <c r="D14" s="1"/>
      <c r="E14" s="1"/>
      <c r="F14" s="1"/>
      <c r="G14" s="2"/>
    </row>
    <row r="15">
      <c r="A15" s="1"/>
      <c r="B15" s="4" t="s">
        <v>2745</v>
      </c>
      <c r="C15" s="1"/>
      <c r="D15" s="1"/>
      <c r="E15" s="1"/>
      <c r="F15" s="1"/>
      <c r="G15" s="77">
        <v>140000.0</v>
      </c>
    </row>
    <row r="16">
      <c r="A16" s="1"/>
      <c r="B16" s="4" t="s">
        <v>13</v>
      </c>
      <c r="C16" s="1"/>
      <c r="D16" s="1"/>
      <c r="E16" s="1"/>
      <c r="F16" s="1"/>
      <c r="G16" s="13">
        <v>150000.0</v>
      </c>
    </row>
    <row r="17">
      <c r="A17" s="1"/>
      <c r="B17" s="4" t="s">
        <v>14</v>
      </c>
      <c r="C17" s="1"/>
      <c r="D17" s="1"/>
      <c r="E17" s="1"/>
      <c r="F17" s="1"/>
      <c r="G17" s="13">
        <v>150000.0</v>
      </c>
    </row>
    <row r="18">
      <c r="A18" s="1"/>
      <c r="B18" s="4" t="s">
        <v>16</v>
      </c>
      <c r="C18" s="1"/>
      <c r="D18" s="1"/>
      <c r="E18" s="1"/>
      <c r="F18" s="1"/>
      <c r="G18" s="77">
        <v>100000.0</v>
      </c>
    </row>
    <row r="19">
      <c r="A19" s="1"/>
      <c r="B19" s="4" t="s">
        <v>2746</v>
      </c>
      <c r="C19" s="1"/>
      <c r="D19" s="1"/>
      <c r="E19" s="1"/>
      <c r="F19" s="1"/>
      <c r="G19" s="77">
        <v>100000.0</v>
      </c>
    </row>
    <row r="20">
      <c r="A20" s="1"/>
      <c r="B20" s="4" t="s">
        <v>3006</v>
      </c>
      <c r="C20" s="1"/>
      <c r="D20" s="1"/>
      <c r="E20" s="1"/>
      <c r="F20" s="1"/>
      <c r="G20" s="77">
        <v>100000.0</v>
      </c>
    </row>
    <row r="21" ht="15.75" customHeight="1">
      <c r="A21" s="1"/>
      <c r="B21" s="4"/>
      <c r="C21" s="1"/>
      <c r="D21" s="1"/>
      <c r="E21" s="1"/>
      <c r="F21" s="1"/>
      <c r="G21" s="2"/>
      <c r="K21" s="67" t="s">
        <v>480</v>
      </c>
    </row>
    <row r="22" ht="15.75" customHeight="1">
      <c r="A22" s="1"/>
      <c r="B22" s="9" t="s">
        <v>18</v>
      </c>
      <c r="C22" s="10"/>
      <c r="D22" s="10"/>
      <c r="E22" s="10"/>
      <c r="F22" s="10"/>
      <c r="G22" s="69">
        <f>SUM(G15:G21)</f>
        <v>740000</v>
      </c>
    </row>
    <row r="23" ht="15.75" customHeight="1">
      <c r="A23" s="1"/>
      <c r="B23" s="12" t="s">
        <v>19</v>
      </c>
      <c r="C23" s="15"/>
      <c r="D23" s="1"/>
      <c r="E23" s="1"/>
      <c r="F23" s="1"/>
    </row>
    <row r="24" ht="15.75" customHeight="1">
      <c r="A24" s="1"/>
      <c r="B24" s="4" t="s">
        <v>2068</v>
      </c>
      <c r="C24" s="15"/>
      <c r="D24" s="1"/>
      <c r="E24" s="1"/>
      <c r="F24" s="1"/>
      <c r="G24" s="2">
        <v>12000.0</v>
      </c>
    </row>
    <row r="25" ht="15.75" customHeight="1">
      <c r="A25" s="1"/>
      <c r="B25" s="4" t="s">
        <v>3101</v>
      </c>
      <c r="C25" s="15"/>
      <c r="D25" s="1"/>
      <c r="E25" s="1"/>
      <c r="F25" s="1"/>
      <c r="G25" s="2">
        <v>50000.0</v>
      </c>
    </row>
    <row r="26" ht="15.75" customHeight="1">
      <c r="A26" s="1"/>
      <c r="B26" s="4" t="s">
        <v>2397</v>
      </c>
      <c r="C26" s="15"/>
      <c r="D26" s="1"/>
      <c r="E26" s="1"/>
      <c r="F26" s="1"/>
      <c r="G26" s="2">
        <v>18000.0</v>
      </c>
    </row>
    <row r="27" ht="15.75" customHeight="1">
      <c r="A27" s="1"/>
      <c r="B27" s="4" t="s">
        <v>3102</v>
      </c>
      <c r="C27" s="15"/>
      <c r="D27" s="1"/>
      <c r="E27" s="1"/>
      <c r="F27" s="1"/>
      <c r="G27" s="2">
        <v>2000.0</v>
      </c>
    </row>
    <row r="28" ht="15.75" customHeight="1">
      <c r="A28" s="1"/>
      <c r="B28" s="4" t="s">
        <v>3103</v>
      </c>
      <c r="C28" s="15"/>
      <c r="D28" s="1"/>
      <c r="E28" s="1"/>
      <c r="F28" s="1"/>
      <c r="G28" s="2">
        <v>9000.0</v>
      </c>
    </row>
    <row r="29" ht="15.75" customHeight="1">
      <c r="A29" s="1"/>
      <c r="B29" s="4" t="s">
        <v>203</v>
      </c>
      <c r="C29" s="15"/>
      <c r="D29" s="1"/>
      <c r="E29" s="1"/>
      <c r="F29" s="1"/>
      <c r="G29" s="2">
        <v>6500.0</v>
      </c>
    </row>
    <row r="30" ht="15.75" customHeight="1">
      <c r="A30" s="1"/>
      <c r="B30" s="4" t="s">
        <v>3104</v>
      </c>
      <c r="C30" s="15"/>
      <c r="D30" s="1"/>
      <c r="E30" s="1"/>
      <c r="F30" s="1"/>
      <c r="G30" s="2">
        <v>52000.0</v>
      </c>
    </row>
    <row r="31" ht="15.75" customHeight="1">
      <c r="A31" s="1"/>
      <c r="B31" s="4" t="s">
        <v>2068</v>
      </c>
      <c r="C31" s="15"/>
      <c r="D31" s="1"/>
      <c r="E31" s="1"/>
      <c r="F31" s="1"/>
      <c r="G31" s="2">
        <v>12000.0</v>
      </c>
    </row>
    <row r="32" ht="15.75" customHeight="1">
      <c r="A32" s="1"/>
      <c r="B32" s="4" t="s">
        <v>3105</v>
      </c>
      <c r="C32" s="15"/>
      <c r="D32" s="1"/>
      <c r="E32" s="1"/>
      <c r="F32" s="1"/>
      <c r="G32" s="2">
        <v>19600.0</v>
      </c>
    </row>
    <row r="33" ht="15.75" customHeight="1">
      <c r="A33" s="1"/>
      <c r="B33" s="4" t="s">
        <v>3106</v>
      </c>
      <c r="C33" s="15"/>
      <c r="D33" s="1"/>
      <c r="E33" s="1"/>
      <c r="F33" s="1"/>
      <c r="G33" s="2">
        <v>50000.0</v>
      </c>
    </row>
    <row r="34" ht="15.75" customHeight="1">
      <c r="A34" s="1"/>
      <c r="B34" s="4" t="s">
        <v>1202</v>
      </c>
      <c r="C34" s="15"/>
      <c r="D34" s="1"/>
      <c r="E34" s="1"/>
      <c r="F34" s="1"/>
      <c r="G34" s="2">
        <v>3500.0</v>
      </c>
    </row>
    <row r="35" ht="15.75" customHeight="1">
      <c r="A35" s="1"/>
      <c r="B35" s="4" t="s">
        <v>3107</v>
      </c>
      <c r="C35" s="15"/>
      <c r="D35" s="1"/>
      <c r="E35" s="1"/>
      <c r="F35" s="1"/>
      <c r="G35" s="2">
        <v>65250.0</v>
      </c>
    </row>
    <row r="36" ht="15.75" customHeight="1">
      <c r="A36" s="1"/>
      <c r="B36" s="4" t="s">
        <v>3108</v>
      </c>
      <c r="C36" s="15"/>
      <c r="D36" s="1"/>
      <c r="E36" s="1"/>
      <c r="F36" s="1"/>
      <c r="G36" s="2">
        <v>362500.0</v>
      </c>
    </row>
    <row r="37" ht="15.75" customHeight="1">
      <c r="A37" s="1"/>
      <c r="B37" s="4" t="s">
        <v>3109</v>
      </c>
      <c r="C37" s="15"/>
      <c r="D37" s="1"/>
      <c r="E37" s="1"/>
      <c r="F37" s="1"/>
      <c r="G37" s="2">
        <v>100000.0</v>
      </c>
    </row>
    <row r="38" ht="15.75" customHeight="1">
      <c r="A38" s="1"/>
      <c r="B38" s="4" t="s">
        <v>3110</v>
      </c>
      <c r="C38" s="15"/>
      <c r="D38" s="1"/>
      <c r="E38" s="1"/>
      <c r="F38" s="1"/>
      <c r="G38" s="2">
        <v>15000.0</v>
      </c>
    </row>
    <row r="39" ht="15.75" customHeight="1">
      <c r="A39" s="1"/>
      <c r="B39" s="4" t="s">
        <v>3111</v>
      </c>
      <c r="C39" s="15"/>
      <c r="D39" s="1"/>
      <c r="E39" s="1"/>
      <c r="F39" s="1"/>
      <c r="G39" s="2">
        <v>7000.0</v>
      </c>
    </row>
    <row r="40" ht="15.75" customHeight="1">
      <c r="A40" s="1"/>
      <c r="B40" s="4" t="s">
        <v>3112</v>
      </c>
      <c r="C40" s="15"/>
      <c r="D40" s="1"/>
      <c r="E40" s="1"/>
      <c r="F40" s="1"/>
      <c r="G40" s="2">
        <v>7140.0</v>
      </c>
    </row>
    <row r="41" ht="15.75" customHeight="1">
      <c r="A41" s="1"/>
      <c r="B41" s="4" t="s">
        <v>3113</v>
      </c>
      <c r="C41" s="15"/>
      <c r="D41" s="1"/>
      <c r="E41" s="1"/>
      <c r="F41" s="1"/>
      <c r="G41" s="2">
        <v>200.0</v>
      </c>
    </row>
    <row r="42" ht="15.75" customHeight="1">
      <c r="A42" s="1"/>
      <c r="B42" s="4" t="s">
        <v>3114</v>
      </c>
      <c r="C42" s="15"/>
      <c r="D42" s="1"/>
      <c r="E42" s="1"/>
      <c r="F42" s="1"/>
      <c r="G42" s="2">
        <v>267624.0</v>
      </c>
    </row>
    <row r="43" ht="15.75" customHeight="1">
      <c r="A43" s="1"/>
      <c r="B43" s="4" t="s">
        <v>3115</v>
      </c>
      <c r="C43" s="15"/>
      <c r="D43" s="1"/>
      <c r="E43" s="1"/>
      <c r="F43" s="1"/>
      <c r="G43" s="2">
        <v>150000.0</v>
      </c>
      <c r="L43" s="67" t="s">
        <v>480</v>
      </c>
    </row>
    <row r="44" ht="15.75" customHeight="1">
      <c r="A44" s="1"/>
      <c r="B44" s="4" t="s">
        <v>3116</v>
      </c>
      <c r="C44" s="15"/>
      <c r="D44" s="1"/>
      <c r="E44" s="1"/>
      <c r="F44" s="1"/>
      <c r="G44" s="2">
        <v>100000.0</v>
      </c>
    </row>
    <row r="45" ht="15.75" customHeight="1">
      <c r="A45" s="1"/>
      <c r="B45" s="4" t="s">
        <v>3117</v>
      </c>
      <c r="C45" s="15"/>
      <c r="D45" s="1"/>
      <c r="E45" s="1"/>
      <c r="F45" s="1"/>
      <c r="G45" s="2">
        <v>3500.0</v>
      </c>
    </row>
    <row r="46" ht="15.75" customHeight="1">
      <c r="A46" s="1"/>
      <c r="B46" s="4" t="s">
        <v>3118</v>
      </c>
      <c r="C46" s="15"/>
      <c r="D46" s="1"/>
      <c r="E46" s="1"/>
      <c r="F46" s="1"/>
      <c r="G46" s="2">
        <v>4000.0</v>
      </c>
    </row>
    <row r="47" ht="15.75" customHeight="1">
      <c r="A47" s="1"/>
      <c r="B47" s="4" t="s">
        <v>3119</v>
      </c>
      <c r="C47" s="15"/>
      <c r="D47" s="1"/>
      <c r="E47" s="1"/>
      <c r="F47" s="1"/>
      <c r="G47" s="2">
        <v>3500.0</v>
      </c>
    </row>
    <row r="48" ht="15.75" customHeight="1">
      <c r="A48" s="1"/>
      <c r="B48" s="4" t="s">
        <v>2429</v>
      </c>
      <c r="C48" s="15"/>
      <c r="D48" s="1"/>
      <c r="E48" s="1"/>
      <c r="F48" s="1"/>
      <c r="G48" s="2">
        <v>16000.0</v>
      </c>
    </row>
    <row r="49" ht="15.75" customHeight="1">
      <c r="A49" s="1"/>
      <c r="B49" s="4" t="s">
        <v>3120</v>
      </c>
      <c r="C49" s="15"/>
      <c r="D49" s="1"/>
      <c r="E49" s="1"/>
      <c r="F49" s="1"/>
      <c r="G49" s="2">
        <v>27000.0</v>
      </c>
    </row>
    <row r="50" ht="15.75" customHeight="1">
      <c r="A50" s="1"/>
      <c r="B50" s="4" t="s">
        <v>3121</v>
      </c>
      <c r="C50" s="15"/>
      <c r="D50" s="1"/>
      <c r="E50" s="1"/>
      <c r="F50" s="1"/>
      <c r="G50" s="2">
        <v>1000.0</v>
      </c>
    </row>
    <row r="51" ht="15.75" customHeight="1">
      <c r="A51" s="1"/>
      <c r="B51" s="4" t="s">
        <v>3122</v>
      </c>
      <c r="C51" s="15"/>
      <c r="D51" s="1"/>
      <c r="E51" s="1"/>
      <c r="F51" s="1"/>
      <c r="G51" s="2">
        <v>7500.0</v>
      </c>
    </row>
    <row r="52" ht="15.75" customHeight="1">
      <c r="A52" s="1"/>
      <c r="B52" s="4" t="s">
        <v>3123</v>
      </c>
      <c r="C52" s="15"/>
      <c r="D52" s="1"/>
      <c r="E52" s="1"/>
      <c r="F52" s="1"/>
      <c r="G52" s="2">
        <v>4000.0</v>
      </c>
    </row>
    <row r="53" ht="15.75" customHeight="1">
      <c r="A53" s="1"/>
      <c r="B53" s="4" t="s">
        <v>3124</v>
      </c>
      <c r="C53" s="15"/>
      <c r="D53" s="1"/>
      <c r="E53" s="1"/>
      <c r="F53" s="1"/>
      <c r="G53" s="2">
        <v>48000.0</v>
      </c>
    </row>
    <row r="54" ht="15.75" customHeight="1">
      <c r="A54" s="1"/>
      <c r="B54" s="4" t="s">
        <v>3125</v>
      </c>
      <c r="C54" s="15"/>
      <c r="D54" s="1"/>
      <c r="E54" s="1"/>
      <c r="F54" s="1"/>
      <c r="G54" s="2">
        <v>50000.0</v>
      </c>
    </row>
    <row r="55" ht="15.75" customHeight="1">
      <c r="A55" s="1"/>
      <c r="B55" s="4" t="s">
        <v>3126</v>
      </c>
      <c r="C55" s="15"/>
      <c r="D55" s="1"/>
      <c r="E55" s="1"/>
      <c r="F55" s="1"/>
      <c r="G55" s="2">
        <v>30600.0</v>
      </c>
    </row>
    <row r="56" ht="15.75" customHeight="1">
      <c r="A56" s="1"/>
      <c r="B56" s="4" t="s">
        <v>3127</v>
      </c>
      <c r="C56" s="15"/>
      <c r="D56" s="1"/>
      <c r="E56" s="1"/>
      <c r="F56" s="1"/>
      <c r="G56" s="2">
        <v>8000.0</v>
      </c>
      <c r="O56" s="67" t="s">
        <v>480</v>
      </c>
    </row>
    <row r="57" ht="15.75" customHeight="1">
      <c r="A57" s="1"/>
      <c r="B57" s="4" t="s">
        <v>3128</v>
      </c>
      <c r="C57" s="15"/>
      <c r="D57" s="1"/>
      <c r="E57" s="1"/>
      <c r="F57" s="1"/>
      <c r="G57" s="2">
        <v>193343.0</v>
      </c>
    </row>
    <row r="58" ht="15.75" customHeight="1">
      <c r="A58" s="1"/>
      <c r="B58" s="4" t="s">
        <v>3129</v>
      </c>
      <c r="C58" s="15"/>
      <c r="D58" s="1"/>
      <c r="E58" s="1"/>
      <c r="F58" s="1"/>
      <c r="G58" s="2">
        <v>539810.0</v>
      </c>
    </row>
    <row r="59" ht="15.75" customHeight="1">
      <c r="A59" s="1"/>
      <c r="B59" s="43" t="s">
        <v>43</v>
      </c>
      <c r="C59" s="1"/>
      <c r="D59" s="1"/>
      <c r="E59" s="1"/>
      <c r="F59" s="1"/>
      <c r="G59" s="18">
        <f>SUM(G24:G58)</f>
        <v>2245567</v>
      </c>
    </row>
    <row r="60" ht="15.75" customHeight="1">
      <c r="A60" s="1"/>
      <c r="B60" s="19" t="s">
        <v>45</v>
      </c>
      <c r="C60" s="20"/>
      <c r="D60" s="20"/>
      <c r="E60" s="20"/>
      <c r="F60" s="20"/>
      <c r="G60" s="70">
        <f>SUM(G22+G59)</f>
        <v>2985567</v>
      </c>
    </row>
    <row r="61" ht="15.75" customHeight="1">
      <c r="A61" s="35" t="s">
        <v>3130</v>
      </c>
      <c r="B61" s="36"/>
      <c r="C61" s="37"/>
      <c r="D61" s="82"/>
      <c r="E61" s="37"/>
      <c r="F61" s="37"/>
      <c r="G61" s="71">
        <f>(G12-G60)</f>
        <v>1993733</v>
      </c>
    </row>
    <row r="62" ht="15.75" customHeight="1">
      <c r="A62" s="35"/>
      <c r="B62" s="36"/>
      <c r="C62" s="37"/>
      <c r="D62" s="37"/>
      <c r="E62" s="37"/>
      <c r="F62" s="37"/>
      <c r="G62" s="71"/>
    </row>
    <row r="63" ht="15.75" customHeight="1">
      <c r="A63" s="22" t="s">
        <v>254</v>
      </c>
      <c r="B63" s="43" t="s">
        <v>255</v>
      </c>
      <c r="C63" s="1"/>
      <c r="D63" s="1"/>
      <c r="E63" s="1"/>
      <c r="F63" s="1"/>
      <c r="G63" s="2"/>
    </row>
    <row r="64" ht="15.75" customHeight="1">
      <c r="A64" s="22"/>
      <c r="B64" s="43" t="s">
        <v>3131</v>
      </c>
      <c r="C64" s="1"/>
      <c r="D64" s="1"/>
      <c r="E64" s="1"/>
      <c r="F64" s="1"/>
      <c r="G64" s="2">
        <v>862020.0</v>
      </c>
    </row>
    <row r="65" ht="15.75" customHeight="1">
      <c r="A65" s="22"/>
      <c r="B65" s="43" t="s">
        <v>3132</v>
      </c>
      <c r="C65" s="1"/>
      <c r="D65" s="1"/>
      <c r="E65" s="1"/>
      <c r="F65" s="1"/>
      <c r="G65" s="2">
        <v>500000.0</v>
      </c>
    </row>
    <row r="66" ht="15.75" customHeight="1">
      <c r="A66" s="22"/>
      <c r="B66" s="43" t="s">
        <v>3133</v>
      </c>
      <c r="C66" s="1"/>
      <c r="D66" s="1"/>
      <c r="E66" s="1"/>
      <c r="F66" s="1"/>
      <c r="G66" s="2">
        <v>475000.0</v>
      </c>
    </row>
    <row r="67" ht="15.75" customHeight="1">
      <c r="A67" s="22"/>
      <c r="B67" s="43" t="s">
        <v>3134</v>
      </c>
      <c r="C67" s="1"/>
      <c r="D67" s="1"/>
      <c r="E67" s="1"/>
      <c r="F67" s="1"/>
      <c r="G67" s="2">
        <v>2057000.0</v>
      </c>
    </row>
    <row r="68" ht="15.75" customHeight="1">
      <c r="A68" s="44"/>
      <c r="B68" s="72" t="s">
        <v>51</v>
      </c>
      <c r="C68" s="27"/>
      <c r="D68" s="27"/>
      <c r="E68" s="27"/>
      <c r="F68" s="27"/>
      <c r="G68" s="81">
        <f>SUM(G64:G67)</f>
        <v>3894020</v>
      </c>
    </row>
    <row r="69" ht="15.75" customHeight="1">
      <c r="A69" s="44"/>
      <c r="B69" s="4"/>
      <c r="C69" s="15"/>
      <c r="D69" s="1"/>
      <c r="E69" s="1"/>
      <c r="F69" s="1"/>
      <c r="G69" s="67" t="s">
        <v>480</v>
      </c>
    </row>
    <row r="70" ht="15.75" customHeight="1">
      <c r="A70" s="44"/>
      <c r="B70" s="45" t="s">
        <v>3135</v>
      </c>
      <c r="C70" s="45"/>
      <c r="D70" s="45"/>
      <c r="E70" s="46"/>
      <c r="F70" s="46"/>
      <c r="G70" s="47">
        <f>F2+G61-G68</f>
        <v>3377185</v>
      </c>
    </row>
    <row r="71" ht="15.75" customHeight="1">
      <c r="A71" s="1"/>
      <c r="B71" s="32" t="s">
        <v>3136</v>
      </c>
    </row>
    <row r="72" ht="15.75" customHeight="1">
      <c r="A72" s="1"/>
      <c r="B72" s="1"/>
      <c r="C72" s="1" t="s">
        <v>3137</v>
      </c>
      <c r="D72" s="1"/>
      <c r="E72" s="1"/>
      <c r="F72" s="1"/>
      <c r="G72" s="2">
        <v>0.0</v>
      </c>
    </row>
    <row r="73" ht="15.75" customHeight="1">
      <c r="A73" s="1"/>
      <c r="B73" s="1"/>
      <c r="C73" s="1" t="s">
        <v>3138</v>
      </c>
      <c r="D73" s="1"/>
      <c r="E73" s="1"/>
      <c r="F73" s="1"/>
      <c r="G73" s="2">
        <v>541700.0</v>
      </c>
    </row>
    <row r="74" ht="15.75" customHeight="1">
      <c r="A74" s="1"/>
      <c r="B74" s="1"/>
      <c r="C74" s="43" t="s">
        <v>115</v>
      </c>
      <c r="D74" s="1"/>
      <c r="E74" s="1"/>
      <c r="F74" s="1"/>
      <c r="G74" s="2">
        <f>G72+G73</f>
        <v>541700</v>
      </c>
    </row>
    <row r="75" ht="15.75" customHeight="1">
      <c r="A75" s="43" t="s">
        <v>3093</v>
      </c>
      <c r="B75" s="43"/>
      <c r="C75" s="43"/>
      <c r="D75" s="1"/>
      <c r="E75" s="1"/>
      <c r="F75" s="1"/>
      <c r="G75" s="2"/>
    </row>
    <row r="76" ht="15.75" customHeight="1">
      <c r="A76" s="43" t="s">
        <v>3094</v>
      </c>
      <c r="B76" s="43"/>
      <c r="C76" s="43"/>
      <c r="D76" s="1"/>
      <c r="E76" s="1"/>
      <c r="F76" s="1"/>
      <c r="G76" s="1"/>
    </row>
    <row r="77" ht="15.75" customHeight="1">
      <c r="A77" s="43" t="s">
        <v>3139</v>
      </c>
      <c r="B77" s="43"/>
      <c r="C77" s="43"/>
      <c r="D77" s="1"/>
      <c r="E77" s="2"/>
      <c r="F77" s="1"/>
      <c r="G77" s="1"/>
    </row>
    <row r="78" ht="15.75" customHeight="1">
      <c r="A78" s="43" t="s">
        <v>3140</v>
      </c>
      <c r="B78" s="43"/>
      <c r="C78" s="43"/>
      <c r="D78" s="1"/>
      <c r="E78" s="1"/>
      <c r="F78" s="1"/>
      <c r="G78" s="1"/>
    </row>
    <row r="79" ht="15.75" customHeight="1">
      <c r="A79" s="1"/>
      <c r="B79" s="43"/>
      <c r="C79" s="43"/>
      <c r="D79" s="1"/>
      <c r="E79" s="1"/>
      <c r="F79" s="2"/>
      <c r="G79" s="1"/>
    </row>
    <row r="80" ht="15.75" customHeight="1">
      <c r="A80" s="1"/>
      <c r="B80" s="33" t="s">
        <v>3141</v>
      </c>
      <c r="C80" s="1"/>
      <c r="D80" s="1"/>
      <c r="E80" s="1"/>
      <c r="F80" s="1"/>
      <c r="G80" s="2"/>
    </row>
    <row r="81" ht="15.75" customHeight="1">
      <c r="A81" s="55" t="s">
        <v>3054</v>
      </c>
      <c r="B81" s="56"/>
      <c r="C81" s="56"/>
      <c r="D81" s="56"/>
      <c r="F81" s="1" t="s">
        <v>2686</v>
      </c>
      <c r="G81" s="55"/>
    </row>
    <row r="82" ht="15.75" customHeight="1">
      <c r="A82" s="55"/>
      <c r="B82" s="56"/>
      <c r="C82" s="56"/>
      <c r="D82" s="56"/>
      <c r="F82" s="1"/>
      <c r="G82" s="55"/>
    </row>
    <row r="83" ht="15.75" customHeight="1">
      <c r="A83" s="55" t="s">
        <v>3055</v>
      </c>
      <c r="B83" s="56"/>
      <c r="C83" s="56"/>
      <c r="D83" s="56"/>
      <c r="F83" s="1" t="s">
        <v>2688</v>
      </c>
      <c r="G83" s="55"/>
    </row>
    <row r="84" ht="15.75" customHeight="1">
      <c r="A84" s="55"/>
      <c r="B84" s="56"/>
      <c r="C84" s="56"/>
      <c r="D84" s="56"/>
      <c r="F84" s="1"/>
      <c r="G84" s="55"/>
    </row>
    <row r="85" ht="15.75" customHeight="1">
      <c r="A85" s="55" t="s">
        <v>3056</v>
      </c>
      <c r="B85" s="55"/>
      <c r="C85" s="55"/>
      <c r="D85" s="55"/>
      <c r="F85" s="1" t="s">
        <v>2689</v>
      </c>
      <c r="G85" s="55"/>
    </row>
    <row r="86" ht="15.75" customHeight="1">
      <c r="A86" s="55"/>
      <c r="B86" s="55"/>
      <c r="C86" s="55"/>
      <c r="D86" s="55"/>
      <c r="F86" s="1"/>
      <c r="G86" s="55"/>
    </row>
    <row r="87" ht="15.75" customHeight="1">
      <c r="A87" s="55" t="s">
        <v>3057</v>
      </c>
      <c r="B87" s="55"/>
      <c r="C87" s="55"/>
      <c r="D87" s="55"/>
      <c r="F87" s="1" t="s">
        <v>3058</v>
      </c>
      <c r="G87" s="2"/>
    </row>
    <row r="88" ht="15.75" customHeight="1"/>
    <row r="89" ht="15.75" customHeight="1">
      <c r="A89" s="1" t="s">
        <v>3059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3"/>
    <mergeCell ref="F2:G2"/>
    <mergeCell ref="A10:B10"/>
    <mergeCell ref="B12:F12"/>
    <mergeCell ref="B71:G71"/>
  </mergeCells>
  <printOptions/>
  <pageMargins bottom="0.75" footer="0.0" header="0.0" left="0.25" right="0.25" top="0.75"/>
  <pageSetup paperSize="9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58" t="s">
        <v>1585</v>
      </c>
      <c r="B1" s="58" t="s">
        <v>622</v>
      </c>
      <c r="C1" s="58" t="s">
        <v>3142</v>
      </c>
      <c r="D1" s="58" t="s">
        <v>624</v>
      </c>
      <c r="E1" s="58" t="s">
        <v>625</v>
      </c>
      <c r="F1" s="58" t="s">
        <v>626</v>
      </c>
      <c r="G1" s="58" t="s">
        <v>627</v>
      </c>
      <c r="H1" s="58" t="s">
        <v>628</v>
      </c>
      <c r="I1" s="58" t="s">
        <v>629</v>
      </c>
    </row>
    <row r="2">
      <c r="A2" s="59">
        <v>45292.0</v>
      </c>
      <c r="B2" s="67">
        <v>2132673.0</v>
      </c>
      <c r="C2" s="67">
        <v>3403500.0</v>
      </c>
      <c r="E2" s="67">
        <v>1305000.0</v>
      </c>
      <c r="F2" s="67">
        <v>1214258.0</v>
      </c>
      <c r="G2" s="67">
        <v>0.0</v>
      </c>
      <c r="H2" s="67">
        <v>884242.0</v>
      </c>
      <c r="I2" s="67">
        <v>3016915.0</v>
      </c>
    </row>
    <row r="3">
      <c r="A3" s="59">
        <v>45323.0</v>
      </c>
      <c r="B3" s="67">
        <v>3016915.0</v>
      </c>
      <c r="C3" s="67">
        <v>3745600.0</v>
      </c>
      <c r="E3" s="67">
        <v>1005000.0</v>
      </c>
      <c r="F3" s="67">
        <v>1224780.0</v>
      </c>
      <c r="G3" s="67">
        <v>0.0</v>
      </c>
      <c r="H3" s="67">
        <v>1515820.0</v>
      </c>
      <c r="I3" s="67">
        <v>4532735.0</v>
      </c>
    </row>
    <row r="4">
      <c r="A4" s="59">
        <v>45352.0</v>
      </c>
      <c r="B4" s="67">
        <v>4532735.0</v>
      </c>
      <c r="E4" s="67">
        <v>880000.0</v>
      </c>
      <c r="F4" s="67">
        <v>1068800.0</v>
      </c>
      <c r="G4" s="67">
        <v>0.0</v>
      </c>
      <c r="H4" s="67">
        <v>958400.0</v>
      </c>
      <c r="I4" s="67">
        <v>5491135.0</v>
      </c>
    </row>
    <row r="5">
      <c r="A5" s="59">
        <v>45383.0</v>
      </c>
      <c r="B5" s="67">
        <v>5491135.0</v>
      </c>
      <c r="C5" s="67">
        <v>3274300.0</v>
      </c>
      <c r="E5" s="67">
        <v>740000.0</v>
      </c>
      <c r="F5" s="67">
        <v>1686346.0</v>
      </c>
      <c r="G5" s="67">
        <v>0.0</v>
      </c>
      <c r="H5" s="67">
        <v>847954.0</v>
      </c>
      <c r="I5" s="67">
        <v>6339089.0</v>
      </c>
    </row>
    <row r="6">
      <c r="A6" s="59">
        <v>45413.0</v>
      </c>
      <c r="B6" s="67">
        <v>6339089.0</v>
      </c>
      <c r="C6" s="67">
        <v>3306400.0</v>
      </c>
      <c r="E6" s="67">
        <v>740000.0</v>
      </c>
      <c r="F6" s="67">
        <v>890672.0</v>
      </c>
      <c r="G6" s="67">
        <v>2000000.0</v>
      </c>
      <c r="H6" s="67">
        <v>1675728.0</v>
      </c>
      <c r="I6" s="67">
        <v>6014817.0</v>
      </c>
    </row>
    <row r="7">
      <c r="A7" s="59">
        <v>45444.0</v>
      </c>
      <c r="B7" s="67">
        <v>6014817.0</v>
      </c>
      <c r="C7" s="67">
        <v>4101749.0</v>
      </c>
      <c r="E7" s="67">
        <v>740000.0</v>
      </c>
      <c r="F7" s="67">
        <v>1241690.0</v>
      </c>
      <c r="H7" s="67">
        <v>2102079.0</v>
      </c>
      <c r="I7" s="67">
        <v>8179306.0</v>
      </c>
    </row>
    <row r="8">
      <c r="A8" s="59">
        <v>45474.0</v>
      </c>
      <c r="B8" s="67">
        <v>8179306.0</v>
      </c>
      <c r="C8" s="67">
        <v>6511460.0</v>
      </c>
      <c r="E8" s="67">
        <v>780000.0</v>
      </c>
      <c r="F8" s="67">
        <v>1241690.0</v>
      </c>
      <c r="G8" s="67">
        <v>400000.0</v>
      </c>
      <c r="H8" s="67">
        <v>4489770.0</v>
      </c>
      <c r="I8" s="67">
        <v>1.2269076E7</v>
      </c>
    </row>
    <row r="9">
      <c r="A9" s="59">
        <v>45505.0</v>
      </c>
      <c r="B9" s="67">
        <v>1.2269076E7</v>
      </c>
      <c r="C9" s="67">
        <v>4223500.0</v>
      </c>
      <c r="E9" s="67">
        <v>720000.0</v>
      </c>
      <c r="F9" s="67">
        <v>1718942.0</v>
      </c>
      <c r="G9" s="67">
        <v>6750000.0</v>
      </c>
      <c r="H9" s="67">
        <v>1784558.0</v>
      </c>
      <c r="I9" s="67">
        <v>7303634.0</v>
      </c>
    </row>
    <row r="10">
      <c r="A10" s="59">
        <v>45536.0</v>
      </c>
      <c r="B10" s="67">
        <v>7303634.0</v>
      </c>
      <c r="C10" s="67">
        <v>4352400.0</v>
      </c>
      <c r="E10" s="67">
        <v>780000.0</v>
      </c>
      <c r="F10" s="67">
        <v>1365454.0</v>
      </c>
      <c r="G10" s="67">
        <v>4561060.0</v>
      </c>
      <c r="H10" s="67">
        <v>2206946.0</v>
      </c>
      <c r="I10" s="67">
        <v>4949520.0</v>
      </c>
    </row>
    <row r="11">
      <c r="A11" s="59">
        <v>45566.0</v>
      </c>
      <c r="B11" s="67">
        <v>4949520.0</v>
      </c>
      <c r="C11" s="67">
        <v>5412600.0</v>
      </c>
      <c r="E11" s="67">
        <v>860000.0</v>
      </c>
      <c r="F11" s="67">
        <v>2036220.0</v>
      </c>
      <c r="G11" s="67">
        <v>1837020.0</v>
      </c>
      <c r="H11" s="67">
        <v>2516380.0</v>
      </c>
      <c r="I11" s="67">
        <v>5628880.0</v>
      </c>
    </row>
    <row r="12">
      <c r="A12" s="59">
        <v>45597.0</v>
      </c>
      <c r="B12" s="67">
        <v>5628880.0</v>
      </c>
      <c r="C12" s="67">
        <v>5628880.0</v>
      </c>
      <c r="E12" s="67">
        <v>910000.0</v>
      </c>
      <c r="F12" s="67">
        <v>2148388.0</v>
      </c>
      <c r="G12" s="67">
        <v>1837020.0</v>
      </c>
      <c r="H12" s="67">
        <v>2570492.0</v>
      </c>
      <c r="I12" s="67">
        <v>6362352.0</v>
      </c>
    </row>
    <row r="13">
      <c r="A13" s="59">
        <v>45627.0</v>
      </c>
      <c r="B13" s="67">
        <v>6362352.0</v>
      </c>
      <c r="C13" s="67">
        <v>4979300.0</v>
      </c>
      <c r="E13" s="67">
        <v>740000.0</v>
      </c>
      <c r="F13" s="67">
        <v>2245567.0</v>
      </c>
      <c r="G13" s="67">
        <v>3894020.0</v>
      </c>
      <c r="H13" s="67">
        <v>1993733.0</v>
      </c>
      <c r="I13" s="67">
        <v>3377185.0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0"/>
    <col customWidth="1" min="8" max="26" width="10.71"/>
  </cols>
  <sheetData>
    <row r="1">
      <c r="A1" s="1" t="s">
        <v>721</v>
      </c>
      <c r="B1" s="86" t="s">
        <v>3143</v>
      </c>
    </row>
    <row r="2">
      <c r="A2" s="75" t="s">
        <v>3144</v>
      </c>
      <c r="F2" s="87">
        <v>3377185.0</v>
      </c>
      <c r="G2" s="53"/>
    </row>
    <row r="3">
      <c r="A3" s="6" t="s">
        <v>3145</v>
      </c>
      <c r="B3" s="1"/>
      <c r="C3" s="1"/>
      <c r="D3" s="1" t="s">
        <v>3001</v>
      </c>
      <c r="E3" s="50" t="s">
        <v>3002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20000.0</v>
      </c>
      <c r="E4" s="2">
        <v>37000.0</v>
      </c>
      <c r="F4" s="2">
        <v>15000.0</v>
      </c>
      <c r="G4" s="7">
        <v>436050.0</v>
      </c>
      <c r="H4" s="60">
        <v>80000.0</v>
      </c>
    </row>
    <row r="5">
      <c r="A5" s="1"/>
      <c r="B5" s="4" t="s">
        <v>64</v>
      </c>
      <c r="C5" s="1"/>
      <c r="D5" s="2">
        <v>103000.0</v>
      </c>
      <c r="E5" s="2">
        <v>159000.0</v>
      </c>
      <c r="F5" s="2">
        <v>115000.0</v>
      </c>
      <c r="G5" s="7">
        <v>1766000.0</v>
      </c>
      <c r="H5" s="2">
        <v>168000.0</v>
      </c>
    </row>
    <row r="6">
      <c r="A6" s="1"/>
      <c r="B6" s="4" t="s">
        <v>65</v>
      </c>
      <c r="C6" s="1"/>
      <c r="D6" s="2">
        <v>122000.0</v>
      </c>
      <c r="E6" s="2">
        <v>133000.0</v>
      </c>
      <c r="F6" s="2">
        <v>105000.0</v>
      </c>
      <c r="G6" s="7">
        <v>1637100.0</v>
      </c>
      <c r="H6" s="2">
        <v>88000.0</v>
      </c>
    </row>
    <row r="7">
      <c r="A7" s="1"/>
      <c r="B7" s="4" t="s">
        <v>66</v>
      </c>
      <c r="C7" s="1"/>
      <c r="D7" s="2">
        <v>99000.0</v>
      </c>
      <c r="E7" s="2">
        <v>120000.0</v>
      </c>
      <c r="F7" s="2">
        <v>75000.0</v>
      </c>
      <c r="G7" s="76">
        <v>1429250.0</v>
      </c>
      <c r="H7" s="2">
        <v>126000.0</v>
      </c>
    </row>
    <row r="8">
      <c r="A8" s="1"/>
      <c r="B8" s="4" t="s">
        <v>3147</v>
      </c>
      <c r="C8" s="1"/>
      <c r="D8" s="2">
        <v>121000.0</v>
      </c>
      <c r="E8" s="2">
        <v>154000.0</v>
      </c>
      <c r="F8" s="2">
        <v>235000.0</v>
      </c>
      <c r="G8" s="76">
        <v>1846400.0</v>
      </c>
      <c r="H8" s="2">
        <v>68000.0</v>
      </c>
    </row>
    <row r="9">
      <c r="A9" s="50" t="s">
        <v>405</v>
      </c>
      <c r="D9" s="60">
        <f t="shared" ref="D9:G9" si="1">SUM(D4:D8)</f>
        <v>465000</v>
      </c>
      <c r="E9" s="13">
        <f t="shared" si="1"/>
        <v>603000</v>
      </c>
      <c r="F9" s="2">
        <f t="shared" si="1"/>
        <v>545000</v>
      </c>
      <c r="G9" s="7">
        <f t="shared" si="1"/>
        <v>7114800</v>
      </c>
      <c r="H9" s="7">
        <v>530000.0</v>
      </c>
    </row>
    <row r="10">
      <c r="A10" s="1"/>
      <c r="B10" s="51" t="s">
        <v>9</v>
      </c>
      <c r="C10" s="52"/>
      <c r="D10" s="52"/>
      <c r="E10" s="52"/>
      <c r="F10" s="53"/>
      <c r="G10" s="68">
        <f>SUM(D9:H9)</f>
        <v>9257800</v>
      </c>
    </row>
    <row r="11">
      <c r="A11" s="1"/>
      <c r="B11" s="88"/>
      <c r="C11" s="88"/>
      <c r="D11" s="88"/>
      <c r="E11" s="88"/>
      <c r="F11" s="88"/>
      <c r="G11" s="68"/>
    </row>
    <row r="12">
      <c r="A12" s="6" t="s">
        <v>3148</v>
      </c>
      <c r="B12" s="1"/>
      <c r="C12" s="1"/>
      <c r="D12" s="1"/>
      <c r="E12" s="1"/>
      <c r="F12" s="1"/>
      <c r="G12" s="2" t="s">
        <v>480</v>
      </c>
    </row>
    <row r="13">
      <c r="A13" s="1"/>
      <c r="B13" s="12" t="s">
        <v>11</v>
      </c>
      <c r="C13" s="1"/>
      <c r="D13" s="1"/>
      <c r="E13" s="1"/>
      <c r="F13" s="1"/>
      <c r="G13" s="2"/>
    </row>
    <row r="14">
      <c r="A14" s="1"/>
      <c r="B14" s="4" t="s">
        <v>2745</v>
      </c>
      <c r="C14" s="1"/>
      <c r="D14" s="1"/>
      <c r="E14" s="1"/>
      <c r="F14" s="1"/>
      <c r="G14" s="77">
        <v>130000.0</v>
      </c>
    </row>
    <row r="15">
      <c r="A15" s="1"/>
      <c r="B15" s="4" t="s">
        <v>16</v>
      </c>
      <c r="C15" s="1"/>
      <c r="D15" s="1"/>
      <c r="E15" s="1"/>
      <c r="F15" s="1"/>
      <c r="G15" s="77">
        <v>100000.0</v>
      </c>
    </row>
    <row r="16">
      <c r="A16" s="1"/>
      <c r="B16" s="4" t="s">
        <v>2746</v>
      </c>
      <c r="C16" s="1"/>
      <c r="D16" s="1"/>
      <c r="E16" s="1"/>
      <c r="F16" s="1"/>
      <c r="G16" s="77">
        <v>100000.0</v>
      </c>
    </row>
    <row r="17">
      <c r="A17" s="1"/>
      <c r="B17" s="4" t="s">
        <v>3149</v>
      </c>
      <c r="C17" s="1"/>
      <c r="D17" s="1"/>
      <c r="E17" s="1"/>
      <c r="F17" s="1"/>
      <c r="G17" s="77">
        <v>100000.0</v>
      </c>
    </row>
    <row r="18">
      <c r="A18" s="1"/>
      <c r="B18" s="4" t="s">
        <v>3150</v>
      </c>
      <c r="C18" s="1"/>
      <c r="D18" s="1"/>
      <c r="E18" s="1"/>
      <c r="F18" s="1"/>
      <c r="G18" s="77">
        <v>80000.0</v>
      </c>
    </row>
    <row r="19">
      <c r="A19" s="1"/>
      <c r="B19" s="4" t="s">
        <v>3006</v>
      </c>
      <c r="C19" s="1"/>
      <c r="D19" s="1"/>
      <c r="E19" s="1"/>
      <c r="F19" s="1"/>
      <c r="G19" s="77">
        <v>150000.0</v>
      </c>
    </row>
    <row r="20">
      <c r="A20" s="1"/>
      <c r="B20" s="9" t="s">
        <v>18</v>
      </c>
      <c r="C20" s="10"/>
      <c r="D20" s="10"/>
      <c r="E20" s="10"/>
      <c r="F20" s="10"/>
      <c r="G20" s="69">
        <f>SUM(G14:G19)</f>
        <v>660000</v>
      </c>
    </row>
    <row r="21" ht="15.75" customHeight="1">
      <c r="A21" s="1"/>
      <c r="B21" s="12" t="s">
        <v>19</v>
      </c>
      <c r="C21" s="15"/>
      <c r="D21" s="1"/>
      <c r="E21" s="1"/>
      <c r="F21" s="1"/>
    </row>
    <row r="22" ht="15.75" customHeight="1">
      <c r="A22" s="1"/>
      <c r="B22" s="4" t="s">
        <v>3151</v>
      </c>
      <c r="C22" s="15"/>
      <c r="D22" s="1"/>
      <c r="E22" s="1"/>
      <c r="F22" s="1"/>
      <c r="G22" s="2">
        <v>81305.0</v>
      </c>
    </row>
    <row r="23" ht="15.75" customHeight="1">
      <c r="A23" s="1"/>
      <c r="B23" s="4" t="s">
        <v>3152</v>
      </c>
      <c r="C23" s="15"/>
      <c r="D23" s="1"/>
      <c r="E23" s="1"/>
      <c r="F23" s="1"/>
      <c r="G23" s="2">
        <v>3500.0</v>
      </c>
    </row>
    <row r="24" ht="15.75" customHeight="1">
      <c r="A24" s="1"/>
      <c r="B24" s="4" t="s">
        <v>3153</v>
      </c>
      <c r="C24" s="15"/>
      <c r="D24" s="1"/>
      <c r="E24" s="1"/>
      <c r="F24" s="1"/>
      <c r="G24" s="2">
        <v>50500.0</v>
      </c>
    </row>
    <row r="25" ht="15.75" customHeight="1">
      <c r="A25" s="1"/>
      <c r="B25" s="4" t="s">
        <v>3154</v>
      </c>
      <c r="C25" s="15"/>
      <c r="D25" s="1"/>
      <c r="E25" s="1"/>
      <c r="F25" s="1"/>
      <c r="G25" s="2">
        <v>230000.0</v>
      </c>
    </row>
    <row r="26" ht="15.75" customHeight="1">
      <c r="A26" s="1"/>
      <c r="B26" s="4" t="s">
        <v>3155</v>
      </c>
      <c r="C26" s="15"/>
      <c r="D26" s="1"/>
      <c r="E26" s="1"/>
      <c r="F26" s="1"/>
      <c r="G26" s="2">
        <v>10000.0</v>
      </c>
    </row>
    <row r="27" ht="15.75" customHeight="1">
      <c r="A27" s="1"/>
      <c r="B27" s="4" t="s">
        <v>3156</v>
      </c>
      <c r="C27" s="15"/>
      <c r="D27" s="1"/>
      <c r="E27" s="1"/>
      <c r="F27" s="1"/>
      <c r="G27" s="2">
        <v>15000.0</v>
      </c>
    </row>
    <row r="28" ht="15.75" customHeight="1">
      <c r="A28" s="1"/>
      <c r="B28" s="4" t="s">
        <v>3157</v>
      </c>
      <c r="C28" s="15"/>
      <c r="D28" s="1"/>
      <c r="E28" s="1"/>
      <c r="F28" s="1"/>
      <c r="G28" s="2">
        <v>1883.0</v>
      </c>
    </row>
    <row r="29" ht="15.75" customHeight="1">
      <c r="A29" s="1"/>
      <c r="B29" s="4" t="s">
        <v>3119</v>
      </c>
      <c r="C29" s="15"/>
      <c r="D29" s="1"/>
      <c r="E29" s="1"/>
      <c r="F29" s="1"/>
      <c r="G29" s="2">
        <v>3500.0</v>
      </c>
    </row>
    <row r="30" ht="15.75" customHeight="1">
      <c r="A30" s="1"/>
      <c r="B30" s="4" t="s">
        <v>3158</v>
      </c>
      <c r="C30" s="15"/>
      <c r="D30" s="1"/>
      <c r="E30" s="1"/>
      <c r="F30" s="1"/>
      <c r="G30" s="2">
        <v>212500.0</v>
      </c>
    </row>
    <row r="31" ht="15.75" customHeight="1">
      <c r="A31" s="1"/>
      <c r="B31" s="4" t="s">
        <v>3159</v>
      </c>
      <c r="C31" s="15"/>
      <c r="D31" s="1"/>
      <c r="E31" s="1"/>
      <c r="F31" s="1"/>
      <c r="G31" s="2">
        <v>150000.0</v>
      </c>
    </row>
    <row r="32" ht="15.75" customHeight="1">
      <c r="A32" s="1"/>
      <c r="B32" s="4" t="s">
        <v>3160</v>
      </c>
      <c r="C32" s="15"/>
      <c r="D32" s="1"/>
      <c r="E32" s="1"/>
      <c r="F32" s="1"/>
      <c r="G32" s="2">
        <v>10000.0</v>
      </c>
    </row>
    <row r="33" ht="15.75" customHeight="1">
      <c r="A33" s="1"/>
      <c r="B33" s="4" t="s">
        <v>3161</v>
      </c>
      <c r="C33" s="15"/>
      <c r="D33" s="1"/>
      <c r="E33" s="1"/>
      <c r="F33" s="1"/>
      <c r="G33" s="2">
        <v>16425.0</v>
      </c>
    </row>
    <row r="34" ht="15.75" customHeight="1">
      <c r="A34" s="1"/>
      <c r="B34" s="4" t="s">
        <v>3162</v>
      </c>
      <c r="C34" s="15"/>
      <c r="D34" s="1"/>
      <c r="E34" s="1"/>
      <c r="F34" s="1"/>
      <c r="G34" s="2">
        <v>13100.0</v>
      </c>
    </row>
    <row r="35" ht="15.75" customHeight="1">
      <c r="A35" s="1"/>
      <c r="B35" s="4" t="s">
        <v>3163</v>
      </c>
      <c r="C35" s="15"/>
      <c r="D35" s="1"/>
      <c r="E35" s="1"/>
      <c r="F35" s="1"/>
      <c r="G35" s="2">
        <v>6500.0</v>
      </c>
    </row>
    <row r="36" ht="15.75" customHeight="1">
      <c r="A36" s="1"/>
      <c r="B36" s="4" t="s">
        <v>3164</v>
      </c>
      <c r="C36" s="15"/>
      <c r="D36" s="1"/>
      <c r="E36" s="1"/>
      <c r="F36" s="1"/>
      <c r="G36" s="2">
        <v>38350.0</v>
      </c>
    </row>
    <row r="37" ht="15.75" customHeight="1">
      <c r="A37" s="1"/>
      <c r="B37" s="4" t="s">
        <v>3165</v>
      </c>
      <c r="C37" s="15"/>
      <c r="D37" s="1"/>
      <c r="E37" s="1"/>
      <c r="F37" s="1"/>
      <c r="G37" s="2">
        <v>60000.0</v>
      </c>
    </row>
    <row r="38" ht="15.75" customHeight="1">
      <c r="A38" s="1"/>
      <c r="B38" s="4" t="s">
        <v>3166</v>
      </c>
      <c r="C38" s="15"/>
      <c r="D38" s="1"/>
      <c r="E38" s="1"/>
      <c r="F38" s="1"/>
      <c r="G38" s="2">
        <v>3000.0</v>
      </c>
    </row>
    <row r="39" ht="15.75" customHeight="1">
      <c r="A39" s="1"/>
      <c r="B39" s="4" t="s">
        <v>3167</v>
      </c>
      <c r="C39" s="15"/>
      <c r="D39" s="1"/>
      <c r="E39" s="1"/>
      <c r="F39" s="1"/>
      <c r="G39" s="2">
        <v>16000.0</v>
      </c>
    </row>
    <row r="40" ht="15.75" customHeight="1">
      <c r="A40" s="1"/>
      <c r="B40" s="4" t="s">
        <v>3168</v>
      </c>
      <c r="C40" s="15"/>
      <c r="D40" s="1"/>
      <c r="E40" s="1"/>
      <c r="F40" s="1"/>
      <c r="G40" s="2">
        <v>100000.0</v>
      </c>
    </row>
    <row r="41" ht="15.75" customHeight="1">
      <c r="A41" s="1"/>
      <c r="B41" s="4" t="s">
        <v>3169</v>
      </c>
      <c r="C41" s="15"/>
      <c r="D41" s="1"/>
      <c r="E41" s="1"/>
      <c r="F41" s="1"/>
      <c r="G41" s="2">
        <v>50000.0</v>
      </c>
    </row>
    <row r="42" ht="15.75" customHeight="1">
      <c r="A42" s="1"/>
      <c r="B42" s="4" t="s">
        <v>3170</v>
      </c>
      <c r="C42" s="15"/>
      <c r="D42" s="1"/>
      <c r="E42" s="1"/>
      <c r="F42" s="1"/>
      <c r="G42" s="2">
        <v>27000.0</v>
      </c>
    </row>
    <row r="43" ht="15.75" customHeight="1">
      <c r="A43" s="1"/>
      <c r="B43" s="4" t="s">
        <v>3171</v>
      </c>
      <c r="C43" s="15"/>
      <c r="D43" s="1"/>
      <c r="E43" s="1"/>
      <c r="F43" s="1"/>
      <c r="G43" s="2">
        <v>47500.0</v>
      </c>
    </row>
    <row r="44" ht="15.75" customHeight="1">
      <c r="A44" s="1"/>
      <c r="B44" s="4" t="s">
        <v>3172</v>
      </c>
      <c r="C44" s="15"/>
      <c r="D44" s="1"/>
      <c r="E44" s="1"/>
      <c r="F44" s="1"/>
      <c r="G44" s="2">
        <v>9000.0</v>
      </c>
    </row>
    <row r="45" ht="15.75" customHeight="1">
      <c r="A45" s="1"/>
      <c r="B45" s="4" t="s">
        <v>3173</v>
      </c>
      <c r="C45" s="15"/>
      <c r="D45" s="1"/>
      <c r="E45" s="1"/>
      <c r="F45" s="1"/>
      <c r="G45" s="2">
        <v>8500.0</v>
      </c>
    </row>
    <row r="46" ht="15.75" customHeight="1">
      <c r="A46" s="1"/>
      <c r="B46" s="4" t="s">
        <v>3174</v>
      </c>
      <c r="C46" s="15"/>
      <c r="D46" s="1"/>
      <c r="E46" s="1"/>
      <c r="F46" s="1"/>
      <c r="G46" s="2">
        <v>1200.0</v>
      </c>
    </row>
    <row r="47" ht="15.75" customHeight="1">
      <c r="A47" s="1"/>
      <c r="B47" s="4" t="s">
        <v>3175</v>
      </c>
      <c r="C47" s="15"/>
      <c r="D47" s="1"/>
      <c r="E47" s="1"/>
      <c r="F47" s="1"/>
      <c r="G47" s="2">
        <v>1500.0</v>
      </c>
    </row>
    <row r="48" ht="15.75" customHeight="1">
      <c r="A48" s="1"/>
      <c r="B48" s="4" t="s">
        <v>2385</v>
      </c>
      <c r="C48" s="15"/>
      <c r="D48" s="1"/>
      <c r="E48" s="1"/>
      <c r="F48" s="1"/>
      <c r="G48" s="2">
        <v>25000.0</v>
      </c>
    </row>
    <row r="49" ht="15.75" customHeight="1">
      <c r="A49" s="1"/>
      <c r="B49" s="4" t="s">
        <v>3176</v>
      </c>
      <c r="C49" s="15"/>
      <c r="D49" s="1"/>
      <c r="E49" s="1"/>
      <c r="F49" s="1"/>
      <c r="G49" s="2">
        <v>82600.0</v>
      </c>
    </row>
    <row r="50" ht="15.75" customHeight="1">
      <c r="A50" s="1"/>
      <c r="B50" s="4" t="s">
        <v>3177</v>
      </c>
      <c r="C50" s="15"/>
      <c r="D50" s="1"/>
      <c r="E50" s="1"/>
      <c r="F50" s="1"/>
      <c r="G50" s="2">
        <v>500000.0</v>
      </c>
    </row>
    <row r="51" ht="15.75" customHeight="1">
      <c r="A51" s="1"/>
      <c r="B51" s="4" t="s">
        <v>3178</v>
      </c>
      <c r="C51" s="15"/>
      <c r="D51" s="1"/>
      <c r="E51" s="1"/>
      <c r="F51" s="1"/>
      <c r="G51" s="2">
        <v>100000.0</v>
      </c>
    </row>
    <row r="52" ht="15.75" customHeight="1">
      <c r="A52" s="1"/>
      <c r="B52" s="4" t="s">
        <v>3167</v>
      </c>
      <c r="C52" s="15"/>
      <c r="D52" s="1"/>
      <c r="E52" s="1"/>
      <c r="F52" s="1"/>
      <c r="G52" s="2">
        <v>10000.0</v>
      </c>
    </row>
    <row r="53" ht="15.75" customHeight="1">
      <c r="A53" s="1"/>
      <c r="B53" s="4" t="s">
        <v>3179</v>
      </c>
      <c r="C53" s="15"/>
      <c r="D53" s="1"/>
      <c r="E53" s="1"/>
      <c r="F53" s="1"/>
      <c r="G53" s="2">
        <v>30000.0</v>
      </c>
    </row>
    <row r="54" ht="15.75" customHeight="1">
      <c r="A54" s="1"/>
      <c r="B54" s="4" t="s">
        <v>3180</v>
      </c>
      <c r="C54" s="15"/>
      <c r="D54" s="1"/>
      <c r="E54" s="1"/>
      <c r="F54" s="1"/>
      <c r="G54" s="2">
        <v>8000.0</v>
      </c>
    </row>
    <row r="55" ht="15.75" customHeight="1">
      <c r="A55" s="1"/>
      <c r="B55" s="4" t="s">
        <v>3181</v>
      </c>
      <c r="C55" s="15"/>
      <c r="D55" s="1"/>
      <c r="E55" s="1"/>
      <c r="F55" s="1"/>
      <c r="G55" s="2">
        <v>40000.0</v>
      </c>
    </row>
    <row r="56" ht="15.75" customHeight="1">
      <c r="A56" s="1"/>
      <c r="B56" s="4" t="s">
        <v>3182</v>
      </c>
      <c r="C56" s="15"/>
      <c r="D56" s="1"/>
      <c r="E56" s="1"/>
      <c r="F56" s="1"/>
      <c r="G56" s="2">
        <v>22000.0</v>
      </c>
    </row>
    <row r="57" ht="15.75" customHeight="1">
      <c r="A57" s="1"/>
      <c r="B57" s="4" t="s">
        <v>3183</v>
      </c>
      <c r="C57" s="15"/>
      <c r="D57" s="1"/>
      <c r="E57" s="1"/>
      <c r="F57" s="1"/>
      <c r="G57" s="2">
        <v>25000.0</v>
      </c>
    </row>
    <row r="58" ht="15.75" customHeight="1">
      <c r="A58" s="1"/>
      <c r="B58" s="4" t="s">
        <v>3184</v>
      </c>
      <c r="C58" s="15"/>
      <c r="D58" s="1"/>
      <c r="E58" s="1"/>
      <c r="F58" s="1"/>
      <c r="G58" s="2">
        <v>100000.0</v>
      </c>
    </row>
    <row r="59" ht="15.75" customHeight="1">
      <c r="A59" s="1"/>
      <c r="B59" s="4" t="s">
        <v>3185</v>
      </c>
      <c r="C59" s="15"/>
      <c r="D59" s="1"/>
      <c r="E59" s="1"/>
      <c r="F59" s="1"/>
      <c r="G59" s="2">
        <v>60000.0</v>
      </c>
    </row>
    <row r="60" ht="15.75" customHeight="1">
      <c r="A60" s="1"/>
      <c r="B60" s="4" t="s">
        <v>3186</v>
      </c>
      <c r="C60" s="15"/>
      <c r="D60" s="1"/>
      <c r="E60" s="1"/>
      <c r="F60" s="1"/>
      <c r="G60" s="2">
        <v>300000.0</v>
      </c>
    </row>
    <row r="61" ht="15.75" customHeight="1">
      <c r="A61" s="1"/>
      <c r="B61" s="4" t="s">
        <v>3187</v>
      </c>
      <c r="C61" s="15"/>
      <c r="D61" s="1"/>
      <c r="E61" s="1"/>
      <c r="F61" s="1"/>
      <c r="G61" s="2">
        <v>28680.0</v>
      </c>
    </row>
    <row r="62" ht="15.75" customHeight="1">
      <c r="A62" s="1"/>
      <c r="B62" s="4" t="s">
        <v>3188</v>
      </c>
      <c r="C62" s="15"/>
      <c r="D62" s="1"/>
      <c r="E62" s="1"/>
      <c r="F62" s="1"/>
      <c r="G62" s="2">
        <v>4000.0</v>
      </c>
    </row>
    <row r="63" ht="15.75" customHeight="1">
      <c r="A63" s="1"/>
      <c r="B63" s="4" t="s">
        <v>3189</v>
      </c>
      <c r="C63" s="15"/>
      <c r="D63" s="1"/>
      <c r="E63" s="1"/>
      <c r="F63" s="1"/>
      <c r="G63" s="2">
        <v>10000.0</v>
      </c>
    </row>
    <row r="64" ht="15.75" customHeight="1">
      <c r="A64" s="1"/>
      <c r="B64" s="4" t="s">
        <v>3190</v>
      </c>
      <c r="C64" s="15"/>
      <c r="D64" s="1"/>
      <c r="E64" s="1"/>
      <c r="F64" s="1"/>
      <c r="G64" s="2">
        <v>1600.0</v>
      </c>
    </row>
    <row r="65" ht="15.75" customHeight="1">
      <c r="A65" s="1"/>
      <c r="B65" s="4" t="s">
        <v>3191</v>
      </c>
      <c r="C65" s="15"/>
      <c r="D65" s="1"/>
      <c r="E65" s="1"/>
      <c r="F65" s="1"/>
      <c r="G65" s="2">
        <v>6000.0</v>
      </c>
    </row>
    <row r="66" ht="15.75" customHeight="1">
      <c r="A66" s="1"/>
      <c r="B66" s="4" t="s">
        <v>3192</v>
      </c>
      <c r="C66" s="15"/>
      <c r="D66" s="1"/>
      <c r="E66" s="1"/>
      <c r="F66" s="1"/>
      <c r="G66" s="2">
        <v>3200.0</v>
      </c>
    </row>
    <row r="67" ht="15.75" customHeight="1">
      <c r="A67" s="1"/>
      <c r="B67" s="4" t="s">
        <v>3193</v>
      </c>
      <c r="C67" s="15"/>
      <c r="D67" s="1"/>
      <c r="E67" s="1"/>
      <c r="F67" s="1"/>
      <c r="G67" s="2">
        <v>132900.0</v>
      </c>
    </row>
    <row r="68" ht="15.75" customHeight="1">
      <c r="A68" s="1"/>
      <c r="B68" s="4" t="s">
        <v>3194</v>
      </c>
      <c r="C68" s="15"/>
      <c r="D68" s="1"/>
      <c r="E68" s="1"/>
      <c r="F68" s="1"/>
      <c r="G68" s="2">
        <v>4590.0</v>
      </c>
    </row>
    <row r="69" ht="15.75" customHeight="1">
      <c r="A69" s="1"/>
      <c r="B69" s="4" t="s">
        <v>3195</v>
      </c>
      <c r="C69" s="15"/>
      <c r="D69" s="1"/>
      <c r="E69" s="1"/>
      <c r="F69" s="1"/>
      <c r="G69" s="2">
        <v>4100.0</v>
      </c>
    </row>
    <row r="70" ht="15.75" customHeight="1">
      <c r="A70" s="1"/>
      <c r="B70" s="4" t="s">
        <v>3196</v>
      </c>
      <c r="C70" s="15"/>
      <c r="D70" s="1"/>
      <c r="E70" s="1"/>
      <c r="F70" s="1"/>
      <c r="G70" s="2">
        <v>34000.0</v>
      </c>
    </row>
    <row r="71" ht="15.75" customHeight="1">
      <c r="A71" s="1"/>
      <c r="B71" s="4" t="s">
        <v>3197</v>
      </c>
      <c r="C71" s="15"/>
      <c r="D71" s="1"/>
      <c r="E71" s="1"/>
      <c r="F71" s="1"/>
      <c r="G71" s="2">
        <v>21000.0</v>
      </c>
    </row>
    <row r="72" ht="15.75" customHeight="1">
      <c r="A72" s="1"/>
      <c r="B72" s="4" t="s">
        <v>3198</v>
      </c>
      <c r="C72" s="15"/>
      <c r="D72" s="1"/>
      <c r="E72" s="1"/>
      <c r="F72" s="1"/>
      <c r="G72" s="2">
        <v>21000.0</v>
      </c>
    </row>
    <row r="73" ht="15.75" customHeight="1">
      <c r="A73" s="1"/>
      <c r="B73" s="4" t="s">
        <v>3199</v>
      </c>
      <c r="C73" s="15"/>
      <c r="D73" s="1"/>
      <c r="E73" s="1"/>
      <c r="F73" s="1"/>
      <c r="G73" s="2">
        <v>34000.0</v>
      </c>
    </row>
    <row r="74" ht="15.75" customHeight="1">
      <c r="A74" s="1"/>
      <c r="B74" s="4" t="s">
        <v>3200</v>
      </c>
      <c r="C74" s="15"/>
      <c r="D74" s="1"/>
      <c r="E74" s="1"/>
      <c r="F74" s="1"/>
      <c r="G74" s="2">
        <v>16000.0</v>
      </c>
    </row>
    <row r="75" ht="15.75" customHeight="1">
      <c r="A75" s="1"/>
      <c r="B75" s="4" t="s">
        <v>3196</v>
      </c>
      <c r="C75" s="15"/>
      <c r="D75" s="1"/>
      <c r="E75" s="1"/>
      <c r="F75" s="1"/>
      <c r="G75" s="2">
        <v>34000.0</v>
      </c>
    </row>
    <row r="76" ht="15.75" customHeight="1">
      <c r="A76" s="1"/>
      <c r="B76" s="4" t="s">
        <v>3196</v>
      </c>
      <c r="C76" s="15"/>
      <c r="D76" s="1"/>
      <c r="E76" s="1"/>
      <c r="F76" s="1"/>
      <c r="G76" s="2">
        <v>34000.0</v>
      </c>
    </row>
    <row r="77" ht="15.75" customHeight="1">
      <c r="A77" s="1"/>
      <c r="B77" s="4" t="s">
        <v>3201</v>
      </c>
      <c r="C77" s="15"/>
      <c r="D77" s="1"/>
      <c r="E77" s="1"/>
      <c r="F77" s="1"/>
      <c r="G77" s="2">
        <v>1500.0</v>
      </c>
    </row>
    <row r="78" ht="15.75" customHeight="1">
      <c r="A78" s="1"/>
      <c r="B78" s="4" t="s">
        <v>3202</v>
      </c>
      <c r="C78" s="15"/>
      <c r="D78" s="1"/>
      <c r="E78" s="1"/>
      <c r="F78" s="1"/>
      <c r="G78" s="2">
        <v>37000.0</v>
      </c>
    </row>
    <row r="79" ht="15.75" customHeight="1">
      <c r="A79" s="1"/>
      <c r="B79" s="4" t="s">
        <v>3203</v>
      </c>
      <c r="C79" s="15"/>
      <c r="D79" s="1"/>
      <c r="E79" s="1"/>
      <c r="F79" s="1"/>
      <c r="G79" s="2">
        <v>10000.0</v>
      </c>
    </row>
    <row r="80" ht="15.75" customHeight="1">
      <c r="A80" s="1"/>
      <c r="B80" s="4" t="s">
        <v>3204</v>
      </c>
      <c r="C80" s="15"/>
      <c r="D80" s="1"/>
      <c r="E80" s="1"/>
      <c r="F80" s="1"/>
      <c r="G80" s="2">
        <v>8000.0</v>
      </c>
    </row>
    <row r="81" ht="15.75" customHeight="1">
      <c r="A81" s="1"/>
      <c r="B81" s="4" t="s">
        <v>3196</v>
      </c>
      <c r="C81" s="15"/>
      <c r="D81" s="1"/>
      <c r="E81" s="1"/>
      <c r="F81" s="1"/>
      <c r="G81" s="2">
        <v>34000.0</v>
      </c>
    </row>
    <row r="82" ht="15.75" customHeight="1">
      <c r="A82" s="1"/>
      <c r="B82" s="4" t="s">
        <v>3205</v>
      </c>
      <c r="C82" s="15"/>
      <c r="D82" s="1"/>
      <c r="E82" s="1"/>
      <c r="F82" s="1"/>
      <c r="G82" s="2">
        <v>17000.0</v>
      </c>
    </row>
    <row r="83" ht="15.75" customHeight="1">
      <c r="A83" s="1"/>
      <c r="B83" s="4" t="s">
        <v>2619</v>
      </c>
      <c r="C83" s="15"/>
      <c r="D83" s="1"/>
      <c r="E83" s="1"/>
      <c r="F83" s="1"/>
      <c r="G83" s="2">
        <v>6000.0</v>
      </c>
    </row>
    <row r="84" ht="15.75" customHeight="1">
      <c r="A84" s="1"/>
      <c r="B84" s="4" t="s">
        <v>3206</v>
      </c>
      <c r="C84" s="15"/>
      <c r="D84" s="1"/>
      <c r="E84" s="1"/>
      <c r="F84" s="1"/>
      <c r="G84" s="2">
        <v>36000.0</v>
      </c>
    </row>
    <row r="85" ht="15.75" customHeight="1">
      <c r="A85" s="1"/>
      <c r="B85" s="4" t="s">
        <v>3207</v>
      </c>
      <c r="C85" s="15"/>
      <c r="D85" s="1"/>
      <c r="E85" s="1"/>
      <c r="F85" s="1"/>
      <c r="G85" s="2">
        <v>2000.0</v>
      </c>
    </row>
    <row r="86" ht="15.75" customHeight="1">
      <c r="A86" s="1"/>
      <c r="B86" s="4" t="s">
        <v>3208</v>
      </c>
      <c r="C86" s="15"/>
      <c r="D86" s="1"/>
      <c r="E86" s="1"/>
      <c r="F86" s="1"/>
      <c r="G86" s="2">
        <v>3000.0</v>
      </c>
    </row>
    <row r="87" ht="15.75" customHeight="1">
      <c r="A87" s="1"/>
      <c r="B87" s="4" t="s">
        <v>3209</v>
      </c>
      <c r="C87" s="15"/>
      <c r="D87" s="1"/>
      <c r="E87" s="1"/>
      <c r="F87" s="1"/>
      <c r="G87" s="2">
        <v>100000.0</v>
      </c>
    </row>
    <row r="88" ht="15.75" customHeight="1">
      <c r="A88" s="1"/>
      <c r="B88" s="4" t="s">
        <v>3210</v>
      </c>
      <c r="C88" s="15"/>
      <c r="D88" s="1"/>
      <c r="E88" s="1"/>
      <c r="F88" s="1"/>
      <c r="G88" s="2">
        <v>5000.0</v>
      </c>
    </row>
    <row r="89" ht="15.75" customHeight="1">
      <c r="A89" s="1"/>
      <c r="B89" s="4" t="s">
        <v>3211</v>
      </c>
      <c r="C89" s="15"/>
      <c r="D89" s="1"/>
      <c r="E89" s="1"/>
      <c r="F89" s="1"/>
      <c r="G89" s="2">
        <v>5000.0</v>
      </c>
    </row>
    <row r="90" ht="15.75" customHeight="1">
      <c r="A90" s="1"/>
      <c r="B90" s="43" t="s">
        <v>43</v>
      </c>
      <c r="C90" s="1"/>
      <c r="D90" s="1"/>
      <c r="E90" s="1"/>
      <c r="F90" s="1"/>
      <c r="G90" s="18">
        <f>SUM(G22:G89)</f>
        <v>3122433</v>
      </c>
    </row>
    <row r="91" ht="15.75" customHeight="1">
      <c r="A91" s="1"/>
      <c r="B91" s="19" t="s">
        <v>45</v>
      </c>
      <c r="C91" s="20"/>
      <c r="D91" s="20"/>
      <c r="E91" s="20"/>
      <c r="F91" s="20"/>
      <c r="G91" s="70">
        <f>G20+G90</f>
        <v>3782433</v>
      </c>
    </row>
    <row r="92" ht="15.75" customHeight="1">
      <c r="A92" s="1"/>
      <c r="B92" s="89" t="s">
        <v>3212</v>
      </c>
      <c r="C92" s="53"/>
      <c r="D92" s="82"/>
      <c r="E92" s="37"/>
      <c r="F92" s="37"/>
      <c r="G92" s="71">
        <f> G10-G91</f>
        <v>5475367</v>
      </c>
    </row>
    <row r="93" ht="15.75" customHeight="1">
      <c r="A93" s="1"/>
      <c r="B93" s="90"/>
      <c r="C93" s="90"/>
      <c r="D93" s="82"/>
      <c r="E93" s="37"/>
      <c r="F93" s="37"/>
      <c r="G93" s="71"/>
    </row>
    <row r="94" ht="15.75" customHeight="1">
      <c r="A94" s="35" t="s">
        <v>3130</v>
      </c>
      <c r="B94" s="43" t="s">
        <v>255</v>
      </c>
      <c r="C94" s="1"/>
      <c r="D94" s="1"/>
      <c r="E94" s="1"/>
      <c r="F94" s="1"/>
      <c r="G94" s="2"/>
    </row>
    <row r="95" ht="15.75" customHeight="1">
      <c r="A95" s="35"/>
      <c r="B95" s="43"/>
      <c r="C95" s="1"/>
      <c r="D95" s="1"/>
      <c r="E95" s="1"/>
      <c r="F95" s="1"/>
      <c r="G95" s="2"/>
    </row>
    <row r="96" ht="15.75" customHeight="1">
      <c r="A96" s="22" t="s">
        <v>254</v>
      </c>
      <c r="B96" s="43" t="s">
        <v>3213</v>
      </c>
      <c r="C96" s="1"/>
      <c r="D96" s="1"/>
      <c r="E96" s="1"/>
      <c r="F96" s="1"/>
      <c r="G96" s="2">
        <v>1150900.0</v>
      </c>
    </row>
    <row r="97" ht="15.75" customHeight="1">
      <c r="A97" s="22"/>
      <c r="B97" s="43" t="s">
        <v>3214</v>
      </c>
      <c r="C97" s="1"/>
      <c r="D97" s="1"/>
      <c r="E97" s="1"/>
      <c r="F97" s="1"/>
      <c r="G97" s="2">
        <v>500000.0</v>
      </c>
    </row>
    <row r="98" ht="15.75" customHeight="1">
      <c r="A98" s="22"/>
      <c r="B98" s="43" t="s">
        <v>3215</v>
      </c>
      <c r="C98" s="1"/>
      <c r="D98" s="1"/>
      <c r="E98" s="1"/>
      <c r="F98" s="1"/>
      <c r="G98" s="2">
        <v>475000.0</v>
      </c>
    </row>
    <row r="99" ht="15.75" customHeight="1">
      <c r="A99" s="22"/>
      <c r="B99" s="72" t="s">
        <v>51</v>
      </c>
      <c r="C99" s="27"/>
      <c r="D99" s="27"/>
      <c r="E99" s="27"/>
      <c r="F99" s="27"/>
      <c r="G99" s="81">
        <f>SUM(G96:G98)</f>
        <v>2125900</v>
      </c>
    </row>
    <row r="100" ht="16.5" customHeight="1">
      <c r="A100" s="44"/>
      <c r="B100" s="91" t="s">
        <v>3216</v>
      </c>
      <c r="C100" s="45"/>
      <c r="D100" s="45"/>
      <c r="E100" s="46"/>
      <c r="F100" s="46"/>
      <c r="G100" s="92">
        <f>F2+G92-G99</f>
        <v>6726652</v>
      </c>
    </row>
    <row r="101" ht="16.5" customHeight="1">
      <c r="A101" s="44"/>
      <c r="B101" s="91"/>
      <c r="C101" s="45"/>
      <c r="D101" s="45"/>
      <c r="E101" s="46"/>
      <c r="F101" s="46"/>
      <c r="G101" s="92"/>
    </row>
    <row r="102" ht="15.0" customHeight="1">
      <c r="A102" s="44"/>
      <c r="B102" s="32" t="s">
        <v>3136</v>
      </c>
    </row>
    <row r="103" ht="15.75" customHeight="1">
      <c r="A103" s="1"/>
      <c r="B103" s="1"/>
      <c r="C103" s="1" t="s">
        <v>3217</v>
      </c>
      <c r="D103" s="1"/>
      <c r="E103" s="1"/>
      <c r="F103" s="1"/>
      <c r="G103" s="38">
        <v>0.0</v>
      </c>
    </row>
    <row r="104" ht="15.75" customHeight="1">
      <c r="A104" s="1"/>
      <c r="B104" s="1"/>
      <c r="C104" s="1" t="s">
        <v>3218</v>
      </c>
      <c r="D104" s="1"/>
      <c r="E104" s="1"/>
      <c r="F104" s="1"/>
      <c r="G104" s="38">
        <v>541700.0</v>
      </c>
    </row>
    <row r="105" ht="15.75" customHeight="1">
      <c r="A105" s="1"/>
      <c r="B105" s="1"/>
      <c r="C105" s="43" t="s">
        <v>115</v>
      </c>
      <c r="D105" s="1"/>
      <c r="E105" s="1"/>
      <c r="F105" s="1"/>
      <c r="G105" s="38">
        <f>G103+G104</f>
        <v>541700</v>
      </c>
    </row>
    <row r="106" ht="15.75" customHeight="1">
      <c r="A106" s="1"/>
      <c r="B106" s="1"/>
      <c r="C106" s="43"/>
      <c r="D106" s="1"/>
      <c r="E106" s="1"/>
      <c r="F106" s="1"/>
      <c r="G106" s="38"/>
    </row>
    <row r="107" ht="15.75" customHeight="1">
      <c r="A107" s="43" t="s">
        <v>3093</v>
      </c>
      <c r="B107" s="43"/>
      <c r="C107" s="43"/>
      <c r="D107" s="1"/>
      <c r="E107" s="1"/>
      <c r="F107" s="1"/>
      <c r="G107" s="1"/>
    </row>
    <row r="108" ht="15.75" customHeight="1">
      <c r="A108" s="43" t="s">
        <v>3219</v>
      </c>
      <c r="B108" s="43"/>
      <c r="C108" s="43"/>
      <c r="D108" s="1"/>
      <c r="E108" s="2"/>
      <c r="F108" s="1"/>
      <c r="G108" s="1"/>
    </row>
    <row r="109" ht="15.75" customHeight="1">
      <c r="A109" s="43" t="s">
        <v>3220</v>
      </c>
      <c r="B109" s="43"/>
      <c r="C109" s="43"/>
      <c r="D109" s="1"/>
      <c r="E109" s="1"/>
      <c r="F109" s="1"/>
      <c r="G109" s="1"/>
    </row>
    <row r="110" ht="15.75" customHeight="1">
      <c r="A110" s="43" t="s">
        <v>3221</v>
      </c>
      <c r="B110" s="33"/>
      <c r="C110" s="1"/>
      <c r="D110" s="1"/>
      <c r="E110" s="1"/>
      <c r="F110" s="1"/>
      <c r="G110" s="2"/>
    </row>
    <row r="111" ht="15.75" customHeight="1">
      <c r="A111" s="43"/>
      <c r="B111" s="33"/>
      <c r="C111" s="1"/>
      <c r="D111" s="1"/>
      <c r="E111" s="1"/>
      <c r="F111" s="1"/>
      <c r="G111" s="2"/>
    </row>
    <row r="112" ht="15.75" customHeight="1">
      <c r="A112" s="3" t="s">
        <v>3222</v>
      </c>
      <c r="B112" s="56"/>
      <c r="C112" s="56"/>
      <c r="D112" s="56"/>
      <c r="F112" s="93"/>
      <c r="G112" s="55"/>
    </row>
    <row r="113" ht="15.75" customHeight="1">
      <c r="A113" s="55" t="s">
        <v>3054</v>
      </c>
      <c r="B113" s="56"/>
      <c r="C113" s="56"/>
      <c r="D113" s="56"/>
      <c r="F113" s="93" t="s">
        <v>3223</v>
      </c>
      <c r="G113" s="55"/>
    </row>
    <row r="114" ht="15.75" customHeight="1">
      <c r="A114" s="55"/>
      <c r="B114" s="56"/>
      <c r="C114" s="56"/>
      <c r="D114" s="56"/>
      <c r="F114" s="93"/>
      <c r="G114" s="55"/>
    </row>
    <row r="115" ht="15.75" customHeight="1">
      <c r="A115" s="55"/>
      <c r="B115" s="56"/>
      <c r="C115" s="56"/>
      <c r="D115" s="56"/>
      <c r="F115" s="93"/>
      <c r="G115" s="55"/>
    </row>
    <row r="116" ht="15.75" customHeight="1">
      <c r="A116" s="55" t="s">
        <v>3055</v>
      </c>
      <c r="B116" s="55"/>
      <c r="C116" s="55"/>
      <c r="D116" s="55"/>
      <c r="F116" s="93" t="s">
        <v>3224</v>
      </c>
      <c r="G116" s="55"/>
    </row>
    <row r="117" ht="15.75" customHeight="1">
      <c r="A117" s="55"/>
      <c r="B117" s="55"/>
      <c r="C117" s="55"/>
      <c r="D117" s="55"/>
      <c r="F117" s="93"/>
      <c r="G117" s="55"/>
    </row>
    <row r="118" ht="15.75" customHeight="1">
      <c r="A118" s="55"/>
      <c r="B118" s="55"/>
      <c r="C118" s="55"/>
      <c r="D118" s="55"/>
      <c r="F118" s="93"/>
      <c r="G118" s="55"/>
    </row>
    <row r="119" ht="15.75" customHeight="1">
      <c r="A119" s="55" t="s">
        <v>3056</v>
      </c>
      <c r="B119" s="55"/>
      <c r="C119" s="55"/>
      <c r="D119" s="55"/>
      <c r="F119" s="93" t="s">
        <v>3225</v>
      </c>
      <c r="G119" s="55"/>
    </row>
    <row r="120" ht="15.75" customHeight="1">
      <c r="A120" s="55"/>
      <c r="B120" s="55"/>
      <c r="C120" s="55"/>
      <c r="D120" s="55"/>
      <c r="F120" s="93"/>
      <c r="G120" s="55"/>
    </row>
    <row r="121" ht="15.75" customHeight="1">
      <c r="A121" s="55"/>
      <c r="B121" s="55"/>
      <c r="C121" s="55"/>
      <c r="D121" s="55"/>
      <c r="F121" s="93"/>
      <c r="G121" s="55"/>
    </row>
    <row r="122" ht="15.75" customHeight="1">
      <c r="A122" s="55" t="s">
        <v>3057</v>
      </c>
      <c r="B122" s="94"/>
      <c r="F122" s="93" t="s">
        <v>3226</v>
      </c>
      <c r="G122" s="77"/>
    </row>
    <row r="123" ht="15.75" customHeight="1">
      <c r="A123" s="55"/>
      <c r="B123" s="94"/>
      <c r="F123" s="93"/>
      <c r="G123" s="77"/>
    </row>
    <row r="124" ht="15.75" customHeight="1">
      <c r="A124" s="55"/>
      <c r="B124" s="94"/>
      <c r="F124" s="93"/>
      <c r="G124" s="77"/>
    </row>
    <row r="125" ht="15.75" customHeight="1">
      <c r="A125" s="94" t="s">
        <v>3227</v>
      </c>
      <c r="F125" s="93" t="s">
        <v>3228</v>
      </c>
    </row>
    <row r="126" ht="15.75" customHeight="1">
      <c r="A126" s="93"/>
      <c r="B126" s="55"/>
      <c r="F126" s="93"/>
      <c r="G126" s="77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A2:E2"/>
    <mergeCell ref="F2:G2"/>
    <mergeCell ref="A9:B9"/>
    <mergeCell ref="B10:F10"/>
    <mergeCell ref="B92:C92"/>
    <mergeCell ref="B102:G102"/>
  </mergeCells>
  <printOptions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5" width="10.71"/>
    <col customWidth="1" min="6" max="6" width="15.14"/>
    <col customWidth="1" min="7" max="7" width="16.57"/>
    <col customWidth="1" min="8" max="26" width="10.71"/>
  </cols>
  <sheetData>
    <row r="1">
      <c r="A1" s="1" t="s">
        <v>721</v>
      </c>
      <c r="B1" s="3" t="s">
        <v>3229</v>
      </c>
      <c r="C1" s="3"/>
      <c r="D1" s="3"/>
      <c r="E1" s="3"/>
      <c r="F1" s="3"/>
      <c r="G1" s="3"/>
    </row>
    <row r="2" ht="12.75" customHeight="1">
      <c r="A2" s="75" t="s">
        <v>3230</v>
      </c>
      <c r="F2" s="87">
        <v>6726652.0</v>
      </c>
      <c r="G2" s="53"/>
    </row>
    <row r="3">
      <c r="A3" s="6" t="s">
        <v>3231</v>
      </c>
      <c r="B3" s="1"/>
      <c r="C3" s="1"/>
      <c r="D3" s="1" t="s">
        <v>3001</v>
      </c>
      <c r="E3" s="50" t="s">
        <v>3002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140500.0</v>
      </c>
      <c r="E4" s="2">
        <v>164000.0</v>
      </c>
      <c r="F4" s="2">
        <v>257500.0</v>
      </c>
      <c r="G4" s="7">
        <v>1920050.0</v>
      </c>
      <c r="H4" s="60">
        <v>188000.0</v>
      </c>
    </row>
    <row r="5">
      <c r="A5" s="1"/>
      <c r="B5" s="4" t="s">
        <v>64</v>
      </c>
      <c r="C5" s="1"/>
      <c r="D5" s="2">
        <v>222000.0</v>
      </c>
      <c r="E5" s="2">
        <v>149000.0</v>
      </c>
      <c r="F5" s="2">
        <v>287500.0</v>
      </c>
      <c r="G5" s="7">
        <v>1763100.0</v>
      </c>
      <c r="H5" s="2">
        <v>143000.0</v>
      </c>
    </row>
    <row r="6">
      <c r="A6" s="1"/>
      <c r="B6" s="4" t="s">
        <v>65</v>
      </c>
      <c r="C6" s="1"/>
      <c r="D6" s="2">
        <v>137500.0</v>
      </c>
      <c r="E6" s="2">
        <v>137000.0</v>
      </c>
      <c r="F6" s="2">
        <v>167500.0</v>
      </c>
      <c r="G6" s="7">
        <v>1358300.0</v>
      </c>
      <c r="H6" s="2">
        <v>181000.0</v>
      </c>
    </row>
    <row r="7">
      <c r="A7" s="1"/>
      <c r="B7" s="4" t="s">
        <v>66</v>
      </c>
      <c r="C7" s="1"/>
      <c r="D7" s="2">
        <v>181000.0</v>
      </c>
      <c r="E7" s="2">
        <v>144000.0</v>
      </c>
      <c r="F7" s="2">
        <v>262500.0</v>
      </c>
      <c r="G7" s="76">
        <v>2734650.0</v>
      </c>
      <c r="H7" s="2">
        <v>208000.0</v>
      </c>
    </row>
    <row r="8">
      <c r="A8" s="50" t="s">
        <v>405</v>
      </c>
      <c r="D8" s="60">
        <f t="shared" ref="D8:H8" si="1">SUM(D4:D7)</f>
        <v>681000</v>
      </c>
      <c r="E8" s="79">
        <f t="shared" si="1"/>
        <v>594000</v>
      </c>
      <c r="F8" s="2">
        <f t="shared" si="1"/>
        <v>975000</v>
      </c>
      <c r="G8" s="7">
        <f t="shared" si="1"/>
        <v>7776100</v>
      </c>
      <c r="H8" s="7">
        <f t="shared" si="1"/>
        <v>720000</v>
      </c>
    </row>
    <row r="9">
      <c r="A9" s="1"/>
      <c r="B9" s="51" t="s">
        <v>9</v>
      </c>
      <c r="C9" s="52"/>
      <c r="D9" s="52"/>
      <c r="E9" s="52"/>
      <c r="F9" s="53"/>
      <c r="G9" s="68">
        <f>SUM(D8:H8)</f>
        <v>10746100</v>
      </c>
    </row>
    <row r="10">
      <c r="A10" s="6" t="s">
        <v>3232</v>
      </c>
      <c r="B10" s="1"/>
      <c r="C10" s="1"/>
      <c r="D10" s="1"/>
      <c r="E10" s="1"/>
      <c r="F10" s="1"/>
      <c r="G10" s="2" t="s">
        <v>480</v>
      </c>
    </row>
    <row r="11">
      <c r="A11" s="1"/>
      <c r="B11" s="12" t="s">
        <v>11</v>
      </c>
      <c r="C11" s="1"/>
      <c r="D11" s="1"/>
      <c r="E11" s="1"/>
      <c r="F11" s="1"/>
      <c r="G11" s="2"/>
    </row>
    <row r="12">
      <c r="A12" s="1"/>
      <c r="B12" s="4" t="s">
        <v>3233</v>
      </c>
      <c r="C12" s="1"/>
      <c r="D12" s="1"/>
      <c r="E12" s="1"/>
      <c r="F12" s="1"/>
      <c r="G12" s="77">
        <v>130000.0</v>
      </c>
    </row>
    <row r="13">
      <c r="A13" s="1"/>
      <c r="B13" s="4" t="s">
        <v>3234</v>
      </c>
      <c r="C13" s="1"/>
      <c r="D13" s="1"/>
      <c r="E13" s="1"/>
      <c r="F13" s="1"/>
      <c r="G13" s="77">
        <v>200000.0</v>
      </c>
    </row>
    <row r="14">
      <c r="A14" s="1"/>
      <c r="B14" s="4" t="s">
        <v>3235</v>
      </c>
      <c r="C14" s="1"/>
      <c r="D14" s="1"/>
      <c r="E14" s="1"/>
      <c r="F14" s="1"/>
      <c r="G14" s="77">
        <v>100000.0</v>
      </c>
    </row>
    <row r="15">
      <c r="A15" s="1"/>
      <c r="B15" s="4" t="s">
        <v>3150</v>
      </c>
      <c r="C15" s="1"/>
      <c r="D15" s="1"/>
      <c r="E15" s="1"/>
      <c r="F15" s="1"/>
      <c r="G15" s="77">
        <v>80000.0</v>
      </c>
    </row>
    <row r="16">
      <c r="A16" s="1"/>
      <c r="B16" s="4" t="s">
        <v>3236</v>
      </c>
      <c r="C16" s="1"/>
      <c r="D16" s="1"/>
      <c r="E16" s="1"/>
      <c r="F16" s="1"/>
      <c r="G16" s="77">
        <v>100000.0</v>
      </c>
    </row>
    <row r="17">
      <c r="A17" s="1"/>
      <c r="B17" s="4" t="s">
        <v>3237</v>
      </c>
      <c r="C17" s="1"/>
      <c r="D17" s="1"/>
      <c r="E17" s="1"/>
      <c r="F17" s="1"/>
      <c r="G17" s="77">
        <v>100000.0</v>
      </c>
    </row>
    <row r="18">
      <c r="A18" s="1"/>
      <c r="B18" s="4" t="s">
        <v>3238</v>
      </c>
      <c r="C18" s="1"/>
      <c r="D18" s="1"/>
      <c r="E18" s="1"/>
      <c r="F18" s="1"/>
      <c r="G18" s="77">
        <v>150000.0</v>
      </c>
    </row>
    <row r="19">
      <c r="A19" s="1"/>
      <c r="B19" s="4" t="s">
        <v>3239</v>
      </c>
      <c r="C19" s="15"/>
      <c r="D19" s="1"/>
      <c r="E19" s="1"/>
      <c r="F19" s="1"/>
      <c r="G19" s="2">
        <v>100000.0</v>
      </c>
    </row>
    <row r="20">
      <c r="A20" s="1"/>
      <c r="B20" s="9" t="s">
        <v>18</v>
      </c>
      <c r="C20" s="10"/>
      <c r="D20" s="10"/>
      <c r="E20" s="10"/>
      <c r="F20" s="10"/>
      <c r="G20" s="69">
        <f>SUM(G12:G19)</f>
        <v>960000</v>
      </c>
    </row>
    <row r="21" ht="15.75" customHeight="1">
      <c r="A21" s="1"/>
      <c r="B21" s="12" t="s">
        <v>19</v>
      </c>
      <c r="C21" s="15"/>
      <c r="D21" s="1"/>
      <c r="E21" s="1"/>
      <c r="F21" s="1"/>
    </row>
    <row r="22" ht="15.75" customHeight="1">
      <c r="A22" s="1"/>
      <c r="B22" s="4" t="s">
        <v>3240</v>
      </c>
      <c r="C22" s="15"/>
      <c r="D22" s="1"/>
      <c r="E22" s="1"/>
      <c r="F22" s="1"/>
      <c r="G22" s="2">
        <v>45000.0</v>
      </c>
    </row>
    <row r="23" ht="15.75" customHeight="1">
      <c r="A23" s="1"/>
      <c r="B23" s="4" t="s">
        <v>3241</v>
      </c>
      <c r="C23" s="15"/>
      <c r="D23" s="1"/>
      <c r="E23" s="1"/>
      <c r="F23" s="1"/>
      <c r="G23" s="2">
        <v>50000.0</v>
      </c>
    </row>
    <row r="24" ht="15.75" customHeight="1">
      <c r="A24" s="1"/>
      <c r="B24" s="4" t="s">
        <v>3242</v>
      </c>
      <c r="C24" s="15"/>
      <c r="D24" s="1"/>
      <c r="E24" s="1"/>
      <c r="F24" s="1"/>
      <c r="G24" s="2">
        <v>24000.0</v>
      </c>
    </row>
    <row r="25" ht="15.75" customHeight="1">
      <c r="A25" s="1"/>
      <c r="B25" s="4" t="s">
        <v>3243</v>
      </c>
      <c r="C25" s="15"/>
      <c r="D25" s="1"/>
      <c r="E25" s="1"/>
      <c r="F25" s="1"/>
      <c r="G25" s="2">
        <v>15000.0</v>
      </c>
    </row>
    <row r="26" ht="15.75" customHeight="1">
      <c r="A26" s="1"/>
      <c r="B26" s="4" t="s">
        <v>3244</v>
      </c>
      <c r="C26" s="15"/>
      <c r="D26" s="1"/>
      <c r="E26" s="1"/>
      <c r="F26" s="1"/>
      <c r="G26" s="2">
        <v>385000.0</v>
      </c>
    </row>
    <row r="27" ht="15.75" customHeight="1">
      <c r="A27" s="1"/>
      <c r="B27" s="4" t="s">
        <v>3245</v>
      </c>
      <c r="C27" s="15"/>
      <c r="D27" s="1"/>
      <c r="E27" s="1"/>
      <c r="F27" s="1"/>
      <c r="G27" s="2">
        <v>60000.0</v>
      </c>
    </row>
    <row r="28" ht="15.75" customHeight="1">
      <c r="A28" s="1"/>
      <c r="B28" s="4" t="s">
        <v>3246</v>
      </c>
      <c r="C28" s="15"/>
      <c r="D28" s="1"/>
      <c r="E28" s="1"/>
      <c r="F28" s="1"/>
      <c r="G28" s="2">
        <v>12000.0</v>
      </c>
    </row>
    <row r="29" ht="15.75" customHeight="1">
      <c r="A29" s="1"/>
      <c r="B29" s="4" t="s">
        <v>3247</v>
      </c>
      <c r="C29" s="15"/>
      <c r="D29" s="1"/>
      <c r="E29" s="1"/>
      <c r="F29" s="1"/>
      <c r="G29" s="2">
        <v>35900.0</v>
      </c>
    </row>
    <row r="30" ht="15.75" customHeight="1">
      <c r="A30" s="1"/>
      <c r="B30" s="4" t="s">
        <v>3248</v>
      </c>
      <c r="C30" s="15"/>
      <c r="D30" s="1"/>
      <c r="E30" s="1"/>
      <c r="F30" s="1"/>
      <c r="G30" s="2">
        <v>2200.0</v>
      </c>
    </row>
    <row r="31" ht="15.75" customHeight="1">
      <c r="A31" s="1"/>
      <c r="B31" s="4" t="s">
        <v>3249</v>
      </c>
      <c r="C31" s="15"/>
      <c r="D31" s="1"/>
      <c r="E31" s="1"/>
      <c r="F31" s="1"/>
      <c r="G31" s="2">
        <v>30000.0</v>
      </c>
    </row>
    <row r="32" ht="15.75" customHeight="1">
      <c r="A32" s="1"/>
      <c r="B32" s="4" t="s">
        <v>3250</v>
      </c>
      <c r="C32" s="15"/>
      <c r="D32" s="1"/>
      <c r="E32" s="1"/>
      <c r="F32" s="1"/>
      <c r="G32" s="2">
        <v>60000.0</v>
      </c>
    </row>
    <row r="33" ht="15.75" customHeight="1">
      <c r="A33" s="1"/>
      <c r="B33" s="4" t="s">
        <v>3196</v>
      </c>
      <c r="C33" s="15"/>
      <c r="D33" s="1"/>
      <c r="E33" s="1"/>
      <c r="F33" s="1"/>
      <c r="G33" s="2">
        <v>34000.0</v>
      </c>
    </row>
    <row r="34" ht="15.75" customHeight="1">
      <c r="A34" s="1"/>
      <c r="B34" s="4" t="s">
        <v>3251</v>
      </c>
      <c r="C34" s="15"/>
      <c r="D34" s="1"/>
      <c r="E34" s="1"/>
      <c r="F34" s="1"/>
      <c r="G34" s="2">
        <v>17000.0</v>
      </c>
    </row>
    <row r="35" ht="15.75" customHeight="1">
      <c r="A35" s="1"/>
      <c r="B35" s="4" t="s">
        <v>3252</v>
      </c>
      <c r="C35" s="15"/>
      <c r="D35" s="1"/>
      <c r="E35" s="1"/>
      <c r="F35" s="1"/>
      <c r="G35" s="2">
        <v>1557.0</v>
      </c>
    </row>
    <row r="36" ht="15.75" customHeight="1">
      <c r="A36" s="1"/>
      <c r="B36" s="4" t="s">
        <v>3253</v>
      </c>
      <c r="C36" s="15"/>
      <c r="D36" s="1"/>
      <c r="E36" s="1"/>
      <c r="F36" s="1"/>
      <c r="G36" s="2">
        <v>37500.0</v>
      </c>
    </row>
    <row r="37" ht="15.75" customHeight="1">
      <c r="A37" s="1"/>
      <c r="B37" s="4" t="s">
        <v>3254</v>
      </c>
      <c r="C37" s="15"/>
      <c r="D37" s="1"/>
      <c r="E37" s="1"/>
      <c r="F37" s="1"/>
      <c r="G37" s="2">
        <v>15000.0</v>
      </c>
    </row>
    <row r="38" ht="15.75" customHeight="1">
      <c r="A38" s="1"/>
      <c r="B38" s="4" t="s">
        <v>3255</v>
      </c>
      <c r="C38" s="15"/>
      <c r="D38" s="1"/>
      <c r="E38" s="1"/>
      <c r="F38" s="1"/>
      <c r="G38" s="2">
        <v>7500.0</v>
      </c>
    </row>
    <row r="39" ht="15.75" customHeight="1">
      <c r="A39" s="1"/>
      <c r="B39" s="4" t="s">
        <v>3256</v>
      </c>
      <c r="C39" s="15"/>
      <c r="D39" s="1"/>
      <c r="E39" s="1"/>
      <c r="F39" s="1"/>
      <c r="G39" s="2">
        <v>33000.0</v>
      </c>
    </row>
    <row r="40" ht="15.75" customHeight="1">
      <c r="A40" s="1"/>
      <c r="B40" s="4" t="s">
        <v>3257</v>
      </c>
      <c r="C40" s="15"/>
      <c r="D40" s="1"/>
      <c r="E40" s="1"/>
      <c r="F40" s="1"/>
      <c r="G40" s="2">
        <v>12000.0</v>
      </c>
    </row>
    <row r="41" ht="15.75" customHeight="1">
      <c r="A41" s="1"/>
      <c r="B41" s="4" t="s">
        <v>3258</v>
      </c>
      <c r="C41" s="15"/>
      <c r="D41" s="1"/>
      <c r="E41" s="1"/>
      <c r="F41" s="1"/>
      <c r="G41" s="2">
        <v>15000.0</v>
      </c>
    </row>
    <row r="42" ht="15.75" customHeight="1">
      <c r="A42" s="1"/>
      <c r="B42" s="4" t="s">
        <v>3163</v>
      </c>
      <c r="C42" s="15"/>
      <c r="D42" s="1"/>
      <c r="E42" s="1"/>
      <c r="F42" s="1"/>
      <c r="G42" s="2">
        <v>6500.0</v>
      </c>
    </row>
    <row r="43" ht="15.75" customHeight="1">
      <c r="A43" s="1"/>
      <c r="B43" s="4" t="s">
        <v>3259</v>
      </c>
      <c r="C43" s="15"/>
      <c r="D43" s="1"/>
      <c r="E43" s="1"/>
      <c r="F43" s="1"/>
      <c r="G43" s="2">
        <v>800.0</v>
      </c>
    </row>
    <row r="44" ht="15.75" customHeight="1">
      <c r="A44" s="1"/>
      <c r="B44" s="4" t="s">
        <v>3260</v>
      </c>
      <c r="C44" s="15"/>
      <c r="D44" s="1"/>
      <c r="E44" s="1"/>
      <c r="F44" s="1"/>
      <c r="G44" s="2">
        <v>6000.0</v>
      </c>
    </row>
    <row r="45" ht="15.75" customHeight="1">
      <c r="A45" s="1"/>
      <c r="B45" s="4" t="s">
        <v>3261</v>
      </c>
      <c r="C45" s="15"/>
      <c r="D45" s="1"/>
      <c r="E45" s="1"/>
      <c r="F45" s="1"/>
      <c r="G45" s="2">
        <v>3200.0</v>
      </c>
    </row>
    <row r="46" ht="15.75" customHeight="1">
      <c r="A46" s="1"/>
      <c r="B46" s="4" t="s">
        <v>3262</v>
      </c>
      <c r="C46" s="15"/>
      <c r="D46" s="1"/>
      <c r="E46" s="1"/>
      <c r="F46" s="1"/>
      <c r="G46" s="2">
        <v>500.0</v>
      </c>
    </row>
    <row r="47" ht="15.75" customHeight="1">
      <c r="A47" s="1"/>
      <c r="B47" s="4" t="s">
        <v>3263</v>
      </c>
      <c r="C47" s="15"/>
      <c r="D47" s="1"/>
      <c r="E47" s="1"/>
      <c r="F47" s="1"/>
      <c r="G47" s="2">
        <v>900.0</v>
      </c>
    </row>
    <row r="48" ht="15.75" customHeight="1">
      <c r="A48" s="1"/>
      <c r="B48" s="4" t="s">
        <v>3264</v>
      </c>
      <c r="C48" s="15"/>
      <c r="D48" s="1"/>
      <c r="E48" s="1"/>
      <c r="F48" s="1"/>
      <c r="G48" s="2">
        <v>7200.0</v>
      </c>
    </row>
    <row r="49" ht="15.75" customHeight="1">
      <c r="A49" s="1"/>
      <c r="B49" s="4" t="s">
        <v>3265</v>
      </c>
      <c r="C49" s="15"/>
      <c r="D49" s="1"/>
      <c r="E49" s="1"/>
      <c r="F49" s="1"/>
      <c r="G49" s="2">
        <v>25000.0</v>
      </c>
    </row>
    <row r="50" ht="15.75" customHeight="1">
      <c r="A50" s="1"/>
      <c r="B50" s="4" t="s">
        <v>3266</v>
      </c>
      <c r="C50" s="15"/>
      <c r="D50" s="1"/>
      <c r="E50" s="1"/>
      <c r="F50" s="1"/>
      <c r="G50" s="2">
        <v>5000.0</v>
      </c>
    </row>
    <row r="51" ht="15.75" customHeight="1">
      <c r="A51" s="1"/>
      <c r="B51" s="4" t="s">
        <v>3242</v>
      </c>
      <c r="C51" s="15"/>
      <c r="D51" s="1"/>
      <c r="E51" s="1"/>
      <c r="F51" s="1"/>
      <c r="G51" s="2">
        <v>16000.0</v>
      </c>
    </row>
    <row r="52" ht="15.75" customHeight="1">
      <c r="A52" s="1"/>
      <c r="B52" s="4" t="s">
        <v>3198</v>
      </c>
      <c r="C52" s="15"/>
      <c r="D52" s="1"/>
      <c r="E52" s="1"/>
      <c r="F52" s="1"/>
      <c r="G52" s="2">
        <v>28000.0</v>
      </c>
    </row>
    <row r="53" ht="15.75" customHeight="1">
      <c r="A53" s="1"/>
      <c r="B53" s="4" t="s">
        <v>3196</v>
      </c>
      <c r="C53" s="15"/>
      <c r="D53" s="1"/>
      <c r="E53" s="1"/>
      <c r="F53" s="1"/>
      <c r="G53" s="2">
        <v>34000.0</v>
      </c>
    </row>
    <row r="54" ht="15.75" customHeight="1">
      <c r="A54" s="1"/>
      <c r="B54" s="4" t="s">
        <v>3267</v>
      </c>
      <c r="C54" s="15"/>
      <c r="D54" s="1"/>
      <c r="E54" s="1"/>
      <c r="F54" s="1"/>
      <c r="G54" s="2">
        <v>28000.0</v>
      </c>
    </row>
    <row r="55" ht="15.75" customHeight="1">
      <c r="A55" s="1"/>
      <c r="B55" s="4" t="s">
        <v>3268</v>
      </c>
      <c r="C55" s="15"/>
      <c r="D55" s="1"/>
      <c r="E55" s="1"/>
      <c r="F55" s="1"/>
      <c r="G55" s="2">
        <v>13000.0</v>
      </c>
    </row>
    <row r="56" ht="15.75" customHeight="1">
      <c r="A56" s="1"/>
      <c r="B56" s="4" t="s">
        <v>3269</v>
      </c>
      <c r="C56" s="15"/>
      <c r="D56" s="1"/>
      <c r="E56" s="1"/>
      <c r="F56" s="1"/>
      <c r="G56" s="2">
        <v>90000.0</v>
      </c>
    </row>
    <row r="57" ht="15.75" customHeight="1">
      <c r="A57" s="1"/>
      <c r="B57" s="4" t="s">
        <v>3270</v>
      </c>
      <c r="C57" s="15"/>
      <c r="D57" s="1"/>
      <c r="E57" s="1"/>
      <c r="F57" s="1"/>
      <c r="G57" s="2">
        <v>84125.0</v>
      </c>
    </row>
    <row r="58" ht="15.75" customHeight="1">
      <c r="A58" s="1"/>
      <c r="B58" s="4" t="s">
        <v>3271</v>
      </c>
      <c r="C58" s="15"/>
      <c r="D58" s="1"/>
      <c r="E58" s="1"/>
      <c r="F58" s="1"/>
      <c r="G58" s="2">
        <v>82600.0</v>
      </c>
    </row>
    <row r="59" ht="15.75" customHeight="1">
      <c r="A59" s="1"/>
      <c r="B59" s="4" t="s">
        <v>3272</v>
      </c>
      <c r="C59" s="15"/>
      <c r="D59" s="1"/>
      <c r="E59" s="1"/>
      <c r="F59" s="1"/>
      <c r="G59" s="2">
        <v>3500.0</v>
      </c>
    </row>
    <row r="60" ht="15.75" customHeight="1">
      <c r="A60" s="1"/>
      <c r="B60" s="4" t="s">
        <v>3273</v>
      </c>
      <c r="C60" s="15"/>
      <c r="D60" s="1"/>
      <c r="E60" s="1"/>
      <c r="F60" s="1"/>
      <c r="G60" s="2">
        <v>9000.0</v>
      </c>
    </row>
    <row r="61" ht="15.75" customHeight="1">
      <c r="A61" s="1"/>
      <c r="B61" s="4" t="s">
        <v>3274</v>
      </c>
      <c r="C61" s="15"/>
      <c r="D61" s="1"/>
      <c r="E61" s="1"/>
      <c r="F61" s="1"/>
      <c r="G61" s="2">
        <v>4000.0</v>
      </c>
    </row>
    <row r="62" ht="15.75" customHeight="1">
      <c r="A62" s="1"/>
      <c r="B62" s="4" t="s">
        <v>3275</v>
      </c>
      <c r="C62" s="15"/>
      <c r="D62" s="1"/>
      <c r="E62" s="1"/>
      <c r="F62" s="1"/>
      <c r="G62" s="2">
        <v>3000.0</v>
      </c>
    </row>
    <row r="63" ht="15.75" customHeight="1">
      <c r="A63" s="1"/>
      <c r="B63" s="4" t="s">
        <v>3276</v>
      </c>
      <c r="C63" s="15"/>
      <c r="D63" s="1"/>
      <c r="E63" s="1"/>
      <c r="F63" s="1"/>
      <c r="G63" s="2">
        <v>11200.0</v>
      </c>
    </row>
    <row r="64" ht="15.75" customHeight="1">
      <c r="A64" s="1"/>
      <c r="B64" s="4" t="s">
        <v>3196</v>
      </c>
      <c r="C64" s="15"/>
      <c r="D64" s="1"/>
      <c r="E64" s="1"/>
      <c r="F64" s="1"/>
      <c r="G64" s="2">
        <v>34000.0</v>
      </c>
    </row>
    <row r="65" ht="15.75" customHeight="1">
      <c r="A65" s="1"/>
      <c r="B65" s="4" t="s">
        <v>3277</v>
      </c>
      <c r="C65" s="15"/>
      <c r="D65" s="1"/>
      <c r="E65" s="1"/>
      <c r="F65" s="1"/>
      <c r="G65" s="2">
        <v>17500.0</v>
      </c>
      <c r="J65" s="67" t="s">
        <v>480</v>
      </c>
    </row>
    <row r="66" ht="15.75" customHeight="1">
      <c r="A66" s="1"/>
      <c r="B66" s="4" t="s">
        <v>3278</v>
      </c>
      <c r="C66" s="15"/>
      <c r="D66" s="1"/>
      <c r="E66" s="1"/>
      <c r="F66" s="1"/>
      <c r="G66" s="2">
        <v>3000.0</v>
      </c>
    </row>
    <row r="67" ht="15.75" customHeight="1">
      <c r="A67" s="1"/>
      <c r="B67" s="4" t="s">
        <v>3279</v>
      </c>
      <c r="C67" s="15"/>
      <c r="D67" s="1"/>
      <c r="E67" s="1"/>
      <c r="F67" s="1"/>
      <c r="G67" s="2">
        <v>12700.0</v>
      </c>
    </row>
    <row r="68" ht="15.75" customHeight="1">
      <c r="A68" s="1"/>
      <c r="B68" s="4" t="s">
        <v>3196</v>
      </c>
      <c r="C68" s="15"/>
      <c r="D68" s="1"/>
      <c r="E68" s="1"/>
      <c r="F68" s="1"/>
      <c r="G68" s="2">
        <v>34000.0</v>
      </c>
    </row>
    <row r="69" ht="15.75" customHeight="1">
      <c r="A69" s="1"/>
      <c r="B69" s="4" t="s">
        <v>3280</v>
      </c>
      <c r="C69" s="15"/>
      <c r="D69" s="1"/>
      <c r="E69" s="1"/>
      <c r="F69" s="1"/>
      <c r="G69" s="2">
        <v>7200.0</v>
      </c>
    </row>
    <row r="70" ht="15.75" customHeight="1">
      <c r="A70" s="1"/>
      <c r="B70" s="4" t="s">
        <v>3281</v>
      </c>
      <c r="C70" s="15"/>
      <c r="D70" s="1"/>
      <c r="E70" s="1"/>
      <c r="F70" s="1"/>
      <c r="G70" s="2">
        <v>17500.0</v>
      </c>
    </row>
    <row r="71" ht="15.75" customHeight="1">
      <c r="A71" s="1"/>
      <c r="B71" s="4" t="s">
        <v>3276</v>
      </c>
      <c r="C71" s="15"/>
      <c r="D71" s="1"/>
      <c r="E71" s="1"/>
      <c r="F71" s="1"/>
      <c r="G71" s="2">
        <v>10500.0</v>
      </c>
    </row>
    <row r="72" ht="15.75" customHeight="1">
      <c r="A72" s="1"/>
      <c r="B72" s="4" t="s">
        <v>3282</v>
      </c>
      <c r="C72" s="15"/>
      <c r="D72" s="1"/>
      <c r="E72" s="1"/>
      <c r="F72" s="1"/>
      <c r="G72" s="2">
        <v>437500.0</v>
      </c>
    </row>
    <row r="73" ht="15.75" customHeight="1">
      <c r="A73" s="1"/>
      <c r="B73" s="4" t="s">
        <v>3283</v>
      </c>
      <c r="C73" s="15"/>
      <c r="D73" s="1"/>
      <c r="E73" s="1"/>
      <c r="F73" s="1"/>
      <c r="G73" s="2">
        <v>300000.0</v>
      </c>
    </row>
    <row r="74" ht="15.75" customHeight="1">
      <c r="A74" s="1"/>
      <c r="B74" s="4" t="s">
        <v>3284</v>
      </c>
      <c r="C74" s="15"/>
      <c r="D74" s="1"/>
      <c r="E74" s="1"/>
      <c r="F74" s="1"/>
      <c r="G74" s="2">
        <v>150000.0</v>
      </c>
    </row>
    <row r="75" ht="15.75" customHeight="1">
      <c r="A75" s="1"/>
      <c r="B75" s="4" t="s">
        <v>3285</v>
      </c>
      <c r="C75" s="15"/>
      <c r="D75" s="1"/>
      <c r="E75" s="1"/>
      <c r="F75" s="1"/>
      <c r="G75" s="2">
        <v>100000.0</v>
      </c>
    </row>
    <row r="76" ht="15.75" customHeight="1">
      <c r="A76" s="1"/>
      <c r="B76" s="4" t="s">
        <v>3286</v>
      </c>
      <c r="C76" s="15"/>
      <c r="D76" s="1"/>
      <c r="E76" s="1"/>
      <c r="F76" s="1"/>
      <c r="G76" s="2">
        <v>354880.0</v>
      </c>
    </row>
    <row r="77" ht="15.75" customHeight="1">
      <c r="A77" s="1"/>
      <c r="B77" s="4" t="s">
        <v>3287</v>
      </c>
      <c r="C77" s="15"/>
      <c r="D77" s="1"/>
      <c r="E77" s="1"/>
      <c r="F77" s="1"/>
      <c r="G77" s="2">
        <v>6000.0</v>
      </c>
    </row>
    <row r="78" ht="15.75" customHeight="1">
      <c r="A78" s="1"/>
      <c r="B78" s="4" t="s">
        <v>3288</v>
      </c>
      <c r="C78" s="15"/>
      <c r="D78" s="1"/>
      <c r="E78" s="1"/>
      <c r="F78" s="1"/>
      <c r="G78" s="2">
        <v>3000.0</v>
      </c>
    </row>
    <row r="79" ht="15.75" customHeight="1">
      <c r="A79" s="1"/>
      <c r="B79" s="4" t="s">
        <v>3289</v>
      </c>
      <c r="C79" s="15"/>
      <c r="D79" s="1"/>
      <c r="E79" s="1"/>
      <c r="F79" s="1"/>
      <c r="G79" s="2">
        <v>100000.0</v>
      </c>
    </row>
    <row r="80" ht="15.75" customHeight="1">
      <c r="A80" s="1"/>
      <c r="B80" s="4" t="s">
        <v>3207</v>
      </c>
      <c r="C80" s="15"/>
      <c r="D80" s="1"/>
      <c r="E80" s="1"/>
      <c r="F80" s="1"/>
      <c r="G80" s="2">
        <v>2100.0</v>
      </c>
    </row>
    <row r="81" ht="15.75" customHeight="1">
      <c r="A81" s="1"/>
      <c r="B81" s="4" t="s">
        <v>3290</v>
      </c>
      <c r="C81" s="15"/>
      <c r="D81" s="1"/>
      <c r="E81" s="1"/>
      <c r="F81" s="1"/>
      <c r="G81" s="2">
        <v>2200.0</v>
      </c>
    </row>
    <row r="82" ht="15.75" customHeight="1">
      <c r="A82" s="1"/>
      <c r="B82" s="4" t="s">
        <v>3291</v>
      </c>
      <c r="C82" s="15"/>
      <c r="D82" s="1"/>
      <c r="E82" s="1"/>
      <c r="F82" s="1"/>
      <c r="G82" s="2">
        <v>69500.0</v>
      </c>
    </row>
    <row r="83" ht="15.75" customHeight="1">
      <c r="A83" s="1"/>
      <c r="B83" s="4" t="s">
        <v>3292</v>
      </c>
      <c r="C83" s="15"/>
      <c r="D83" s="1"/>
      <c r="E83" s="1"/>
      <c r="F83" s="1"/>
      <c r="G83" s="2">
        <v>425000.0</v>
      </c>
    </row>
    <row r="84" ht="15.75" customHeight="1">
      <c r="A84" s="1"/>
      <c r="B84" s="4" t="s">
        <v>3293</v>
      </c>
      <c r="C84" s="15"/>
      <c r="D84" s="1"/>
      <c r="E84" s="1"/>
      <c r="F84" s="1"/>
      <c r="G84" s="2">
        <v>67950.0</v>
      </c>
    </row>
    <row r="85" ht="15.75" customHeight="1">
      <c r="A85" s="1"/>
      <c r="B85" s="4" t="s">
        <v>3294</v>
      </c>
      <c r="C85" s="15"/>
      <c r="D85" s="1"/>
      <c r="E85" s="1"/>
      <c r="F85" s="1"/>
      <c r="G85" s="2">
        <v>65250.0</v>
      </c>
    </row>
    <row r="86" ht="15.75" customHeight="1">
      <c r="A86" s="1"/>
      <c r="B86" s="4" t="s">
        <v>3295</v>
      </c>
      <c r="C86" s="15"/>
      <c r="D86" s="1"/>
      <c r="E86" s="1"/>
      <c r="F86" s="1"/>
      <c r="G86" s="2">
        <v>65250.0</v>
      </c>
    </row>
    <row r="87" ht="15.75" customHeight="1">
      <c r="A87" s="1"/>
      <c r="B87" s="4" t="s">
        <v>3296</v>
      </c>
      <c r="C87" s="15"/>
      <c r="D87" s="1"/>
      <c r="E87" s="1"/>
      <c r="F87" s="1"/>
      <c r="G87" s="2">
        <v>83114.0</v>
      </c>
    </row>
    <row r="88" ht="15.75" customHeight="1">
      <c r="A88" s="1"/>
      <c r="B88" s="4" t="s">
        <v>3297</v>
      </c>
      <c r="C88" s="15"/>
      <c r="D88" s="1"/>
      <c r="E88" s="1"/>
      <c r="F88" s="1"/>
      <c r="G88" s="2">
        <v>500.0</v>
      </c>
    </row>
    <row r="89" ht="15.75" customHeight="1">
      <c r="A89" s="1"/>
      <c r="B89" s="4" t="s">
        <v>3298</v>
      </c>
      <c r="C89" s="15"/>
      <c r="D89" s="1"/>
      <c r="E89" s="1"/>
      <c r="F89" s="1"/>
      <c r="G89" s="2">
        <v>1000.0</v>
      </c>
    </row>
    <row r="90" ht="15.75" customHeight="1">
      <c r="A90" s="1"/>
      <c r="B90" s="4" t="s">
        <v>3299</v>
      </c>
      <c r="C90" s="15"/>
      <c r="D90" s="1"/>
      <c r="E90" s="1"/>
      <c r="F90" s="1"/>
      <c r="G90" s="2">
        <v>60000.0</v>
      </c>
    </row>
    <row r="91" ht="15.75" customHeight="1">
      <c r="A91" s="1"/>
      <c r="B91" s="4" t="s">
        <v>3300</v>
      </c>
      <c r="C91" s="15"/>
      <c r="D91" s="1"/>
      <c r="E91" s="1"/>
      <c r="F91" s="1"/>
      <c r="G91" s="2">
        <v>51200.0</v>
      </c>
    </row>
    <row r="92" ht="15.75" customHeight="1">
      <c r="A92" s="1"/>
      <c r="B92" s="43" t="s">
        <v>43</v>
      </c>
      <c r="C92" s="1"/>
      <c r="D92" s="1"/>
      <c r="E92" s="1"/>
      <c r="F92" s="1"/>
      <c r="G92" s="18">
        <f>SUM(G22:G91)</f>
        <v>3834026</v>
      </c>
    </row>
    <row r="93" ht="15.75" customHeight="1">
      <c r="A93" s="1"/>
      <c r="B93" s="19" t="s">
        <v>45</v>
      </c>
      <c r="C93" s="20"/>
      <c r="D93" s="20"/>
      <c r="E93" s="20"/>
      <c r="F93" s="20"/>
      <c r="G93" s="70">
        <f>G20+G92</f>
        <v>4794026</v>
      </c>
    </row>
    <row r="94" ht="15.75" customHeight="1">
      <c r="A94" s="1"/>
      <c r="B94" s="36" t="s">
        <v>3301</v>
      </c>
      <c r="C94" s="37"/>
      <c r="D94" s="82"/>
      <c r="E94" s="37"/>
      <c r="F94" s="37"/>
      <c r="G94" s="71">
        <f> G9-G93</f>
        <v>5952074</v>
      </c>
    </row>
    <row r="95" ht="15.75" customHeight="1">
      <c r="A95" s="22" t="s">
        <v>3130</v>
      </c>
      <c r="B95" s="43" t="s">
        <v>255</v>
      </c>
      <c r="C95" s="1"/>
      <c r="D95" s="1"/>
      <c r="E95" s="1"/>
      <c r="F95" s="1"/>
      <c r="G95" s="2"/>
    </row>
    <row r="96" ht="15.75" customHeight="1">
      <c r="A96" s="22" t="s">
        <v>254</v>
      </c>
      <c r="B96" s="43" t="s">
        <v>3302</v>
      </c>
      <c r="C96" s="1"/>
      <c r="D96" s="1"/>
      <c r="E96" s="1"/>
      <c r="F96" s="1"/>
      <c r="G96" s="2">
        <v>500000.0</v>
      </c>
    </row>
    <row r="97" ht="15.75" customHeight="1">
      <c r="A97" s="22"/>
      <c r="B97" s="43" t="s">
        <v>3303</v>
      </c>
      <c r="C97" s="1"/>
      <c r="D97" s="1"/>
      <c r="E97" s="1"/>
      <c r="F97" s="1"/>
      <c r="G97" s="2">
        <v>475000.0</v>
      </c>
    </row>
    <row r="98" ht="15.75" customHeight="1">
      <c r="A98" s="22"/>
      <c r="B98" s="43" t="s">
        <v>3304</v>
      </c>
      <c r="C98" s="1"/>
      <c r="D98" s="1"/>
      <c r="E98" s="1"/>
      <c r="F98" s="1"/>
      <c r="G98" s="2">
        <v>6650000.0</v>
      </c>
    </row>
    <row r="99" ht="15.75" customHeight="1">
      <c r="A99" s="22"/>
      <c r="B99" s="72" t="s">
        <v>51</v>
      </c>
      <c r="C99" s="27"/>
      <c r="D99" s="27"/>
      <c r="E99" s="27"/>
      <c r="F99" s="27"/>
      <c r="G99" s="81">
        <f>SUM(G96:G98)</f>
        <v>7625000</v>
      </c>
    </row>
    <row r="100" ht="19.5" customHeight="1">
      <c r="A100" s="22"/>
      <c r="B100" s="91" t="s">
        <v>3305</v>
      </c>
      <c r="C100" s="45"/>
      <c r="D100" s="45"/>
      <c r="E100" s="46"/>
      <c r="F100" s="46"/>
      <c r="G100" s="92">
        <f>F2+G94-G99</f>
        <v>5053726</v>
      </c>
    </row>
    <row r="101" ht="17.25" customHeight="1">
      <c r="A101" s="44"/>
      <c r="B101" s="95" t="s">
        <v>3306</v>
      </c>
    </row>
    <row r="102" ht="12.0" customHeight="1">
      <c r="A102" s="44"/>
      <c r="B102" s="1"/>
      <c r="C102" s="78" t="s">
        <v>3217</v>
      </c>
      <c r="D102" s="1"/>
      <c r="E102" s="1"/>
      <c r="F102" s="1"/>
      <c r="G102" s="2">
        <v>0.0</v>
      </c>
    </row>
    <row r="103" ht="15.75" customHeight="1">
      <c r="A103" s="1"/>
      <c r="B103" s="1"/>
      <c r="C103" s="1" t="s">
        <v>3218</v>
      </c>
      <c r="D103" s="1"/>
      <c r="E103" s="1"/>
      <c r="F103" s="1"/>
      <c r="G103" s="2">
        <v>2793950.0</v>
      </c>
    </row>
    <row r="104" ht="15.75" customHeight="1">
      <c r="A104" s="1"/>
      <c r="B104" s="1"/>
      <c r="C104" s="43" t="s">
        <v>115</v>
      </c>
      <c r="D104" s="1"/>
      <c r="E104" s="1"/>
      <c r="F104" s="1"/>
      <c r="G104" s="2">
        <f>G102+G103</f>
        <v>2793950</v>
      </c>
    </row>
    <row r="105" ht="15.75" customHeight="1">
      <c r="A105" s="43" t="s">
        <v>3093</v>
      </c>
      <c r="B105" s="43"/>
      <c r="C105" s="43"/>
      <c r="D105" s="1"/>
      <c r="E105" s="2"/>
      <c r="F105" s="1"/>
      <c r="G105" s="1"/>
    </row>
    <row r="106" ht="15.75" customHeight="1">
      <c r="A106" s="43" t="s">
        <v>3307</v>
      </c>
      <c r="B106" s="43"/>
      <c r="C106" s="43"/>
      <c r="D106" s="1"/>
      <c r="E106" s="1"/>
      <c r="F106" s="1"/>
      <c r="G106" s="1"/>
    </row>
    <row r="107" ht="15.75" customHeight="1">
      <c r="A107" s="43" t="s">
        <v>3308</v>
      </c>
      <c r="B107" s="33"/>
      <c r="C107" s="1"/>
      <c r="D107" s="1"/>
      <c r="E107" s="1"/>
      <c r="F107" s="1"/>
      <c r="G107" s="2"/>
    </row>
    <row r="108" ht="15.75" customHeight="1">
      <c r="A108" s="43" t="s">
        <v>3309</v>
      </c>
      <c r="B108" s="56"/>
      <c r="C108" s="56"/>
      <c r="D108" s="56"/>
      <c r="F108" s="93"/>
      <c r="G108" s="55"/>
    </row>
    <row r="109" ht="15.75" customHeight="1">
      <c r="A109" s="96" t="s">
        <v>3310</v>
      </c>
      <c r="B109" s="56"/>
      <c r="C109" s="56"/>
      <c r="D109" s="56"/>
      <c r="F109" s="93"/>
      <c r="G109" s="55"/>
    </row>
    <row r="110" ht="15.75" customHeight="1">
      <c r="A110" s="55" t="s">
        <v>3054</v>
      </c>
      <c r="B110" s="55"/>
      <c r="C110" s="55"/>
      <c r="D110" s="55"/>
      <c r="F110" s="93" t="s">
        <v>3227</v>
      </c>
      <c r="G110" s="55"/>
    </row>
    <row r="111" ht="15.75" customHeight="1">
      <c r="A111" s="55"/>
      <c r="B111" s="55"/>
      <c r="C111" s="55"/>
      <c r="D111" s="55"/>
      <c r="F111" s="93"/>
      <c r="G111" s="55"/>
    </row>
    <row r="112" ht="15.75" customHeight="1">
      <c r="A112" s="55" t="s">
        <v>3055</v>
      </c>
      <c r="B112" s="55"/>
      <c r="C112" s="55"/>
      <c r="D112" s="55"/>
      <c r="F112" s="93" t="s">
        <v>3311</v>
      </c>
      <c r="G112" s="77"/>
    </row>
    <row r="113" ht="15.75" customHeight="1">
      <c r="A113" s="55"/>
      <c r="B113" s="55"/>
      <c r="C113" s="55"/>
      <c r="D113" s="55"/>
      <c r="F113" s="93"/>
      <c r="G113" s="77"/>
    </row>
    <row r="114" ht="15.75" customHeight="1">
      <c r="A114" s="55" t="s">
        <v>3224</v>
      </c>
      <c r="B114" s="94"/>
      <c r="F114" s="93" t="s">
        <v>3312</v>
      </c>
    </row>
    <row r="115" ht="15.75" customHeight="1">
      <c r="A115" s="55"/>
      <c r="B115" s="94"/>
      <c r="F115" s="93"/>
    </row>
    <row r="116" ht="15.75" customHeight="1">
      <c r="A116" s="55" t="s">
        <v>3057</v>
      </c>
      <c r="F116" s="67" t="s">
        <v>3228</v>
      </c>
    </row>
    <row r="117" ht="15.75" customHeight="1">
      <c r="A117" s="55"/>
    </row>
    <row r="118" ht="15.75" customHeight="1">
      <c r="A118" s="94" t="s">
        <v>3313</v>
      </c>
    </row>
    <row r="119" ht="15.75" customHeight="1">
      <c r="A119" s="55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F2:G2"/>
    <mergeCell ref="A8:B8"/>
    <mergeCell ref="B9:F9"/>
    <mergeCell ref="B101:G101"/>
  </mergeCells>
  <printOptions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5" width="10.71"/>
    <col customWidth="1" min="6" max="6" width="15.14"/>
    <col customWidth="1" min="7" max="7" width="16.57"/>
    <col customWidth="1" min="8" max="26" width="10.71"/>
  </cols>
  <sheetData>
    <row r="1">
      <c r="A1" s="1" t="s">
        <v>721</v>
      </c>
      <c r="B1" s="3" t="s">
        <v>3314</v>
      </c>
      <c r="C1" s="3"/>
      <c r="D1" s="3"/>
      <c r="E1" s="3"/>
      <c r="F1" s="3"/>
      <c r="G1" s="3"/>
    </row>
    <row r="2">
      <c r="A2" s="75" t="s">
        <v>3315</v>
      </c>
      <c r="F2" s="87">
        <v>5053726.0</v>
      </c>
      <c r="G2" s="53"/>
    </row>
    <row r="3">
      <c r="A3" s="6" t="s">
        <v>3316</v>
      </c>
      <c r="B3" s="1"/>
      <c r="C3" s="1"/>
      <c r="D3" s="1" t="s">
        <v>3001</v>
      </c>
      <c r="E3" s="50" t="s">
        <v>3002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148000.0</v>
      </c>
      <c r="E4" s="2">
        <v>173000.0</v>
      </c>
      <c r="F4" s="2">
        <v>271250.0</v>
      </c>
      <c r="G4" s="7">
        <v>1298425.0</v>
      </c>
      <c r="H4" s="60">
        <v>164000.0</v>
      </c>
    </row>
    <row r="5">
      <c r="A5" s="1"/>
      <c r="B5" s="4" t="s">
        <v>64</v>
      </c>
      <c r="C5" s="1"/>
      <c r="D5" s="2">
        <v>124500.0</v>
      </c>
      <c r="E5" s="2">
        <v>150000.0</v>
      </c>
      <c r="F5" s="2">
        <v>206250.0</v>
      </c>
      <c r="G5" s="7">
        <v>1190800.0</v>
      </c>
      <c r="H5" s="2">
        <v>146000.0</v>
      </c>
    </row>
    <row r="6">
      <c r="A6" s="1"/>
      <c r="B6" s="4" t="s">
        <v>65</v>
      </c>
      <c r="C6" s="1"/>
      <c r="D6" s="2">
        <v>138000.0</v>
      </c>
      <c r="E6" s="2">
        <v>122000.0</v>
      </c>
      <c r="F6" s="2">
        <v>190000.0</v>
      </c>
      <c r="G6" s="7">
        <v>1074500.0</v>
      </c>
      <c r="H6" s="2">
        <v>129000.0</v>
      </c>
    </row>
    <row r="7">
      <c r="A7" s="1"/>
      <c r="B7" s="4" t="s">
        <v>66</v>
      </c>
      <c r="C7" s="1"/>
      <c r="D7" s="2">
        <v>75500.0</v>
      </c>
      <c r="E7" s="2">
        <v>139000.0</v>
      </c>
      <c r="F7" s="2">
        <v>114500.0</v>
      </c>
      <c r="G7" s="76">
        <v>900650.0</v>
      </c>
      <c r="H7" s="2">
        <v>103000.0</v>
      </c>
    </row>
    <row r="8">
      <c r="A8" s="50" t="s">
        <v>405</v>
      </c>
      <c r="D8" s="60">
        <f t="shared" ref="D8:H8" si="1">SUM(D4:D7)</f>
        <v>486000</v>
      </c>
      <c r="E8" s="60">
        <f t="shared" si="1"/>
        <v>584000</v>
      </c>
      <c r="F8" s="60">
        <f t="shared" si="1"/>
        <v>782000</v>
      </c>
      <c r="G8" s="60">
        <f t="shared" si="1"/>
        <v>4464375</v>
      </c>
      <c r="H8" s="60">
        <f t="shared" si="1"/>
        <v>542000</v>
      </c>
    </row>
    <row r="9">
      <c r="A9" s="1"/>
      <c r="B9" s="51" t="s">
        <v>9</v>
      </c>
      <c r="C9" s="52"/>
      <c r="D9" s="52"/>
      <c r="E9" s="52"/>
      <c r="F9" s="53"/>
      <c r="G9" s="68">
        <f>SUM(D8:H8)</f>
        <v>6858375</v>
      </c>
    </row>
    <row r="10">
      <c r="A10" s="6" t="s">
        <v>3317</v>
      </c>
      <c r="B10" s="1"/>
      <c r="C10" s="1"/>
      <c r="D10" s="1"/>
      <c r="E10" s="1"/>
      <c r="F10" s="1"/>
      <c r="G10" s="2" t="s">
        <v>480</v>
      </c>
    </row>
    <row r="11">
      <c r="A11" s="1"/>
      <c r="B11" s="12" t="s">
        <v>11</v>
      </c>
      <c r="C11" s="1"/>
      <c r="D11" s="1"/>
      <c r="E11" s="1"/>
      <c r="F11" s="1"/>
      <c r="G11" s="2"/>
    </row>
    <row r="12" hidden="1">
      <c r="A12" s="1"/>
      <c r="B12" s="4" t="s">
        <v>3233</v>
      </c>
      <c r="C12" s="1"/>
      <c r="D12" s="1"/>
      <c r="E12" s="1"/>
      <c r="F12" s="1"/>
      <c r="G12" s="77">
        <v>120000.0</v>
      </c>
    </row>
    <row r="13" hidden="1">
      <c r="A13" s="1"/>
      <c r="B13" s="4" t="s">
        <v>3234</v>
      </c>
      <c r="C13" s="1"/>
      <c r="D13" s="1"/>
      <c r="E13" s="1"/>
      <c r="F13" s="1"/>
      <c r="G13" s="77">
        <v>200000.0</v>
      </c>
    </row>
    <row r="14" hidden="1">
      <c r="A14" s="1"/>
      <c r="B14" s="4" t="s">
        <v>3318</v>
      </c>
      <c r="C14" s="1"/>
      <c r="D14" s="1"/>
      <c r="E14" s="1"/>
      <c r="F14" s="1"/>
      <c r="G14" s="77">
        <v>100000.0</v>
      </c>
    </row>
    <row r="15" hidden="1">
      <c r="A15" s="1"/>
      <c r="B15" s="4" t="s">
        <v>3150</v>
      </c>
      <c r="C15" s="1"/>
      <c r="D15" s="1"/>
      <c r="E15" s="1"/>
      <c r="F15" s="1"/>
      <c r="G15" s="77">
        <v>80000.0</v>
      </c>
    </row>
    <row r="16" hidden="1">
      <c r="A16" s="1"/>
      <c r="B16" s="4" t="s">
        <v>3236</v>
      </c>
      <c r="C16" s="1"/>
      <c r="D16" s="1"/>
      <c r="E16" s="1"/>
      <c r="F16" s="1"/>
      <c r="G16" s="77">
        <v>100000.0</v>
      </c>
    </row>
    <row r="17" hidden="1">
      <c r="A17" s="1"/>
      <c r="B17" s="4" t="s">
        <v>3237</v>
      </c>
      <c r="C17" s="1"/>
      <c r="D17" s="1"/>
      <c r="E17" s="1"/>
      <c r="F17" s="1"/>
      <c r="G17" s="77">
        <v>150000.0</v>
      </c>
    </row>
    <row r="18" hidden="1">
      <c r="A18" s="1"/>
      <c r="B18" s="4" t="s">
        <v>3238</v>
      </c>
      <c r="C18" s="1"/>
      <c r="D18" s="1"/>
      <c r="E18" s="1"/>
      <c r="F18" s="1"/>
      <c r="G18" s="77">
        <v>150000.0</v>
      </c>
    </row>
    <row r="19">
      <c r="A19" s="1"/>
      <c r="B19" s="9" t="s">
        <v>18</v>
      </c>
      <c r="C19" s="10"/>
      <c r="D19" s="10"/>
      <c r="E19" s="10"/>
      <c r="F19" s="10"/>
      <c r="G19" s="69">
        <f>SUM(G12:G18)</f>
        <v>900000</v>
      </c>
    </row>
    <row r="20">
      <c r="A20" s="1"/>
      <c r="B20" s="12" t="s">
        <v>19</v>
      </c>
      <c r="C20" s="15"/>
      <c r="D20" s="1"/>
      <c r="E20" s="1"/>
      <c r="F20" s="1"/>
    </row>
    <row r="21" ht="15.75" customHeight="1">
      <c r="A21" s="1"/>
      <c r="B21" s="97" t="s">
        <v>3319</v>
      </c>
      <c r="C21" s="15"/>
      <c r="D21" s="1"/>
      <c r="E21" s="1"/>
      <c r="F21" s="1"/>
      <c r="G21" s="2">
        <v>18000.0</v>
      </c>
    </row>
    <row r="22" ht="15.75" customHeight="1">
      <c r="A22" s="1"/>
      <c r="B22" s="97" t="s">
        <v>3320</v>
      </c>
      <c r="C22" s="15"/>
      <c r="D22" s="1"/>
      <c r="E22" s="1"/>
      <c r="F22" s="1"/>
      <c r="G22" s="2">
        <v>18000.0</v>
      </c>
    </row>
    <row r="23" ht="15.75" customHeight="1">
      <c r="A23" s="1"/>
      <c r="B23" s="97" t="s">
        <v>3321</v>
      </c>
      <c r="C23" s="15"/>
      <c r="D23" s="1"/>
      <c r="E23" s="1"/>
      <c r="F23" s="1"/>
      <c r="G23" s="2">
        <v>15700.0</v>
      </c>
    </row>
    <row r="24" ht="15.75" customHeight="1">
      <c r="A24" s="1"/>
      <c r="B24" s="97" t="s">
        <v>3322</v>
      </c>
      <c r="C24" s="15"/>
      <c r="D24" s="1"/>
      <c r="E24" s="1"/>
      <c r="F24" s="1"/>
      <c r="G24" s="2">
        <v>60000.0</v>
      </c>
    </row>
    <row r="25" ht="15.75" customHeight="1">
      <c r="A25" s="1"/>
      <c r="B25" s="97" t="s">
        <v>3323</v>
      </c>
      <c r="C25" s="15"/>
      <c r="D25" s="1"/>
      <c r="E25" s="1"/>
      <c r="F25" s="1"/>
      <c r="G25" s="2">
        <v>2161.0</v>
      </c>
    </row>
    <row r="26" ht="15.75" customHeight="1">
      <c r="A26" s="1"/>
      <c r="B26" s="97" t="s">
        <v>3324</v>
      </c>
      <c r="C26" s="15"/>
      <c r="D26" s="1"/>
      <c r="E26" s="1"/>
      <c r="F26" s="1"/>
      <c r="G26" s="2">
        <v>1000.0</v>
      </c>
    </row>
    <row r="27" ht="15.75" customHeight="1">
      <c r="A27" s="1"/>
      <c r="B27" s="97" t="s">
        <v>3325</v>
      </c>
      <c r="C27" s="15"/>
      <c r="D27" s="1"/>
      <c r="E27" s="1"/>
      <c r="F27" s="1"/>
      <c r="G27" s="2">
        <v>15000.0</v>
      </c>
    </row>
    <row r="28" ht="15.75" customHeight="1">
      <c r="A28" s="1"/>
      <c r="B28" s="97" t="s">
        <v>3326</v>
      </c>
      <c r="C28" s="15"/>
      <c r="D28" s="1"/>
      <c r="E28" s="1"/>
      <c r="F28" s="1"/>
      <c r="G28" s="2">
        <v>5000.0</v>
      </c>
    </row>
    <row r="29" ht="15.75" customHeight="1">
      <c r="A29" s="1"/>
      <c r="B29" s="97" t="s">
        <v>3327</v>
      </c>
      <c r="C29" s="15"/>
      <c r="D29" s="1"/>
      <c r="E29" s="1"/>
      <c r="F29" s="1"/>
      <c r="G29" s="2">
        <v>30000.0</v>
      </c>
    </row>
    <row r="30" ht="15.75" customHeight="1">
      <c r="A30" s="1"/>
      <c r="B30" s="97" t="s">
        <v>3328</v>
      </c>
      <c r="C30" s="15"/>
      <c r="D30" s="1"/>
      <c r="E30" s="1"/>
      <c r="F30" s="1"/>
      <c r="G30" s="2">
        <v>36000.0</v>
      </c>
    </row>
    <row r="31" ht="15.75" customHeight="1">
      <c r="A31" s="1"/>
      <c r="B31" s="97" t="s">
        <v>3329</v>
      </c>
      <c r="C31" s="15"/>
      <c r="D31" s="1"/>
      <c r="E31" s="1"/>
      <c r="F31" s="1"/>
      <c r="G31" s="2">
        <v>30000.0</v>
      </c>
    </row>
    <row r="32" ht="15.75" customHeight="1">
      <c r="A32" s="1"/>
      <c r="B32" s="97" t="s">
        <v>3330</v>
      </c>
      <c r="C32" s="15"/>
      <c r="D32" s="1"/>
      <c r="E32" s="1"/>
      <c r="F32" s="1"/>
      <c r="G32" s="2">
        <v>19800.0</v>
      </c>
    </row>
    <row r="33" ht="15.75" customHeight="1">
      <c r="A33" s="1"/>
      <c r="B33" s="97" t="s">
        <v>3245</v>
      </c>
      <c r="C33" s="15"/>
      <c r="D33" s="1"/>
      <c r="E33" s="1"/>
      <c r="F33" s="1"/>
      <c r="G33" s="2">
        <v>60000.0</v>
      </c>
    </row>
    <row r="34" ht="15.75" customHeight="1">
      <c r="A34" s="1"/>
      <c r="B34" s="97" t="s">
        <v>3331</v>
      </c>
      <c r="C34" s="15"/>
      <c r="D34" s="1"/>
      <c r="E34" s="1"/>
      <c r="F34" s="1"/>
      <c r="G34" s="2">
        <v>35000.0</v>
      </c>
    </row>
    <row r="35" ht="15.75" customHeight="1">
      <c r="A35" s="1"/>
      <c r="B35" s="97" t="s">
        <v>3332</v>
      </c>
      <c r="C35" s="15"/>
      <c r="D35" s="1"/>
      <c r="E35" s="1"/>
      <c r="F35" s="1"/>
      <c r="G35" s="2">
        <v>41500.0</v>
      </c>
    </row>
    <row r="36" ht="15.75" customHeight="1">
      <c r="A36" s="1"/>
      <c r="B36" s="97" t="s">
        <v>3333</v>
      </c>
      <c r="C36" s="15"/>
      <c r="D36" s="1"/>
      <c r="E36" s="1"/>
      <c r="F36" s="1"/>
      <c r="G36" s="2">
        <v>5878.0</v>
      </c>
    </row>
    <row r="37" ht="15.75" customHeight="1">
      <c r="A37" s="1"/>
      <c r="B37" s="97" t="s">
        <v>3334</v>
      </c>
      <c r="C37" s="15"/>
      <c r="D37" s="1"/>
      <c r="E37" s="1"/>
      <c r="F37" s="1"/>
      <c r="G37" s="2">
        <v>1500.0</v>
      </c>
    </row>
    <row r="38" ht="15.75" customHeight="1">
      <c r="A38" s="1"/>
      <c r="B38" s="97" t="s">
        <v>3335</v>
      </c>
      <c r="C38" s="15"/>
      <c r="D38" s="1"/>
      <c r="E38" s="1"/>
      <c r="F38" s="1"/>
      <c r="G38" s="2">
        <v>176375.0</v>
      </c>
    </row>
    <row r="39" ht="15.75" customHeight="1">
      <c r="A39" s="1"/>
      <c r="B39" s="97" t="s">
        <v>3336</v>
      </c>
      <c r="C39" s="15"/>
      <c r="D39" s="1"/>
      <c r="E39" s="1"/>
      <c r="F39" s="1"/>
      <c r="G39" s="2">
        <v>17000.0</v>
      </c>
    </row>
    <row r="40" ht="15.75" customHeight="1">
      <c r="A40" s="1"/>
      <c r="B40" s="97" t="s">
        <v>3337</v>
      </c>
      <c r="C40" s="15"/>
      <c r="D40" s="1"/>
      <c r="E40" s="1"/>
      <c r="F40" s="1"/>
      <c r="G40" s="2">
        <v>34000.0</v>
      </c>
    </row>
    <row r="41" ht="15.75" customHeight="1">
      <c r="A41" s="1"/>
      <c r="B41" s="97" t="s">
        <v>3337</v>
      </c>
      <c r="C41" s="15"/>
      <c r="D41" s="1"/>
      <c r="E41" s="1"/>
      <c r="F41" s="1"/>
      <c r="G41" s="2">
        <v>34000.0</v>
      </c>
    </row>
    <row r="42" ht="15.75" customHeight="1">
      <c r="A42" s="1"/>
      <c r="B42" s="97" t="s">
        <v>3338</v>
      </c>
      <c r="C42" s="15"/>
      <c r="D42" s="1"/>
      <c r="E42" s="1"/>
      <c r="F42" s="1"/>
      <c r="G42" s="2">
        <v>8000.0</v>
      </c>
    </row>
    <row r="43" ht="15.75" customHeight="1">
      <c r="A43" s="1"/>
      <c r="B43" s="97" t="s">
        <v>3339</v>
      </c>
      <c r="C43" s="15"/>
      <c r="D43" s="1"/>
      <c r="E43" s="1"/>
      <c r="F43" s="1"/>
      <c r="G43" s="2">
        <v>28350.0</v>
      </c>
    </row>
    <row r="44" ht="15.75" customHeight="1">
      <c r="A44" s="1"/>
      <c r="B44" s="97" t="s">
        <v>3340</v>
      </c>
      <c r="C44" s="15"/>
      <c r="D44" s="1"/>
      <c r="E44" s="1"/>
      <c r="F44" s="1"/>
      <c r="G44" s="2">
        <v>22000.0</v>
      </c>
    </row>
    <row r="45" ht="15.75" customHeight="1">
      <c r="A45" s="1"/>
      <c r="B45" s="97" t="s">
        <v>3341</v>
      </c>
      <c r="C45" s="15"/>
      <c r="D45" s="1"/>
      <c r="E45" s="1"/>
      <c r="F45" s="1"/>
      <c r="G45" s="2">
        <v>15930.0</v>
      </c>
    </row>
    <row r="46" ht="15.75" customHeight="1">
      <c r="A46" s="1"/>
      <c r="B46" s="97" t="s">
        <v>3342</v>
      </c>
      <c r="C46" s="15"/>
      <c r="D46" s="1"/>
      <c r="E46" s="1"/>
      <c r="F46" s="1"/>
      <c r="G46" s="2">
        <v>7500.0</v>
      </c>
    </row>
    <row r="47" ht="15.75" customHeight="1">
      <c r="A47" s="1"/>
      <c r="B47" s="97" t="s">
        <v>3343</v>
      </c>
      <c r="C47" s="15"/>
      <c r="D47" s="1"/>
      <c r="E47" s="1"/>
      <c r="F47" s="1"/>
      <c r="G47" s="2">
        <v>5000.0</v>
      </c>
    </row>
    <row r="48" ht="15.75" customHeight="1">
      <c r="A48" s="1"/>
      <c r="B48" s="97" t="s">
        <v>3344</v>
      </c>
      <c r="C48" s="15"/>
      <c r="D48" s="1"/>
      <c r="E48" s="1"/>
      <c r="F48" s="1"/>
      <c r="G48" s="2">
        <v>6730.0</v>
      </c>
    </row>
    <row r="49" ht="15.75" customHeight="1">
      <c r="A49" s="1"/>
      <c r="B49" s="97" t="s">
        <v>3345</v>
      </c>
      <c r="C49" s="15"/>
      <c r="D49" s="1"/>
      <c r="E49" s="1"/>
      <c r="F49" s="1"/>
      <c r="G49" s="2">
        <v>30000.0</v>
      </c>
    </row>
    <row r="50" ht="15.75" customHeight="1">
      <c r="A50" s="1"/>
      <c r="B50" s="97" t="s">
        <v>3346</v>
      </c>
      <c r="C50" s="15"/>
      <c r="D50" s="1"/>
      <c r="E50" s="1"/>
      <c r="F50" s="1"/>
      <c r="G50" s="2">
        <v>8500.0</v>
      </c>
    </row>
    <row r="51" ht="15.75" customHeight="1">
      <c r="A51" s="1"/>
      <c r="B51" s="97" t="s">
        <v>3347</v>
      </c>
      <c r="C51" s="15"/>
      <c r="D51" s="1"/>
      <c r="E51" s="1"/>
      <c r="F51" s="1"/>
      <c r="G51" s="2">
        <v>52500.0</v>
      </c>
    </row>
    <row r="52" ht="15.75" customHeight="1">
      <c r="A52" s="1"/>
      <c r="B52" s="97" t="s">
        <v>3348</v>
      </c>
      <c r="C52" s="15"/>
      <c r="D52" s="1"/>
      <c r="E52" s="1"/>
      <c r="F52" s="1"/>
      <c r="G52" s="2">
        <v>25000.0</v>
      </c>
    </row>
    <row r="53" ht="15.75" customHeight="1">
      <c r="A53" s="1"/>
      <c r="B53" s="97" t="s">
        <v>3349</v>
      </c>
      <c r="C53" s="15"/>
      <c r="D53" s="1"/>
      <c r="E53" s="1"/>
      <c r="F53" s="1"/>
      <c r="G53" s="2">
        <v>100000.0</v>
      </c>
    </row>
    <row r="54" ht="15.75" customHeight="1">
      <c r="A54" s="1"/>
      <c r="B54" s="97" t="s">
        <v>3350</v>
      </c>
      <c r="C54" s="15"/>
      <c r="D54" s="1"/>
      <c r="E54" s="1"/>
      <c r="F54" s="1"/>
      <c r="G54" s="2">
        <v>60000.0</v>
      </c>
    </row>
    <row r="55" ht="15.75" customHeight="1">
      <c r="A55" s="1"/>
      <c r="B55" s="97" t="s">
        <v>3351</v>
      </c>
      <c r="C55" s="15"/>
      <c r="D55" s="1"/>
      <c r="E55" s="1"/>
      <c r="F55" s="1"/>
      <c r="G55" s="2">
        <v>1040.0</v>
      </c>
    </row>
    <row r="56" ht="15.75" customHeight="1">
      <c r="A56" s="1"/>
      <c r="B56" s="97" t="s">
        <v>3352</v>
      </c>
      <c r="C56" s="15"/>
      <c r="D56" s="1"/>
      <c r="E56" s="1"/>
      <c r="F56" s="1"/>
      <c r="G56" s="2">
        <v>65250.0</v>
      </c>
    </row>
    <row r="57" ht="15.75" customHeight="1">
      <c r="A57" s="1"/>
      <c r="B57" s="97" t="s">
        <v>3353</v>
      </c>
      <c r="C57" s="15"/>
      <c r="D57" s="1"/>
      <c r="E57" s="1"/>
      <c r="F57" s="1"/>
      <c r="G57" s="2">
        <v>60000.0</v>
      </c>
    </row>
    <row r="58" ht="15.75" customHeight="1">
      <c r="A58" s="1"/>
      <c r="B58" s="97" t="s">
        <v>3354</v>
      </c>
      <c r="C58" s="15"/>
      <c r="D58" s="1"/>
      <c r="E58" s="1"/>
      <c r="F58" s="1"/>
      <c r="G58" s="2">
        <v>300000.0</v>
      </c>
    </row>
    <row r="59" ht="15.75" customHeight="1">
      <c r="A59" s="1"/>
      <c r="B59" s="97" t="s">
        <v>3355</v>
      </c>
      <c r="C59" s="15"/>
      <c r="D59" s="1"/>
      <c r="E59" s="1"/>
      <c r="F59" s="1"/>
      <c r="G59" s="2">
        <v>69500.0</v>
      </c>
    </row>
    <row r="60" ht="15.75" customHeight="1">
      <c r="A60" s="1"/>
      <c r="B60" s="97" t="s">
        <v>3356</v>
      </c>
      <c r="C60" s="15"/>
      <c r="D60" s="1"/>
      <c r="E60" s="1"/>
      <c r="F60" s="1"/>
      <c r="G60" s="2">
        <v>800.0</v>
      </c>
    </row>
    <row r="61" ht="15.75" customHeight="1">
      <c r="A61" s="1"/>
      <c r="B61" s="97" t="s">
        <v>3357</v>
      </c>
      <c r="C61" s="15"/>
      <c r="D61" s="1"/>
      <c r="E61" s="1"/>
      <c r="F61" s="1"/>
      <c r="G61" s="2">
        <v>105000.0</v>
      </c>
    </row>
    <row r="62" ht="15.75" customHeight="1">
      <c r="A62" s="1"/>
      <c r="B62" s="97" t="s">
        <v>3358</v>
      </c>
      <c r="C62" s="15"/>
      <c r="D62" s="1"/>
      <c r="E62" s="1"/>
      <c r="F62" s="1"/>
      <c r="G62" s="2">
        <v>3114.0</v>
      </c>
    </row>
    <row r="63" ht="15.75" customHeight="1">
      <c r="A63" s="1"/>
      <c r="B63" s="97" t="s">
        <v>3359</v>
      </c>
      <c r="C63" s="15"/>
      <c r="D63" s="1"/>
      <c r="E63" s="1"/>
      <c r="F63" s="1"/>
      <c r="G63" s="2">
        <v>34000.0</v>
      </c>
    </row>
    <row r="64" ht="15.75" customHeight="1">
      <c r="A64" s="1"/>
      <c r="B64" s="43" t="s">
        <v>43</v>
      </c>
      <c r="C64" s="1"/>
      <c r="D64" s="1"/>
      <c r="E64" s="1"/>
      <c r="F64" s="1"/>
      <c r="G64" s="18">
        <f>SUM(G21:G63)</f>
        <v>1664128</v>
      </c>
    </row>
    <row r="65" ht="15.75" customHeight="1">
      <c r="A65" s="1"/>
      <c r="B65" s="19" t="s">
        <v>45</v>
      </c>
      <c r="C65" s="20"/>
      <c r="D65" s="20"/>
      <c r="E65" s="20"/>
      <c r="F65" s="20"/>
      <c r="G65" s="70">
        <f>G19+G64</f>
        <v>2564128</v>
      </c>
    </row>
    <row r="66" ht="15.75" customHeight="1">
      <c r="A66" s="35" t="s">
        <v>3130</v>
      </c>
      <c r="B66" s="36" t="s">
        <v>3301</v>
      </c>
      <c r="C66" s="37"/>
      <c r="D66" s="82"/>
      <c r="E66" s="37"/>
      <c r="F66" s="37"/>
      <c r="G66" s="71">
        <f> G9-G65</f>
        <v>4294247</v>
      </c>
    </row>
    <row r="67" ht="15.75" customHeight="1">
      <c r="A67" s="22" t="s">
        <v>254</v>
      </c>
      <c r="B67" s="43" t="s">
        <v>255</v>
      </c>
      <c r="C67" s="1"/>
      <c r="D67" s="1"/>
      <c r="E67" s="1"/>
      <c r="F67" s="1"/>
      <c r="G67" s="2"/>
    </row>
    <row r="68" ht="15.75" customHeight="1">
      <c r="B68" s="43" t="s">
        <v>3360</v>
      </c>
      <c r="C68" s="1"/>
      <c r="D68" s="1"/>
      <c r="E68" s="1"/>
      <c r="F68" s="1"/>
      <c r="G68" s="2">
        <v>500000.0</v>
      </c>
    </row>
    <row r="69" ht="27.75" customHeight="1">
      <c r="B69" s="98" t="s">
        <v>3361</v>
      </c>
      <c r="G69" s="2">
        <v>475000.0</v>
      </c>
    </row>
    <row r="70" ht="15.75" customHeight="1">
      <c r="A70" s="22"/>
      <c r="B70" s="43" t="s">
        <v>3362</v>
      </c>
      <c r="C70" s="1"/>
      <c r="D70" s="1"/>
      <c r="E70" s="1"/>
      <c r="F70" s="1"/>
      <c r="G70" s="2">
        <v>1108335.0</v>
      </c>
    </row>
    <row r="71" ht="15.75" customHeight="1">
      <c r="A71" s="22"/>
      <c r="B71" s="43" t="s">
        <v>3363</v>
      </c>
      <c r="C71" s="1"/>
      <c r="D71" s="1"/>
      <c r="E71" s="1"/>
      <c r="F71" s="1"/>
      <c r="G71" s="2">
        <v>1295140.0</v>
      </c>
    </row>
    <row r="72" ht="15.75" customHeight="1">
      <c r="A72" s="22"/>
      <c r="B72" s="72" t="s">
        <v>51</v>
      </c>
      <c r="C72" s="27"/>
      <c r="D72" s="27"/>
      <c r="E72" s="27"/>
      <c r="F72" s="27"/>
      <c r="G72" s="81">
        <f>SUM(G68:G71)</f>
        <v>3378475</v>
      </c>
    </row>
    <row r="73" ht="15.75" customHeight="1">
      <c r="A73" s="22"/>
      <c r="B73" s="91" t="s">
        <v>3364</v>
      </c>
      <c r="C73" s="45"/>
      <c r="D73" s="45"/>
      <c r="E73" s="46"/>
      <c r="F73" s="46"/>
      <c r="G73" s="92">
        <f>F2+G66-G72</f>
        <v>5969498</v>
      </c>
    </row>
    <row r="74" ht="15.75" customHeight="1">
      <c r="A74" s="22"/>
      <c r="B74" s="32" t="s">
        <v>3365</v>
      </c>
    </row>
    <row r="75" ht="15.75" customHeight="1">
      <c r="A75" s="44"/>
      <c r="B75" s="1"/>
      <c r="C75" s="1" t="s">
        <v>3217</v>
      </c>
      <c r="D75" s="1"/>
      <c r="E75" s="1"/>
      <c r="F75" s="1"/>
      <c r="G75" s="38">
        <v>20600.0</v>
      </c>
    </row>
    <row r="76" ht="15.75" customHeight="1">
      <c r="A76" s="44"/>
      <c r="B76" s="1"/>
      <c r="C76" s="1" t="s">
        <v>3218</v>
      </c>
      <c r="D76" s="1"/>
      <c r="E76" s="1"/>
      <c r="F76" s="1"/>
      <c r="G76" s="38">
        <v>1040950.0</v>
      </c>
    </row>
    <row r="77" ht="15.75" customHeight="1">
      <c r="A77" s="1"/>
      <c r="B77" s="1"/>
      <c r="C77" s="43" t="s">
        <v>115</v>
      </c>
      <c r="D77" s="1"/>
      <c r="E77" s="1"/>
      <c r="F77" s="1"/>
      <c r="G77" s="38">
        <f>G75+G76</f>
        <v>1061550</v>
      </c>
    </row>
    <row r="78" ht="15.75" customHeight="1">
      <c r="A78" s="43" t="s">
        <v>3366</v>
      </c>
      <c r="B78" s="43"/>
      <c r="C78" s="43"/>
      <c r="D78" s="1"/>
      <c r="E78" s="1"/>
      <c r="F78" s="1"/>
      <c r="G78" s="1"/>
    </row>
    <row r="79" ht="15.75" customHeight="1">
      <c r="A79" s="43" t="s">
        <v>3307</v>
      </c>
      <c r="B79" s="33"/>
      <c r="C79" s="1"/>
      <c r="D79" s="1"/>
      <c r="E79" s="1"/>
      <c r="F79" s="1"/>
      <c r="G79" s="2"/>
    </row>
    <row r="80" ht="15.75" customHeight="1">
      <c r="A80" s="43" t="s">
        <v>3308</v>
      </c>
      <c r="B80" s="56"/>
      <c r="C80" s="56"/>
      <c r="D80" s="56"/>
      <c r="F80" s="93"/>
      <c r="G80" s="55"/>
    </row>
    <row r="81" ht="15.75" customHeight="1">
      <c r="A81" s="43" t="s">
        <v>3309</v>
      </c>
      <c r="B81" s="56"/>
      <c r="C81" s="56"/>
      <c r="D81" s="56"/>
      <c r="F81" s="93"/>
      <c r="G81" s="55"/>
    </row>
    <row r="82" ht="15.75" customHeight="1">
      <c r="A82" s="96" t="s">
        <v>3367</v>
      </c>
      <c r="B82" s="55"/>
      <c r="C82" s="55"/>
      <c r="D82" s="55"/>
      <c r="F82" s="93" t="s">
        <v>3227</v>
      </c>
      <c r="G82" s="55"/>
    </row>
    <row r="83" ht="15.75" customHeight="1">
      <c r="A83" s="55" t="s">
        <v>3054</v>
      </c>
      <c r="B83" s="55"/>
      <c r="C83" s="55"/>
      <c r="D83" s="55"/>
      <c r="F83" s="93" t="s">
        <v>3311</v>
      </c>
      <c r="G83" s="77"/>
    </row>
    <row r="84" ht="15.75" customHeight="1">
      <c r="A84" s="55"/>
      <c r="B84" s="55"/>
      <c r="C84" s="55"/>
      <c r="D84" s="55"/>
      <c r="F84" s="93"/>
      <c r="G84" s="77"/>
    </row>
    <row r="85" ht="15.75" customHeight="1">
      <c r="A85" s="55" t="s">
        <v>3055</v>
      </c>
      <c r="B85" s="94"/>
      <c r="F85" s="93" t="s">
        <v>3312</v>
      </c>
    </row>
    <row r="86" ht="15.75" customHeight="1">
      <c r="A86" s="55"/>
      <c r="B86" s="94"/>
      <c r="F86" s="93"/>
    </row>
    <row r="87" ht="15.75" customHeight="1">
      <c r="A87" s="55" t="s">
        <v>3224</v>
      </c>
      <c r="F87" s="67" t="s">
        <v>3228</v>
      </c>
    </row>
    <row r="88" ht="15.75" customHeight="1">
      <c r="A88" s="55"/>
    </row>
    <row r="89" ht="15.75" customHeight="1">
      <c r="A89" s="55" t="s">
        <v>3057</v>
      </c>
    </row>
    <row r="90" ht="15.75" customHeight="1">
      <c r="A90" s="55"/>
    </row>
    <row r="91" ht="15.75" customHeight="1">
      <c r="A91" s="94" t="s">
        <v>3313</v>
      </c>
    </row>
    <row r="92" ht="15.75" customHeight="1">
      <c r="A92" s="55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E2"/>
    <mergeCell ref="F2:G2"/>
    <mergeCell ref="A8:B8"/>
    <mergeCell ref="B9:F9"/>
    <mergeCell ref="B69:F69"/>
    <mergeCell ref="B74:G74"/>
  </mergeCells>
  <printOptions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5" width="10.71"/>
    <col customWidth="1" min="6" max="6" width="15.14"/>
    <col customWidth="1" min="7" max="7" width="16.57"/>
    <col customWidth="1" min="8" max="26" width="10.71"/>
  </cols>
  <sheetData>
    <row r="1">
      <c r="A1" s="1" t="s">
        <v>721</v>
      </c>
      <c r="B1" s="3" t="s">
        <v>3368</v>
      </c>
      <c r="C1" s="3"/>
      <c r="D1" s="3"/>
      <c r="E1" s="3"/>
      <c r="F1" s="3"/>
      <c r="G1" s="3"/>
    </row>
    <row r="2">
      <c r="A2" s="75" t="s">
        <v>3369</v>
      </c>
      <c r="F2" s="87">
        <v>5969498.0</v>
      </c>
      <c r="G2" s="53"/>
    </row>
    <row r="3">
      <c r="A3" s="6" t="s">
        <v>3370</v>
      </c>
      <c r="B3" s="1"/>
      <c r="C3" s="1"/>
      <c r="D3" s="1" t="s">
        <v>3001</v>
      </c>
      <c r="E3" s="50" t="s">
        <v>3002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52000.0</v>
      </c>
      <c r="E4" s="2">
        <v>81000.0</v>
      </c>
      <c r="F4" s="2">
        <v>85000.0</v>
      </c>
      <c r="G4" s="7">
        <v>929950.0</v>
      </c>
      <c r="H4" s="60">
        <v>114000.0</v>
      </c>
    </row>
    <row r="5">
      <c r="A5" s="1"/>
      <c r="B5" s="4" t="s">
        <v>64</v>
      </c>
      <c r="C5" s="1"/>
      <c r="D5" s="2">
        <v>125000.0</v>
      </c>
      <c r="E5" s="2">
        <v>236000.0</v>
      </c>
      <c r="F5" s="2">
        <v>260000.0</v>
      </c>
      <c r="G5" s="7">
        <v>1997900.0</v>
      </c>
      <c r="H5" s="2">
        <v>170000.0</v>
      </c>
    </row>
    <row r="6">
      <c r="A6" s="1"/>
      <c r="B6" s="4" t="s">
        <v>65</v>
      </c>
      <c r="C6" s="1"/>
      <c r="D6" s="2">
        <v>109500.0</v>
      </c>
      <c r="E6" s="2">
        <v>137000.0</v>
      </c>
      <c r="F6" s="2">
        <v>155000.0</v>
      </c>
      <c r="G6" s="7">
        <v>1654805.0</v>
      </c>
      <c r="H6" s="2">
        <v>175000.0</v>
      </c>
    </row>
    <row r="7">
      <c r="A7" s="1"/>
      <c r="B7" s="4" t="s">
        <v>66</v>
      </c>
      <c r="C7" s="1"/>
      <c r="D7" s="2">
        <v>98000.0</v>
      </c>
      <c r="E7" s="2">
        <v>72000.0</v>
      </c>
      <c r="F7" s="2">
        <v>212500.0</v>
      </c>
      <c r="G7" s="76">
        <v>1234800.0</v>
      </c>
      <c r="H7" s="2">
        <v>115000.0</v>
      </c>
    </row>
    <row r="8">
      <c r="A8" s="1"/>
      <c r="B8" s="4" t="s">
        <v>3371</v>
      </c>
      <c r="C8" s="1"/>
      <c r="D8" s="2">
        <v>64500.0</v>
      </c>
      <c r="E8" s="2">
        <v>122000.0</v>
      </c>
      <c r="F8" s="2">
        <v>92500.0</v>
      </c>
      <c r="G8" s="76">
        <v>968800.0</v>
      </c>
      <c r="H8" s="2">
        <v>106000.0</v>
      </c>
    </row>
    <row r="9">
      <c r="A9" s="50" t="s">
        <v>405</v>
      </c>
      <c r="D9" s="60">
        <f t="shared" ref="D9:H9" si="1">SUM(D4:D8)</f>
        <v>449000</v>
      </c>
      <c r="E9" s="60">
        <f t="shared" si="1"/>
        <v>648000</v>
      </c>
      <c r="F9" s="60">
        <f t="shared" si="1"/>
        <v>805000</v>
      </c>
      <c r="G9" s="60">
        <f t="shared" si="1"/>
        <v>6786255</v>
      </c>
      <c r="H9" s="60">
        <f t="shared" si="1"/>
        <v>680000</v>
      </c>
    </row>
    <row r="10">
      <c r="A10" s="1"/>
      <c r="B10" s="51" t="s">
        <v>9</v>
      </c>
      <c r="C10" s="52"/>
      <c r="D10" s="52"/>
      <c r="E10" s="52"/>
      <c r="F10" s="53"/>
      <c r="G10" s="68">
        <f>SUM(D9:H9)</f>
        <v>9368255</v>
      </c>
    </row>
    <row r="11">
      <c r="A11" s="6" t="s">
        <v>3372</v>
      </c>
      <c r="B11" s="1"/>
      <c r="C11" s="1"/>
      <c r="D11" s="1"/>
      <c r="E11" s="1"/>
      <c r="F11" s="1"/>
      <c r="G11" s="2" t="s">
        <v>480</v>
      </c>
    </row>
    <row r="12">
      <c r="A12" s="1"/>
      <c r="B12" s="12" t="s">
        <v>3373</v>
      </c>
      <c r="C12" s="1"/>
      <c r="D12" s="1"/>
      <c r="E12" s="1"/>
      <c r="F12" s="1"/>
      <c r="G12" s="2"/>
    </row>
    <row r="13">
      <c r="A13" s="1"/>
      <c r="B13" s="4" t="s">
        <v>3233</v>
      </c>
      <c r="C13" s="1"/>
      <c r="D13" s="1"/>
      <c r="E13" s="1"/>
      <c r="F13" s="1"/>
      <c r="G13" s="77">
        <v>120000.0</v>
      </c>
    </row>
    <row r="14">
      <c r="A14" s="1"/>
      <c r="B14" s="4" t="s">
        <v>3234</v>
      </c>
      <c r="C14" s="1"/>
      <c r="D14" s="1"/>
      <c r="E14" s="1"/>
      <c r="F14" s="1"/>
      <c r="G14" s="77">
        <v>200000.0</v>
      </c>
    </row>
    <row r="15">
      <c r="A15" s="1"/>
      <c r="B15" s="4" t="s">
        <v>3318</v>
      </c>
      <c r="C15" s="1"/>
      <c r="D15" s="1"/>
      <c r="E15" s="1"/>
      <c r="F15" s="1"/>
      <c r="G15" s="77">
        <v>100000.0</v>
      </c>
    </row>
    <row r="16">
      <c r="A16" s="1"/>
      <c r="B16" s="4" t="s">
        <v>3150</v>
      </c>
      <c r="C16" s="1"/>
      <c r="D16" s="1"/>
      <c r="E16" s="1"/>
      <c r="F16" s="1"/>
      <c r="G16" s="77">
        <v>80000.0</v>
      </c>
    </row>
    <row r="17">
      <c r="A17" s="1"/>
      <c r="B17" s="4" t="s">
        <v>3236</v>
      </c>
      <c r="C17" s="1"/>
      <c r="D17" s="1"/>
      <c r="E17" s="1"/>
      <c r="F17" s="1"/>
      <c r="G17" s="77">
        <v>100000.0</v>
      </c>
    </row>
    <row r="18">
      <c r="A18" s="1"/>
      <c r="B18" s="4" t="s">
        <v>3237</v>
      </c>
      <c r="C18" s="1"/>
      <c r="D18" s="1"/>
      <c r="E18" s="1"/>
      <c r="F18" s="1"/>
      <c r="G18" s="77">
        <v>150000.0</v>
      </c>
    </row>
    <row r="19">
      <c r="A19" s="1"/>
      <c r="B19" s="4" t="s">
        <v>3238</v>
      </c>
      <c r="C19" s="1"/>
      <c r="D19" s="1"/>
      <c r="E19" s="1"/>
      <c r="F19" s="1"/>
      <c r="G19" s="77">
        <v>150000.0</v>
      </c>
    </row>
    <row r="20">
      <c r="A20" s="1"/>
      <c r="B20" s="9" t="s">
        <v>3374</v>
      </c>
      <c r="C20" s="10"/>
      <c r="D20" s="10"/>
      <c r="E20" s="10"/>
      <c r="F20" s="10"/>
      <c r="G20" s="69">
        <f>SUM(G13:G19)</f>
        <v>900000</v>
      </c>
    </row>
    <row r="21" ht="15.75" customHeight="1">
      <c r="A21" s="1"/>
      <c r="B21" s="12" t="s">
        <v>19</v>
      </c>
      <c r="C21" s="15"/>
      <c r="D21" s="1"/>
      <c r="E21" s="1"/>
      <c r="F21" s="1"/>
    </row>
    <row r="22" ht="15.75" customHeight="1">
      <c r="A22" s="1"/>
      <c r="B22" s="97" t="s">
        <v>3375</v>
      </c>
      <c r="C22" s="15"/>
      <c r="D22" s="1"/>
      <c r="E22" s="1"/>
      <c r="F22" s="1"/>
      <c r="G22" s="2">
        <v>37590.0</v>
      </c>
      <c r="H22" s="99" t="s">
        <v>480</v>
      </c>
    </row>
    <row r="23" ht="15.75" customHeight="1">
      <c r="A23" s="1"/>
      <c r="B23" s="97" t="s">
        <v>3376</v>
      </c>
      <c r="C23" s="15"/>
      <c r="D23" s="1"/>
      <c r="E23" s="1"/>
      <c r="F23" s="1"/>
      <c r="G23" s="2">
        <v>7500.0</v>
      </c>
      <c r="H23" s="99" t="s">
        <v>480</v>
      </c>
    </row>
    <row r="24" ht="15.75" customHeight="1">
      <c r="A24" s="1"/>
      <c r="B24" s="97" t="s">
        <v>3377</v>
      </c>
      <c r="C24" s="15"/>
      <c r="D24" s="1"/>
      <c r="E24" s="1"/>
      <c r="F24" s="1"/>
      <c r="G24" s="2">
        <v>80000.0</v>
      </c>
      <c r="H24" s="99" t="s">
        <v>480</v>
      </c>
    </row>
    <row r="25" ht="15.75" customHeight="1">
      <c r="A25" s="1"/>
      <c r="B25" s="97" t="s">
        <v>3378</v>
      </c>
      <c r="C25" s="15"/>
      <c r="D25" s="1"/>
      <c r="E25" s="1"/>
      <c r="F25" s="1"/>
      <c r="G25" s="2">
        <v>37000.0</v>
      </c>
      <c r="H25" s="99" t="s">
        <v>480</v>
      </c>
    </row>
    <row r="26" ht="15.75" customHeight="1">
      <c r="A26" s="1"/>
      <c r="B26" s="97" t="s">
        <v>3379</v>
      </c>
      <c r="C26" s="15"/>
      <c r="D26" s="1"/>
      <c r="E26" s="1"/>
      <c r="F26" s="1"/>
      <c r="G26" s="2">
        <v>77408.0</v>
      </c>
      <c r="H26" s="99" t="s">
        <v>480</v>
      </c>
    </row>
    <row r="27" ht="15.75" customHeight="1">
      <c r="A27" s="1"/>
      <c r="B27" s="97" t="s">
        <v>3380</v>
      </c>
      <c r="C27" s="15"/>
      <c r="D27" s="1"/>
      <c r="E27" s="1"/>
      <c r="F27" s="1"/>
      <c r="G27" s="2">
        <v>6500.0</v>
      </c>
      <c r="H27" s="99" t="s">
        <v>480</v>
      </c>
    </row>
    <row r="28" ht="15.75" customHeight="1">
      <c r="A28" s="1"/>
      <c r="B28" s="97" t="s">
        <v>3381</v>
      </c>
      <c r="C28" s="15"/>
      <c r="D28" s="1"/>
      <c r="E28" s="1"/>
      <c r="F28" s="1"/>
      <c r="G28" s="2">
        <v>3500.0</v>
      </c>
      <c r="H28" s="99" t="s">
        <v>480</v>
      </c>
    </row>
    <row r="29" ht="15.75" customHeight="1">
      <c r="A29" s="1"/>
      <c r="B29" s="97" t="s">
        <v>3382</v>
      </c>
      <c r="C29" s="15"/>
      <c r="D29" s="1"/>
      <c r="E29" s="1"/>
      <c r="F29" s="1"/>
      <c r="G29" s="2">
        <v>19000.0</v>
      </c>
      <c r="H29" s="99" t="s">
        <v>480</v>
      </c>
    </row>
    <row r="30" ht="15.75" customHeight="1">
      <c r="A30" s="1"/>
      <c r="B30" s="97" t="s">
        <v>3383</v>
      </c>
      <c r="C30" s="15"/>
      <c r="D30" s="1"/>
      <c r="E30" s="1"/>
      <c r="F30" s="1"/>
      <c r="G30" s="2">
        <v>8000.0</v>
      </c>
      <c r="H30" s="99" t="s">
        <v>480</v>
      </c>
    </row>
    <row r="31" ht="15.75" customHeight="1">
      <c r="A31" s="1"/>
      <c r="B31" s="97" t="s">
        <v>3384</v>
      </c>
      <c r="C31" s="15"/>
      <c r="D31" s="1"/>
      <c r="E31" s="1"/>
      <c r="F31" s="1"/>
      <c r="G31" s="2">
        <v>15000.0</v>
      </c>
      <c r="H31" s="99" t="s">
        <v>480</v>
      </c>
    </row>
    <row r="32" ht="15.75" customHeight="1">
      <c r="A32" s="1"/>
      <c r="B32" s="97" t="s">
        <v>3385</v>
      </c>
      <c r="C32" s="15"/>
      <c r="D32" s="1"/>
      <c r="E32" s="1"/>
      <c r="F32" s="1"/>
      <c r="G32" s="2">
        <v>35000.0</v>
      </c>
      <c r="H32" s="99" t="s">
        <v>1585</v>
      </c>
    </row>
    <row r="33" ht="15.75" customHeight="1">
      <c r="A33" s="1"/>
      <c r="B33" s="97" t="s">
        <v>3386</v>
      </c>
      <c r="C33" s="15"/>
      <c r="D33" s="1"/>
      <c r="E33" s="1"/>
      <c r="F33" s="1"/>
      <c r="G33" s="2">
        <v>425000.0</v>
      </c>
      <c r="H33" s="99" t="s">
        <v>480</v>
      </c>
    </row>
    <row r="34" ht="15.75" customHeight="1">
      <c r="A34" s="1"/>
      <c r="B34" s="97" t="s">
        <v>3387</v>
      </c>
      <c r="C34" s="15"/>
      <c r="D34" s="1"/>
      <c r="E34" s="1"/>
      <c r="F34" s="1"/>
      <c r="G34" s="2">
        <v>28000.0</v>
      </c>
      <c r="H34" s="99" t="s">
        <v>480</v>
      </c>
    </row>
    <row r="35" ht="15.75" customHeight="1">
      <c r="A35" s="1"/>
      <c r="B35" s="97" t="s">
        <v>3388</v>
      </c>
      <c r="C35" s="15"/>
      <c r="D35" s="1"/>
      <c r="E35" s="1"/>
      <c r="F35" s="1"/>
      <c r="G35" s="2">
        <v>2000.0</v>
      </c>
      <c r="H35" s="99" t="s">
        <v>480</v>
      </c>
    </row>
    <row r="36" ht="15.75" customHeight="1">
      <c r="A36" s="1"/>
      <c r="B36" s="97" t="s">
        <v>3389</v>
      </c>
      <c r="C36" s="15"/>
      <c r="D36" s="1"/>
      <c r="E36" s="1"/>
      <c r="F36" s="1"/>
      <c r="G36" s="2">
        <v>3500.0</v>
      </c>
      <c r="H36" s="99" t="s">
        <v>480</v>
      </c>
    </row>
    <row r="37" ht="15.75" customHeight="1">
      <c r="A37" s="1"/>
      <c r="B37" s="97" t="s">
        <v>3390</v>
      </c>
      <c r="C37" s="15"/>
      <c r="D37" s="1"/>
      <c r="E37" s="1"/>
      <c r="F37" s="1"/>
      <c r="G37" s="2">
        <v>6000.0</v>
      </c>
      <c r="H37" s="99" t="s">
        <v>480</v>
      </c>
    </row>
    <row r="38" ht="15.75" customHeight="1">
      <c r="A38" s="1"/>
      <c r="B38" s="97" t="s">
        <v>3391</v>
      </c>
      <c r="C38" s="15"/>
      <c r="D38" s="1"/>
      <c r="E38" s="1"/>
      <c r="F38" s="1"/>
      <c r="G38" s="2">
        <v>2200.0</v>
      </c>
      <c r="H38" s="99" t="s">
        <v>480</v>
      </c>
    </row>
    <row r="39" ht="15.75" customHeight="1">
      <c r="A39" s="1"/>
      <c r="B39" s="97" t="s">
        <v>3392</v>
      </c>
      <c r="C39" s="15"/>
      <c r="D39" s="1"/>
      <c r="E39" s="1"/>
      <c r="F39" s="1"/>
      <c r="G39" s="2">
        <v>60000.0</v>
      </c>
      <c r="H39" s="99" t="s">
        <v>480</v>
      </c>
    </row>
    <row r="40" ht="15.75" customHeight="1">
      <c r="A40" s="1"/>
      <c r="B40" s="97" t="s">
        <v>3393</v>
      </c>
      <c r="C40" s="15"/>
      <c r="D40" s="1"/>
      <c r="E40" s="1"/>
      <c r="F40" s="1"/>
      <c r="G40" s="2">
        <v>21000.0</v>
      </c>
      <c r="H40" s="99" t="s">
        <v>480</v>
      </c>
    </row>
    <row r="41" ht="15.75" customHeight="1">
      <c r="A41" s="1"/>
      <c r="B41" s="97" t="s">
        <v>3394</v>
      </c>
      <c r="C41" s="15"/>
      <c r="D41" s="1"/>
      <c r="E41" s="1"/>
      <c r="F41" s="1"/>
      <c r="G41" s="2">
        <v>38000.0</v>
      </c>
      <c r="H41" s="99" t="s">
        <v>480</v>
      </c>
    </row>
    <row r="42" ht="15.75" customHeight="1">
      <c r="A42" s="1"/>
      <c r="B42" s="97" t="s">
        <v>3395</v>
      </c>
      <c r="C42" s="15"/>
      <c r="D42" s="1"/>
      <c r="E42" s="1"/>
      <c r="F42" s="1"/>
      <c r="G42" s="2">
        <v>4168.0</v>
      </c>
      <c r="H42" s="99" t="s">
        <v>480</v>
      </c>
    </row>
    <row r="43" ht="15.75" customHeight="1">
      <c r="A43" s="1"/>
      <c r="B43" s="97" t="s">
        <v>3396</v>
      </c>
      <c r="C43" s="15"/>
      <c r="D43" s="1"/>
      <c r="E43" s="1"/>
      <c r="F43" s="1"/>
      <c r="G43" s="2">
        <v>14000.0</v>
      </c>
      <c r="H43" s="99" t="s">
        <v>480</v>
      </c>
    </row>
    <row r="44" ht="15.75" customHeight="1">
      <c r="A44" s="1"/>
      <c r="B44" s="97" t="s">
        <v>3397</v>
      </c>
      <c r="C44" s="15"/>
      <c r="D44" s="1"/>
      <c r="E44" s="1"/>
      <c r="F44" s="1"/>
      <c r="G44" s="2">
        <v>44500.0</v>
      </c>
      <c r="H44" s="99" t="s">
        <v>480</v>
      </c>
    </row>
    <row r="45" ht="15.75" customHeight="1">
      <c r="A45" s="1"/>
      <c r="B45" s="97" t="s">
        <v>3398</v>
      </c>
      <c r="C45" s="15"/>
      <c r="D45" s="1"/>
      <c r="E45" s="1"/>
      <c r="F45" s="1"/>
      <c r="G45" s="2">
        <v>2000.0</v>
      </c>
      <c r="H45" s="99" t="s">
        <v>480</v>
      </c>
    </row>
    <row r="46" ht="15.75" customHeight="1">
      <c r="A46" s="1"/>
      <c r="B46" s="97" t="s">
        <v>3399</v>
      </c>
      <c r="C46" s="15"/>
      <c r="D46" s="1"/>
      <c r="E46" s="1"/>
      <c r="F46" s="1"/>
      <c r="G46" s="2">
        <v>16000.0</v>
      </c>
      <c r="H46" s="99" t="s">
        <v>1585</v>
      </c>
    </row>
    <row r="47" ht="15.75" customHeight="1">
      <c r="A47" s="1"/>
      <c r="B47" s="97" t="s">
        <v>3400</v>
      </c>
      <c r="C47" s="15"/>
      <c r="D47" s="1"/>
      <c r="E47" s="1"/>
      <c r="F47" s="1"/>
      <c r="G47" s="2">
        <v>1883.0</v>
      </c>
      <c r="H47" s="99" t="s">
        <v>480</v>
      </c>
    </row>
    <row r="48" ht="15.75" customHeight="1">
      <c r="A48" s="1"/>
      <c r="B48" s="97" t="s">
        <v>3401</v>
      </c>
      <c r="C48" s="15"/>
      <c r="D48" s="1"/>
      <c r="E48" s="1"/>
      <c r="F48" s="1"/>
      <c r="G48" s="2">
        <v>20000.0</v>
      </c>
      <c r="H48" s="99" t="s">
        <v>480</v>
      </c>
    </row>
    <row r="49" ht="15.75" customHeight="1">
      <c r="A49" s="1"/>
      <c r="B49" s="97" t="s">
        <v>3402</v>
      </c>
      <c r="C49" s="15"/>
      <c r="D49" s="1"/>
      <c r="E49" s="1"/>
      <c r="F49" s="1"/>
      <c r="G49" s="2">
        <v>130000.0</v>
      </c>
      <c r="H49" s="99" t="s">
        <v>480</v>
      </c>
    </row>
    <row r="50" ht="15.75" customHeight="1">
      <c r="A50" s="1"/>
      <c r="B50" s="97" t="s">
        <v>3403</v>
      </c>
      <c r="C50" s="15"/>
      <c r="D50" s="1"/>
      <c r="E50" s="1"/>
      <c r="F50" s="1"/>
      <c r="G50" s="2">
        <v>29875.0</v>
      </c>
      <c r="H50" s="99" t="s">
        <v>46</v>
      </c>
    </row>
    <row r="51" ht="15.75" customHeight="1">
      <c r="A51" s="1"/>
      <c r="B51" s="97" t="s">
        <v>3404</v>
      </c>
      <c r="C51" s="15"/>
      <c r="D51" s="1"/>
      <c r="E51" s="1"/>
      <c r="F51" s="1"/>
      <c r="G51" s="2">
        <v>1000.0</v>
      </c>
      <c r="H51" s="99" t="s">
        <v>480</v>
      </c>
    </row>
    <row r="52" ht="15.75" customHeight="1">
      <c r="A52" s="1"/>
      <c r="B52" s="97" t="s">
        <v>3405</v>
      </c>
      <c r="C52" s="15"/>
      <c r="D52" s="1"/>
      <c r="E52" s="1"/>
      <c r="F52" s="1"/>
      <c r="G52" s="2">
        <v>130000.0</v>
      </c>
      <c r="H52" s="99" t="s">
        <v>480</v>
      </c>
    </row>
    <row r="53" ht="15.75" customHeight="1">
      <c r="A53" s="1"/>
      <c r="B53" s="97" t="s">
        <v>3406</v>
      </c>
      <c r="C53" s="15"/>
      <c r="D53" s="1"/>
      <c r="E53" s="1"/>
      <c r="F53" s="1"/>
      <c r="G53" s="2">
        <v>121000.0</v>
      </c>
      <c r="H53" s="99" t="s">
        <v>2139</v>
      </c>
    </row>
    <row r="54" ht="15.75" customHeight="1">
      <c r="A54" s="1"/>
      <c r="B54" s="97" t="s">
        <v>3395</v>
      </c>
      <c r="C54" s="15"/>
      <c r="D54" s="1"/>
      <c r="E54" s="1"/>
      <c r="F54" s="1"/>
      <c r="G54" s="2">
        <v>4155.0</v>
      </c>
      <c r="H54" s="99" t="s">
        <v>480</v>
      </c>
    </row>
    <row r="55" ht="15.75" customHeight="1">
      <c r="A55" s="1"/>
      <c r="B55" s="97" t="s">
        <v>3407</v>
      </c>
      <c r="C55" s="15"/>
      <c r="D55" s="1"/>
      <c r="E55" s="1"/>
      <c r="F55" s="1"/>
      <c r="G55" s="2">
        <v>15000.0</v>
      </c>
      <c r="H55" s="99" t="s">
        <v>480</v>
      </c>
    </row>
    <row r="56" ht="15.75" customHeight="1">
      <c r="A56" s="1"/>
      <c r="B56" s="97" t="s">
        <v>3380</v>
      </c>
      <c r="C56" s="15"/>
      <c r="D56" s="1"/>
      <c r="E56" s="1"/>
      <c r="F56" s="1"/>
      <c r="G56" s="2">
        <v>7500.0</v>
      </c>
      <c r="H56" s="99" t="s">
        <v>480</v>
      </c>
    </row>
    <row r="57" ht="15.75" customHeight="1">
      <c r="A57" s="1"/>
      <c r="B57" s="97" t="s">
        <v>3408</v>
      </c>
      <c r="C57" s="15"/>
      <c r="D57" s="1"/>
      <c r="E57" s="1"/>
      <c r="F57" s="1"/>
      <c r="G57" s="2">
        <v>2100.0</v>
      </c>
      <c r="H57" s="99" t="s">
        <v>480</v>
      </c>
    </row>
    <row r="58" ht="15.75" customHeight="1">
      <c r="A58" s="1"/>
      <c r="B58" s="97" t="s">
        <v>3409</v>
      </c>
      <c r="C58" s="15"/>
      <c r="D58" s="1"/>
      <c r="E58" s="1"/>
      <c r="F58" s="1"/>
      <c r="G58" s="2">
        <v>3000.0</v>
      </c>
      <c r="H58" s="99" t="s">
        <v>480</v>
      </c>
    </row>
    <row r="59" ht="15.75" customHeight="1">
      <c r="A59" s="1"/>
      <c r="B59" s="97" t="s">
        <v>3410</v>
      </c>
      <c r="C59" s="15"/>
      <c r="D59" s="1"/>
      <c r="E59" s="1"/>
      <c r="F59" s="1"/>
      <c r="G59" s="2">
        <v>9000.0</v>
      </c>
      <c r="H59" s="99" t="s">
        <v>480</v>
      </c>
    </row>
    <row r="60" ht="15.75" customHeight="1">
      <c r="A60" s="1"/>
      <c r="B60" s="97" t="s">
        <v>3390</v>
      </c>
      <c r="C60" s="15"/>
      <c r="D60" s="1"/>
      <c r="E60" s="1"/>
      <c r="F60" s="1"/>
      <c r="G60" s="2">
        <v>4000.0</v>
      </c>
      <c r="H60" s="99" t="s">
        <v>1585</v>
      </c>
    </row>
    <row r="61" ht="15.75" customHeight="1">
      <c r="A61" s="1"/>
      <c r="B61" s="97" t="s">
        <v>3411</v>
      </c>
      <c r="C61" s="15"/>
      <c r="D61" s="1"/>
      <c r="E61" s="1"/>
      <c r="F61" s="1"/>
      <c r="G61" s="2">
        <v>10000.0</v>
      </c>
      <c r="H61" s="99" t="s">
        <v>480</v>
      </c>
    </row>
    <row r="62" ht="15.75" customHeight="1">
      <c r="A62" s="1"/>
      <c r="B62" s="97" t="s">
        <v>3412</v>
      </c>
      <c r="C62" s="15"/>
      <c r="D62" s="1"/>
      <c r="E62" s="1"/>
      <c r="F62" s="1"/>
      <c r="G62" s="2">
        <v>36400.0</v>
      </c>
      <c r="H62" s="99" t="s">
        <v>480</v>
      </c>
    </row>
    <row r="63" ht="15.75" customHeight="1">
      <c r="A63" s="1"/>
      <c r="B63" s="97" t="s">
        <v>3413</v>
      </c>
      <c r="C63" s="15"/>
      <c r="D63" s="1"/>
      <c r="E63" s="1"/>
      <c r="F63" s="1"/>
      <c r="G63" s="2">
        <v>65250.0</v>
      </c>
      <c r="H63" s="99" t="s">
        <v>480</v>
      </c>
    </row>
    <row r="64" ht="15.75" customHeight="1">
      <c r="A64" s="1"/>
      <c r="B64" s="97" t="s">
        <v>3414</v>
      </c>
      <c r="C64" s="15"/>
      <c r="D64" s="1"/>
      <c r="E64" s="1"/>
      <c r="F64" s="1"/>
      <c r="G64" s="2">
        <v>1386500.0</v>
      </c>
      <c r="H64" s="99" t="s">
        <v>480</v>
      </c>
    </row>
    <row r="65" ht="15.75" customHeight="1">
      <c r="A65" s="1"/>
      <c r="B65" s="97" t="s">
        <v>3415</v>
      </c>
      <c r="C65" s="15"/>
      <c r="D65" s="1"/>
      <c r="E65" s="1"/>
      <c r="F65" s="1"/>
      <c r="G65" s="2">
        <v>150000.0</v>
      </c>
      <c r="H65" s="99" t="s">
        <v>480</v>
      </c>
    </row>
    <row r="66" ht="15.75" customHeight="1">
      <c r="A66" s="1"/>
      <c r="B66" s="43" t="s">
        <v>43</v>
      </c>
      <c r="C66" s="1"/>
      <c r="D66" s="1"/>
      <c r="E66" s="1"/>
      <c r="F66" s="1"/>
      <c r="G66" s="18">
        <f>SUM(G22:G65)</f>
        <v>3119529</v>
      </c>
    </row>
    <row r="67" ht="15.75" customHeight="1">
      <c r="A67" s="1"/>
      <c r="B67" s="19" t="s">
        <v>45</v>
      </c>
      <c r="C67" s="20"/>
      <c r="D67" s="20"/>
      <c r="E67" s="20"/>
      <c r="F67" s="20"/>
      <c r="G67" s="70">
        <f>G20+G66</f>
        <v>4019529</v>
      </c>
    </row>
    <row r="68" ht="15.75" customHeight="1">
      <c r="A68" s="35" t="s">
        <v>3130</v>
      </c>
      <c r="B68" s="36" t="s">
        <v>3301</v>
      </c>
      <c r="C68" s="37"/>
      <c r="D68" s="82"/>
      <c r="E68" s="37"/>
      <c r="F68" s="37"/>
      <c r="G68" s="71">
        <f> G10-G67</f>
        <v>5348726</v>
      </c>
    </row>
    <row r="69" ht="15.75" customHeight="1">
      <c r="A69" s="22" t="s">
        <v>254</v>
      </c>
      <c r="B69" s="43" t="s">
        <v>255</v>
      </c>
      <c r="C69" s="1"/>
      <c r="D69" s="1"/>
      <c r="E69" s="1"/>
      <c r="F69" s="1"/>
      <c r="G69" s="2"/>
    </row>
    <row r="70" ht="15.75" customHeight="1">
      <c r="B70" s="43" t="s">
        <v>3416</v>
      </c>
      <c r="C70" s="1"/>
      <c r="D70" s="1"/>
      <c r="E70" s="1"/>
      <c r="F70" s="1"/>
      <c r="G70" s="2">
        <v>500000.0</v>
      </c>
    </row>
    <row r="71" ht="15.75" customHeight="1">
      <c r="B71" s="98" t="s">
        <v>3417</v>
      </c>
      <c r="G71" s="2">
        <v>475000.0</v>
      </c>
    </row>
    <row r="72" ht="15.75" customHeight="1">
      <c r="A72" s="22"/>
      <c r="B72" s="43" t="s">
        <v>3418</v>
      </c>
      <c r="C72" s="1"/>
      <c r="D72" s="1"/>
      <c r="E72" s="1"/>
      <c r="F72" s="1"/>
      <c r="G72" s="2">
        <v>1108335.0</v>
      </c>
    </row>
    <row r="73" ht="15.75" customHeight="1">
      <c r="A73" s="22"/>
      <c r="B73" s="43" t="s">
        <v>3363</v>
      </c>
      <c r="C73" s="1"/>
      <c r="D73" s="1"/>
      <c r="E73" s="1"/>
      <c r="F73" s="1"/>
      <c r="G73" s="2">
        <v>1500000.0</v>
      </c>
    </row>
    <row r="74" ht="15.75" customHeight="1">
      <c r="A74" s="22"/>
      <c r="B74" s="72" t="s">
        <v>51</v>
      </c>
      <c r="C74" s="27"/>
      <c r="D74" s="27"/>
      <c r="E74" s="27"/>
      <c r="F74" s="27"/>
      <c r="G74" s="81">
        <f>SUM(G70:G73)</f>
        <v>3583335</v>
      </c>
    </row>
    <row r="75" ht="15.75" customHeight="1">
      <c r="A75" s="22"/>
      <c r="B75" s="91" t="s">
        <v>3419</v>
      </c>
      <c r="C75" s="45"/>
      <c r="D75" s="45"/>
      <c r="E75" s="46"/>
      <c r="F75" s="46"/>
      <c r="G75" s="92">
        <f>F2+G68-G74</f>
        <v>7734889</v>
      </c>
    </row>
    <row r="76" ht="15.75" customHeight="1">
      <c r="A76" s="22"/>
      <c r="B76" s="32" t="s">
        <v>3365</v>
      </c>
    </row>
    <row r="77" ht="15.75" customHeight="1">
      <c r="A77" s="44"/>
      <c r="B77" s="1"/>
      <c r="C77" s="1" t="s">
        <v>3217</v>
      </c>
      <c r="D77" s="1"/>
      <c r="E77" s="1"/>
      <c r="F77" s="1"/>
      <c r="G77" s="38">
        <v>13800.0</v>
      </c>
    </row>
    <row r="78" ht="15.75" customHeight="1">
      <c r="A78" s="44"/>
      <c r="B78" s="1"/>
      <c r="C78" s="1" t="s">
        <v>3218</v>
      </c>
      <c r="D78" s="1"/>
      <c r="E78" s="1"/>
      <c r="F78" s="1"/>
      <c r="G78" s="38">
        <v>2449750.0</v>
      </c>
    </row>
    <row r="79" ht="15.75" customHeight="1">
      <c r="A79" s="1"/>
      <c r="B79" s="1"/>
      <c r="C79" s="43" t="s">
        <v>115</v>
      </c>
      <c r="D79" s="1"/>
      <c r="E79" s="1"/>
      <c r="F79" s="1"/>
      <c r="G79" s="38">
        <f>G77+G78</f>
        <v>2463550</v>
      </c>
    </row>
    <row r="80" ht="15.75" customHeight="1">
      <c r="A80" s="43" t="s">
        <v>3420</v>
      </c>
      <c r="B80" s="43"/>
      <c r="C80" s="43"/>
      <c r="D80" s="1"/>
      <c r="E80" s="1"/>
      <c r="F80" s="1"/>
      <c r="G80" s="1"/>
    </row>
    <row r="81" ht="15.75" customHeight="1">
      <c r="A81" s="43" t="s">
        <v>3421</v>
      </c>
      <c r="B81" s="33"/>
      <c r="C81" s="1"/>
      <c r="D81" s="1"/>
      <c r="E81" s="1"/>
      <c r="F81" s="1"/>
      <c r="G81" s="2"/>
    </row>
    <row r="82" ht="15.75" customHeight="1">
      <c r="A82" s="43" t="s">
        <v>3422</v>
      </c>
      <c r="B82" s="56"/>
      <c r="C82" s="56"/>
      <c r="D82" s="56"/>
      <c r="F82" s="93"/>
      <c r="G82" s="55"/>
    </row>
    <row r="83" ht="15.75" customHeight="1">
      <c r="A83" s="43" t="s">
        <v>3309</v>
      </c>
      <c r="B83" s="56"/>
      <c r="C83" s="56"/>
      <c r="D83" s="56"/>
      <c r="F83" s="93"/>
      <c r="G83" s="55"/>
    </row>
    <row r="84" ht="15.75" customHeight="1">
      <c r="A84" s="96" t="s">
        <v>3423</v>
      </c>
      <c r="B84" s="55"/>
      <c r="C84" s="55"/>
      <c r="D84" s="55"/>
      <c r="G84" s="55"/>
    </row>
    <row r="85" ht="15.75" customHeight="1">
      <c r="A85" s="55" t="s">
        <v>3054</v>
      </c>
      <c r="B85" s="55"/>
      <c r="C85" s="55"/>
      <c r="D85" s="55"/>
      <c r="F85" s="93" t="s">
        <v>3227</v>
      </c>
      <c r="G85" s="77"/>
    </row>
    <row r="86" ht="15.75" customHeight="1">
      <c r="A86" s="55"/>
      <c r="B86" s="55"/>
      <c r="C86" s="55"/>
      <c r="D86" s="55"/>
    </row>
    <row r="87" ht="15.75" customHeight="1">
      <c r="A87" s="55" t="s">
        <v>3055</v>
      </c>
      <c r="B87" s="94"/>
      <c r="F87" s="93" t="s">
        <v>3311</v>
      </c>
      <c r="G87" s="77"/>
    </row>
    <row r="88" ht="15.75" customHeight="1">
      <c r="A88" s="55"/>
      <c r="B88" s="94"/>
      <c r="F88" s="93"/>
    </row>
    <row r="89" ht="15.75" customHeight="1">
      <c r="A89" s="55" t="s">
        <v>3224</v>
      </c>
      <c r="F89" s="93" t="s">
        <v>3312</v>
      </c>
    </row>
    <row r="90" ht="15.75" customHeight="1">
      <c r="A90" s="55"/>
      <c r="F90" s="93"/>
    </row>
    <row r="91" ht="15.75" customHeight="1">
      <c r="A91" s="55" t="s">
        <v>3057</v>
      </c>
      <c r="F91" s="67" t="s">
        <v>3424</v>
      </c>
    </row>
    <row r="92" ht="15.75" customHeight="1">
      <c r="A92" s="55"/>
    </row>
    <row r="93" ht="15.75" customHeight="1">
      <c r="A93" s="94" t="s">
        <v>3313</v>
      </c>
    </row>
    <row r="94" ht="15.75" customHeight="1">
      <c r="A94" s="55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E2"/>
    <mergeCell ref="F2:G2"/>
    <mergeCell ref="A9:B9"/>
    <mergeCell ref="B10:F10"/>
    <mergeCell ref="B71:F71"/>
    <mergeCell ref="B76:G76"/>
  </mergeCells>
  <printOptions/>
  <pageMargins bottom="0.75" footer="0.0" header="0.0" left="0.25" right="0.25" top="0.75"/>
  <pageSetup paperSize="9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9.14"/>
    <col customWidth="1" min="9" max="26" width="10.71"/>
  </cols>
  <sheetData>
    <row r="1" ht="24.75" customHeight="1">
      <c r="A1" s="1" t="s">
        <v>721</v>
      </c>
      <c r="B1" s="3" t="s">
        <v>3425</v>
      </c>
      <c r="C1" s="3"/>
      <c r="D1" s="3"/>
      <c r="E1" s="3"/>
      <c r="F1" s="3"/>
      <c r="G1" s="3"/>
    </row>
    <row r="2" ht="18.75" customHeight="1">
      <c r="A2" s="75" t="s">
        <v>3426</v>
      </c>
      <c r="G2" s="87">
        <v>7734889.0</v>
      </c>
      <c r="H2" s="53"/>
    </row>
    <row r="3">
      <c r="A3" s="6" t="s">
        <v>3427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3429</v>
      </c>
      <c r="C4" s="1"/>
      <c r="D4" s="2">
        <v>0.0</v>
      </c>
      <c r="E4" s="2">
        <v>60000.0</v>
      </c>
      <c r="F4" s="2">
        <v>15000.0</v>
      </c>
      <c r="G4" s="7">
        <v>317000.0</v>
      </c>
      <c r="H4" s="60">
        <v>40000.0</v>
      </c>
    </row>
    <row r="5">
      <c r="A5" s="1"/>
      <c r="B5" s="4" t="s">
        <v>64</v>
      </c>
      <c r="C5" s="1"/>
      <c r="D5" s="2">
        <v>163500.0</v>
      </c>
      <c r="E5" s="2">
        <v>189000.0</v>
      </c>
      <c r="F5" s="2">
        <v>222500.0</v>
      </c>
      <c r="G5" s="7">
        <v>1541150.0</v>
      </c>
      <c r="H5" s="2">
        <v>295000.0</v>
      </c>
    </row>
    <row r="6">
      <c r="A6" s="1"/>
      <c r="B6" s="4" t="s">
        <v>65</v>
      </c>
      <c r="C6" s="1"/>
      <c r="D6" s="2">
        <v>184000.0</v>
      </c>
      <c r="E6" s="2">
        <v>161000.0</v>
      </c>
      <c r="F6" s="2">
        <v>215000.0</v>
      </c>
      <c r="G6" s="7">
        <v>1529800.0</v>
      </c>
      <c r="H6" s="2">
        <v>170000.0</v>
      </c>
    </row>
    <row r="7">
      <c r="A7" s="1"/>
      <c r="B7" s="4" t="s">
        <v>66</v>
      </c>
      <c r="C7" s="1"/>
      <c r="D7" s="2">
        <v>94500.0</v>
      </c>
      <c r="E7" s="2">
        <v>148000.0</v>
      </c>
      <c r="F7" s="2">
        <v>135000.0</v>
      </c>
      <c r="G7" s="76">
        <v>1177400.0</v>
      </c>
      <c r="H7" s="2">
        <v>184000.0</v>
      </c>
      <c r="J7" s="60"/>
    </row>
    <row r="8">
      <c r="A8" s="1"/>
      <c r="B8" s="4" t="s">
        <v>3371</v>
      </c>
      <c r="C8" s="1"/>
      <c r="D8" s="2">
        <v>58000.0</v>
      </c>
      <c r="E8" s="2">
        <v>101000.0</v>
      </c>
      <c r="F8" s="2">
        <v>22500.0</v>
      </c>
      <c r="G8" s="76">
        <v>953150.0</v>
      </c>
      <c r="H8" s="2">
        <v>153000.0</v>
      </c>
    </row>
    <row r="9">
      <c r="A9" s="50" t="s">
        <v>405</v>
      </c>
      <c r="D9" s="60">
        <f t="shared" ref="D9:H9" si="1">SUM(D4:D8)</f>
        <v>500000</v>
      </c>
      <c r="E9" s="60">
        <f t="shared" si="1"/>
        <v>659000</v>
      </c>
      <c r="F9" s="60">
        <f t="shared" si="1"/>
        <v>610000</v>
      </c>
      <c r="G9" s="60">
        <f t="shared" si="1"/>
        <v>5518500</v>
      </c>
      <c r="H9" s="60">
        <f t="shared" si="1"/>
        <v>842000</v>
      </c>
    </row>
    <row r="10">
      <c r="A10" s="1"/>
      <c r="B10" s="51" t="s">
        <v>9</v>
      </c>
      <c r="C10" s="52"/>
      <c r="D10" s="52"/>
      <c r="E10" s="52"/>
      <c r="F10" s="53"/>
      <c r="G10" s="100">
        <f>SUM(D9:H9)</f>
        <v>8129500</v>
      </c>
      <c r="H10" s="53"/>
    </row>
    <row r="11">
      <c r="A11" s="6" t="s">
        <v>3430</v>
      </c>
      <c r="B11" s="1"/>
      <c r="C11" s="1"/>
      <c r="D11" s="1"/>
      <c r="E11" s="1"/>
      <c r="F11" s="1"/>
      <c r="G11" s="2" t="s">
        <v>480</v>
      </c>
    </row>
    <row r="12">
      <c r="A12" s="1"/>
      <c r="B12" s="12" t="s">
        <v>3373</v>
      </c>
      <c r="C12" s="1"/>
      <c r="D12" s="1"/>
      <c r="E12" s="1"/>
      <c r="F12" s="1"/>
      <c r="G12" s="2"/>
    </row>
    <row r="13">
      <c r="A13" s="1"/>
      <c r="B13" s="4" t="s">
        <v>3233</v>
      </c>
      <c r="C13" s="1"/>
      <c r="D13" s="1"/>
      <c r="E13" s="1"/>
      <c r="F13" s="1"/>
      <c r="H13" s="77">
        <v>110000.0</v>
      </c>
    </row>
    <row r="14">
      <c r="A14" s="1"/>
      <c r="B14" s="4" t="s">
        <v>3234</v>
      </c>
      <c r="C14" s="1"/>
      <c r="D14" s="1"/>
      <c r="E14" s="1"/>
      <c r="F14" s="1"/>
      <c r="H14" s="77">
        <v>200000.0</v>
      </c>
    </row>
    <row r="15">
      <c r="A15" s="1"/>
      <c r="B15" s="4" t="s">
        <v>3318</v>
      </c>
      <c r="C15" s="1"/>
      <c r="D15" s="1"/>
      <c r="E15" s="1"/>
      <c r="F15" s="1"/>
      <c r="H15" s="77">
        <v>100000.0</v>
      </c>
    </row>
    <row r="16">
      <c r="A16" s="1"/>
      <c r="B16" s="4" t="s">
        <v>3150</v>
      </c>
      <c r="C16" s="1"/>
      <c r="D16" s="1"/>
      <c r="E16" s="1"/>
      <c r="F16" s="1"/>
      <c r="H16" s="77">
        <v>80000.0</v>
      </c>
    </row>
    <row r="17">
      <c r="A17" s="1"/>
      <c r="B17" s="4" t="s">
        <v>3236</v>
      </c>
      <c r="C17" s="1"/>
      <c r="D17" s="1"/>
      <c r="E17" s="1"/>
      <c r="F17" s="1"/>
      <c r="H17" s="77">
        <v>100000.0</v>
      </c>
    </row>
    <row r="18">
      <c r="A18" s="1"/>
      <c r="B18" s="4" t="s">
        <v>3237</v>
      </c>
      <c r="C18" s="1"/>
      <c r="D18" s="1"/>
      <c r="E18" s="1"/>
      <c r="F18" s="1"/>
      <c r="H18" s="77">
        <v>150000.0</v>
      </c>
    </row>
    <row r="19">
      <c r="A19" s="1"/>
      <c r="B19" s="4" t="s">
        <v>3238</v>
      </c>
      <c r="C19" s="1"/>
      <c r="D19" s="1"/>
      <c r="E19" s="1"/>
      <c r="F19" s="1"/>
      <c r="H19" s="77">
        <v>150000.0</v>
      </c>
    </row>
    <row r="20">
      <c r="A20" s="1"/>
      <c r="B20" s="4" t="s">
        <v>3431</v>
      </c>
      <c r="C20" s="1"/>
      <c r="D20" s="1"/>
      <c r="E20" s="1"/>
      <c r="F20" s="1"/>
      <c r="H20" s="77">
        <v>70000.0</v>
      </c>
    </row>
    <row r="21" ht="15.75" customHeight="1">
      <c r="A21" s="1"/>
      <c r="B21" s="9" t="s">
        <v>3432</v>
      </c>
      <c r="C21" s="10"/>
      <c r="D21" s="10"/>
      <c r="E21" s="10"/>
      <c r="F21" s="10"/>
      <c r="G21" s="101">
        <f>SUM(H13:H20)</f>
        <v>960000</v>
      </c>
      <c r="H21" s="53"/>
    </row>
    <row r="22" ht="15.75" customHeight="1">
      <c r="A22" s="1"/>
      <c r="B22" s="12" t="s">
        <v>19</v>
      </c>
      <c r="C22" s="15"/>
      <c r="D22" s="1"/>
      <c r="E22" s="1"/>
      <c r="F22" s="1"/>
    </row>
    <row r="23" ht="15.75" customHeight="1">
      <c r="A23" s="1"/>
      <c r="B23" s="4" t="s">
        <v>3433</v>
      </c>
      <c r="C23" s="15"/>
      <c r="D23" s="1"/>
      <c r="E23" s="1"/>
      <c r="F23" s="1"/>
      <c r="H23" s="2">
        <v>39000.0</v>
      </c>
    </row>
    <row r="24" ht="15.75" customHeight="1">
      <c r="A24" s="1"/>
      <c r="B24" s="4" t="s">
        <v>3434</v>
      </c>
      <c r="C24" s="15"/>
      <c r="D24" s="1"/>
      <c r="E24" s="1"/>
      <c r="F24" s="1"/>
      <c r="H24" s="2">
        <v>20000.0</v>
      </c>
    </row>
    <row r="25" ht="15.75" customHeight="1">
      <c r="A25" s="1"/>
      <c r="B25" s="4" t="s">
        <v>3435</v>
      </c>
      <c r="C25" s="15"/>
      <c r="D25" s="1"/>
      <c r="E25" s="1"/>
      <c r="F25" s="1"/>
      <c r="H25" s="2">
        <v>37080.0</v>
      </c>
    </row>
    <row r="26" ht="15.75" customHeight="1">
      <c r="A26" s="1"/>
      <c r="B26" s="4" t="s">
        <v>3436</v>
      </c>
      <c r="C26" s="15"/>
      <c r="D26" s="1"/>
      <c r="E26" s="1"/>
      <c r="F26" s="1"/>
      <c r="H26" s="2">
        <v>15000.0</v>
      </c>
    </row>
    <row r="27" ht="15.75" customHeight="1">
      <c r="A27" s="1"/>
      <c r="B27" s="4" t="s">
        <v>3437</v>
      </c>
      <c r="C27" s="15"/>
      <c r="D27" s="1"/>
      <c r="E27" s="1"/>
      <c r="F27" s="1"/>
      <c r="H27" s="2">
        <v>69000.0</v>
      </c>
    </row>
    <row r="28" ht="15.75" customHeight="1">
      <c r="A28" s="1"/>
      <c r="B28" s="4" t="s">
        <v>3438</v>
      </c>
      <c r="C28" s="15"/>
      <c r="D28" s="1"/>
      <c r="E28" s="1"/>
      <c r="F28" s="1"/>
      <c r="H28" s="2">
        <v>47500.0</v>
      </c>
    </row>
    <row r="29" ht="15.75" customHeight="1">
      <c r="A29" s="1"/>
      <c r="B29" s="4" t="s">
        <v>3439</v>
      </c>
      <c r="C29" s="15"/>
      <c r="D29" s="1"/>
      <c r="E29" s="1"/>
      <c r="F29" s="1"/>
      <c r="H29" s="2">
        <v>7000.0</v>
      </c>
    </row>
    <row r="30" ht="15.75" customHeight="1">
      <c r="A30" s="1"/>
      <c r="B30" s="4" t="s">
        <v>3440</v>
      </c>
      <c r="C30" s="15"/>
      <c r="D30" s="1"/>
      <c r="E30" s="1"/>
      <c r="F30" s="1"/>
      <c r="H30" s="2">
        <v>38350.0</v>
      </c>
    </row>
    <row r="31" ht="15.75" customHeight="1">
      <c r="A31" s="1"/>
      <c r="B31" s="4" t="s">
        <v>3441</v>
      </c>
      <c r="C31" s="15"/>
      <c r="D31" s="1"/>
      <c r="E31" s="1"/>
      <c r="F31" s="1"/>
      <c r="H31" s="2">
        <v>100000.0</v>
      </c>
    </row>
    <row r="32" ht="15.75" customHeight="1">
      <c r="A32" s="1"/>
      <c r="B32" s="4" t="s">
        <v>3442</v>
      </c>
      <c r="C32" s="15"/>
      <c r="D32" s="1"/>
      <c r="E32" s="1"/>
      <c r="F32" s="1"/>
      <c r="H32" s="2">
        <v>3000.0</v>
      </c>
    </row>
    <row r="33" ht="15.75" customHeight="1">
      <c r="A33" s="1"/>
      <c r="B33" s="4" t="s">
        <v>3443</v>
      </c>
      <c r="C33" s="15"/>
      <c r="D33" s="1"/>
      <c r="E33" s="1"/>
      <c r="F33" s="1"/>
      <c r="H33" s="2">
        <v>12340.0</v>
      </c>
    </row>
    <row r="34" ht="15.75" customHeight="1">
      <c r="A34" s="1"/>
      <c r="B34" s="4" t="s">
        <v>3444</v>
      </c>
      <c r="C34" s="15"/>
      <c r="D34" s="1"/>
      <c r="E34" s="1"/>
      <c r="F34" s="1"/>
      <c r="H34" s="2">
        <v>32000.0</v>
      </c>
    </row>
    <row r="35" ht="15.75" customHeight="1">
      <c r="A35" s="1"/>
      <c r="B35" s="4" t="s">
        <v>3445</v>
      </c>
      <c r="C35" s="15"/>
      <c r="D35" s="1"/>
      <c r="E35" s="1"/>
      <c r="F35" s="1"/>
      <c r="H35" s="2">
        <v>121200.0</v>
      </c>
      <c r="I35" s="99" t="s">
        <v>480</v>
      </c>
    </row>
    <row r="36" ht="15.75" customHeight="1">
      <c r="A36" s="1"/>
      <c r="B36" s="4" t="s">
        <v>3266</v>
      </c>
      <c r="C36" s="15"/>
      <c r="D36" s="1"/>
      <c r="E36" s="1"/>
      <c r="F36" s="1"/>
      <c r="H36" s="2">
        <v>5000.0</v>
      </c>
    </row>
    <row r="37" ht="15.75" customHeight="1">
      <c r="A37" s="1"/>
      <c r="B37" s="4" t="s">
        <v>3446</v>
      </c>
      <c r="C37" s="15"/>
      <c r="D37" s="1"/>
      <c r="E37" s="1"/>
      <c r="F37" s="1"/>
      <c r="H37" s="2">
        <v>10000.0</v>
      </c>
    </row>
    <row r="38" ht="15.75" customHeight="1">
      <c r="A38" s="1"/>
      <c r="B38" s="4" t="s">
        <v>2245</v>
      </c>
      <c r="C38" s="15"/>
      <c r="D38" s="1"/>
      <c r="E38" s="1"/>
      <c r="F38" s="1"/>
      <c r="H38" s="2">
        <v>2000.0</v>
      </c>
    </row>
    <row r="39" ht="15.75" customHeight="1">
      <c r="A39" s="1"/>
      <c r="B39" s="4" t="s">
        <v>3447</v>
      </c>
      <c r="C39" s="15"/>
      <c r="D39" s="1"/>
      <c r="E39" s="1"/>
      <c r="F39" s="1"/>
      <c r="H39" s="2">
        <v>30000.0</v>
      </c>
    </row>
    <row r="40" ht="15.75" customHeight="1">
      <c r="A40" s="1"/>
      <c r="B40" s="4" t="s">
        <v>3448</v>
      </c>
      <c r="C40" s="15"/>
      <c r="D40" s="1"/>
      <c r="E40" s="1"/>
      <c r="F40" s="1"/>
      <c r="H40" s="2">
        <v>30000.0</v>
      </c>
    </row>
    <row r="41" ht="15.75" customHeight="1">
      <c r="A41" s="1"/>
      <c r="B41" s="4" t="s">
        <v>3449</v>
      </c>
      <c r="C41" s="15"/>
      <c r="D41" s="1"/>
      <c r="E41" s="1"/>
      <c r="F41" s="1"/>
      <c r="H41" s="2">
        <v>6710.0</v>
      </c>
    </row>
    <row r="42" ht="15.75" customHeight="1">
      <c r="A42" s="1"/>
      <c r="B42" s="4" t="s">
        <v>3450</v>
      </c>
      <c r="C42" s="15"/>
      <c r="D42" s="1"/>
      <c r="E42" s="1"/>
      <c r="F42" s="1"/>
      <c r="H42" s="2">
        <v>10000.0</v>
      </c>
    </row>
    <row r="43" ht="15.75" customHeight="1">
      <c r="A43" s="1"/>
      <c r="B43" s="4" t="s">
        <v>3451</v>
      </c>
      <c r="C43" s="15"/>
      <c r="D43" s="1"/>
      <c r="E43" s="1"/>
      <c r="F43" s="1"/>
      <c r="H43" s="2">
        <v>10000.0</v>
      </c>
    </row>
    <row r="44" ht="15.75" customHeight="1">
      <c r="A44" s="1"/>
      <c r="B44" s="4" t="s">
        <v>3452</v>
      </c>
      <c r="C44" s="15"/>
      <c r="D44" s="1"/>
      <c r="E44" s="1"/>
      <c r="F44" s="1"/>
      <c r="H44" s="2">
        <v>9100.0</v>
      </c>
    </row>
    <row r="45" ht="15.75" customHeight="1">
      <c r="A45" s="1"/>
      <c r="B45" s="4" t="s">
        <v>3453</v>
      </c>
      <c r="C45" s="15"/>
      <c r="D45" s="1"/>
      <c r="E45" s="1"/>
      <c r="F45" s="1"/>
      <c r="H45" s="2">
        <v>8000.0</v>
      </c>
    </row>
    <row r="46" ht="15.75" customHeight="1">
      <c r="A46" s="1"/>
      <c r="B46" s="4" t="s">
        <v>3454</v>
      </c>
      <c r="C46" s="15"/>
      <c r="D46" s="1"/>
      <c r="E46" s="1"/>
      <c r="F46" s="1"/>
      <c r="H46" s="2">
        <v>21500.0</v>
      </c>
    </row>
    <row r="47" ht="15.75" customHeight="1">
      <c r="A47" s="1"/>
      <c r="B47" s="4" t="s">
        <v>3455</v>
      </c>
      <c r="C47" s="15"/>
      <c r="D47" s="1"/>
      <c r="E47" s="1"/>
      <c r="F47" s="1"/>
      <c r="H47" s="2">
        <v>28000.0</v>
      </c>
    </row>
    <row r="48" ht="15.75" customHeight="1">
      <c r="A48" s="1"/>
      <c r="B48" s="4" t="s">
        <v>3456</v>
      </c>
      <c r="C48" s="15"/>
      <c r="D48" s="1"/>
      <c r="E48" s="1"/>
      <c r="F48" s="1"/>
      <c r="H48" s="2">
        <v>20000.0</v>
      </c>
    </row>
    <row r="49" ht="15.75" customHeight="1">
      <c r="A49" s="1"/>
      <c r="B49" s="4" t="s">
        <v>3457</v>
      </c>
      <c r="C49" s="15"/>
      <c r="D49" s="1"/>
      <c r="E49" s="1"/>
      <c r="F49" s="1"/>
      <c r="H49" s="2">
        <v>175000.0</v>
      </c>
    </row>
    <row r="50" ht="15.75" customHeight="1">
      <c r="A50" s="1"/>
      <c r="B50" s="4" t="s">
        <v>3458</v>
      </c>
      <c r="C50" s="15"/>
      <c r="D50" s="1"/>
      <c r="E50" s="1"/>
      <c r="F50" s="1"/>
      <c r="H50" s="2">
        <v>100000.0</v>
      </c>
    </row>
    <row r="51" ht="15.75" customHeight="1">
      <c r="A51" s="1"/>
      <c r="B51" s="4" t="s">
        <v>3459</v>
      </c>
      <c r="C51" s="15"/>
      <c r="D51" s="1"/>
      <c r="E51" s="1"/>
      <c r="F51" s="1"/>
      <c r="H51" s="2">
        <v>10000.0</v>
      </c>
    </row>
    <row r="52" ht="15.75" customHeight="1">
      <c r="A52" s="1"/>
      <c r="B52" s="4" t="s">
        <v>3460</v>
      </c>
      <c r="C52" s="15"/>
      <c r="D52" s="1"/>
      <c r="E52" s="1"/>
      <c r="F52" s="1"/>
      <c r="H52" s="2">
        <v>5000.0</v>
      </c>
    </row>
    <row r="53" ht="15.75" customHeight="1">
      <c r="A53" s="1"/>
      <c r="B53" s="4" t="s">
        <v>3461</v>
      </c>
      <c r="C53" s="15"/>
      <c r="D53" s="1"/>
      <c r="E53" s="1"/>
      <c r="F53" s="1"/>
      <c r="H53" s="2">
        <v>90000.0</v>
      </c>
    </row>
    <row r="54" ht="15.75" customHeight="1">
      <c r="A54" s="1"/>
      <c r="B54" s="4" t="s">
        <v>3462</v>
      </c>
      <c r="C54" s="15"/>
      <c r="D54" s="1"/>
      <c r="E54" s="1"/>
      <c r="F54" s="1"/>
      <c r="H54" s="2">
        <v>74500.0</v>
      </c>
    </row>
    <row r="55" ht="15.75" customHeight="1">
      <c r="A55" s="1"/>
      <c r="B55" s="4" t="s">
        <v>3463</v>
      </c>
      <c r="C55" s="15"/>
      <c r="D55" s="1"/>
      <c r="E55" s="1"/>
      <c r="F55" s="1"/>
      <c r="H55" s="2">
        <v>1500.0</v>
      </c>
      <c r="L55" s="67" t="s">
        <v>480</v>
      </c>
    </row>
    <row r="56" ht="15.75" customHeight="1">
      <c r="A56" s="1"/>
      <c r="B56" s="4" t="s">
        <v>3464</v>
      </c>
      <c r="C56" s="15"/>
      <c r="D56" s="1"/>
      <c r="E56" s="1"/>
      <c r="F56" s="1"/>
      <c r="H56" s="2">
        <v>4200.0</v>
      </c>
    </row>
    <row r="57" ht="15.75" customHeight="1">
      <c r="A57" s="1"/>
      <c r="B57" s="4" t="s">
        <v>3465</v>
      </c>
      <c r="C57" s="15"/>
      <c r="D57" s="1"/>
      <c r="E57" s="1"/>
      <c r="F57" s="1"/>
      <c r="H57" s="2">
        <v>41700.0</v>
      </c>
    </row>
    <row r="58" ht="15.75" customHeight="1">
      <c r="A58" s="1"/>
      <c r="B58" s="4" t="s">
        <v>3466</v>
      </c>
      <c r="C58" s="15"/>
      <c r="D58" s="1"/>
      <c r="E58" s="1"/>
      <c r="F58" s="1"/>
      <c r="H58" s="2">
        <v>160000.0</v>
      </c>
    </row>
    <row r="59" ht="15.75" customHeight="1">
      <c r="A59" s="1"/>
      <c r="B59" s="4" t="s">
        <v>3467</v>
      </c>
      <c r="C59" s="15"/>
      <c r="D59" s="1"/>
      <c r="E59" s="1"/>
      <c r="F59" s="1"/>
      <c r="H59" s="2">
        <v>30000.0</v>
      </c>
    </row>
    <row r="60" ht="15.75" customHeight="1">
      <c r="A60" s="1"/>
      <c r="B60" s="4" t="s">
        <v>3468</v>
      </c>
      <c r="C60" s="15"/>
      <c r="D60" s="1"/>
      <c r="E60" s="1"/>
      <c r="F60" s="1"/>
      <c r="H60" s="2">
        <v>425000.0</v>
      </c>
    </row>
    <row r="61" ht="15.75" customHeight="1">
      <c r="A61" s="1"/>
      <c r="B61" s="4" t="s">
        <v>3469</v>
      </c>
      <c r="C61" s="15"/>
      <c r="D61" s="1"/>
      <c r="E61" s="1"/>
      <c r="F61" s="1"/>
      <c r="H61" s="2">
        <v>6771.0</v>
      </c>
    </row>
    <row r="62" ht="15.75" customHeight="1">
      <c r="A62" s="1"/>
      <c r="B62" s="4" t="s">
        <v>3470</v>
      </c>
      <c r="C62" s="15"/>
      <c r="D62" s="1"/>
      <c r="E62" s="1"/>
      <c r="F62" s="1"/>
      <c r="H62" s="2">
        <v>3000.0</v>
      </c>
    </row>
    <row r="63" ht="15.75" customHeight="1">
      <c r="A63" s="1"/>
      <c r="B63" s="4" t="s">
        <v>3471</v>
      </c>
      <c r="C63" s="15"/>
      <c r="D63" s="1"/>
      <c r="E63" s="1"/>
      <c r="F63" s="1"/>
      <c r="H63" s="2">
        <v>3600.0</v>
      </c>
    </row>
    <row r="64" ht="15.75" customHeight="1">
      <c r="A64" s="1"/>
      <c r="B64" s="1" t="s">
        <v>3472</v>
      </c>
      <c r="C64" s="1"/>
      <c r="D64" s="1"/>
      <c r="E64" s="1"/>
      <c r="F64" s="1"/>
      <c r="H64" s="13">
        <v>7000.0</v>
      </c>
    </row>
    <row r="65" ht="15.75" customHeight="1">
      <c r="A65" s="1"/>
      <c r="B65" s="1" t="s">
        <v>3163</v>
      </c>
      <c r="C65" s="1"/>
      <c r="D65" s="1"/>
      <c r="E65" s="1"/>
      <c r="F65" s="1"/>
      <c r="H65" s="13">
        <v>7500.0</v>
      </c>
    </row>
    <row r="66" ht="15.75" customHeight="1">
      <c r="A66" s="1"/>
      <c r="B66" s="93" t="s">
        <v>3473</v>
      </c>
      <c r="C66" s="93"/>
      <c r="D66" s="93"/>
      <c r="E66" s="93"/>
      <c r="F66" s="1"/>
      <c r="H66" s="13">
        <v>20000.0</v>
      </c>
    </row>
    <row r="67" ht="15.75" customHeight="1">
      <c r="A67" s="1"/>
      <c r="B67" s="93" t="s">
        <v>3474</v>
      </c>
      <c r="C67" s="93"/>
      <c r="D67" s="93"/>
      <c r="E67" s="93"/>
      <c r="F67" s="1"/>
      <c r="H67" s="13">
        <v>33000.0</v>
      </c>
    </row>
    <row r="68" ht="15.75" customHeight="1">
      <c r="A68" s="1"/>
      <c r="B68" s="93" t="s">
        <v>3475</v>
      </c>
      <c r="C68" s="93"/>
      <c r="D68" s="93"/>
      <c r="E68" s="93"/>
      <c r="F68" s="1"/>
      <c r="H68" s="13">
        <v>16000.0</v>
      </c>
    </row>
    <row r="69" ht="15.75" customHeight="1">
      <c r="A69" s="1"/>
      <c r="B69" s="93" t="s">
        <v>3476</v>
      </c>
      <c r="C69" s="93"/>
      <c r="D69" s="93"/>
      <c r="E69" s="93"/>
      <c r="F69" s="1"/>
      <c r="H69" s="13">
        <v>33800.0</v>
      </c>
    </row>
    <row r="70" ht="15.75" customHeight="1">
      <c r="A70" s="1"/>
      <c r="B70" s="93" t="s">
        <v>3477</v>
      </c>
      <c r="C70" s="93"/>
      <c r="D70" s="93"/>
      <c r="E70" s="93"/>
      <c r="F70" s="1"/>
      <c r="H70" s="13">
        <v>58000.0</v>
      </c>
    </row>
    <row r="71" ht="15.75" customHeight="1">
      <c r="A71" s="1"/>
      <c r="B71" s="93" t="s">
        <v>3478</v>
      </c>
      <c r="C71" s="93"/>
      <c r="D71" s="93"/>
      <c r="E71" s="93"/>
      <c r="F71" s="1"/>
      <c r="H71" s="13">
        <v>2689.0</v>
      </c>
    </row>
    <row r="72" ht="15.75" customHeight="1">
      <c r="A72" s="1"/>
      <c r="B72" s="93" t="s">
        <v>3479</v>
      </c>
      <c r="C72" s="93"/>
      <c r="D72" s="93"/>
      <c r="E72" s="93"/>
      <c r="F72" s="1"/>
      <c r="H72" s="13">
        <v>37500.0</v>
      </c>
    </row>
    <row r="73" ht="15.75" customHeight="1">
      <c r="A73" s="1"/>
      <c r="B73" s="93" t="s">
        <v>3480</v>
      </c>
      <c r="C73" s="93"/>
      <c r="D73" s="93"/>
      <c r="E73" s="93"/>
      <c r="F73" s="1"/>
      <c r="H73" s="13">
        <v>43000.0</v>
      </c>
    </row>
    <row r="74" ht="15.75" customHeight="1">
      <c r="A74" s="1"/>
      <c r="B74" s="93" t="s">
        <v>3481</v>
      </c>
      <c r="C74" s="93"/>
      <c r="D74" s="93"/>
      <c r="E74" s="93"/>
      <c r="F74" s="1"/>
      <c r="H74" s="13">
        <v>4800.0</v>
      </c>
    </row>
    <row r="75" ht="15.75" customHeight="1">
      <c r="A75" s="1"/>
      <c r="B75" s="93" t="s">
        <v>3482</v>
      </c>
      <c r="C75" s="93"/>
      <c r="D75" s="93"/>
      <c r="E75" s="93"/>
      <c r="F75" s="1"/>
      <c r="H75" s="13">
        <v>65250.0</v>
      </c>
    </row>
    <row r="76" ht="15.75" customHeight="1">
      <c r="A76" s="1"/>
      <c r="B76" s="3" t="s">
        <v>43</v>
      </c>
      <c r="C76" s="1"/>
      <c r="D76" s="1"/>
      <c r="E76" s="1"/>
      <c r="F76" s="1"/>
      <c r="G76" s="54">
        <f>SUM(H23:H75)</f>
        <v>2190590</v>
      </c>
    </row>
    <row r="77" ht="15.75" customHeight="1">
      <c r="A77" s="1"/>
      <c r="B77" s="19" t="s">
        <v>45</v>
      </c>
      <c r="C77" s="20"/>
      <c r="D77" s="20"/>
      <c r="E77" s="20"/>
      <c r="F77" s="20"/>
      <c r="G77" s="102">
        <f>SUM(G21+G76)</f>
        <v>3150590</v>
      </c>
      <c r="H77" s="53"/>
    </row>
    <row r="78" ht="15.75" customHeight="1">
      <c r="A78" s="35" t="s">
        <v>3130</v>
      </c>
      <c r="B78" s="36" t="s">
        <v>3301</v>
      </c>
      <c r="C78" s="37"/>
      <c r="D78" s="82"/>
      <c r="E78" s="37"/>
      <c r="F78" s="37"/>
      <c r="G78" s="103">
        <f> G10-G77</f>
        <v>4978910</v>
      </c>
      <c r="H78" s="53"/>
    </row>
    <row r="79" ht="15.75" customHeight="1">
      <c r="A79" s="22" t="s">
        <v>254</v>
      </c>
      <c r="B79" s="43" t="s">
        <v>255</v>
      </c>
      <c r="C79" s="1"/>
      <c r="D79" s="1"/>
      <c r="E79" s="1"/>
      <c r="F79" s="1"/>
      <c r="H79" s="2"/>
    </row>
    <row r="80" ht="15.75" customHeight="1">
      <c r="B80" s="98" t="s">
        <v>3483</v>
      </c>
      <c r="H80" s="2">
        <v>475000.0</v>
      </c>
    </row>
    <row r="81" ht="15.75" customHeight="1">
      <c r="B81" s="43" t="s">
        <v>3484</v>
      </c>
      <c r="C81" s="1"/>
      <c r="D81" s="1"/>
      <c r="E81" s="1"/>
      <c r="F81" s="1"/>
      <c r="H81" s="2">
        <v>1108335.0</v>
      </c>
    </row>
    <row r="82" ht="15.75" customHeight="1">
      <c r="A82" s="22"/>
      <c r="B82" s="43" t="s">
        <v>3485</v>
      </c>
      <c r="C82" s="1"/>
      <c r="D82" s="1"/>
      <c r="E82" s="1"/>
      <c r="F82" s="1"/>
      <c r="H82" s="2">
        <v>1500000.0</v>
      </c>
    </row>
    <row r="83" ht="15.75" customHeight="1">
      <c r="A83" s="22"/>
      <c r="B83" s="72" t="s">
        <v>51</v>
      </c>
      <c r="C83" s="27"/>
      <c r="D83" s="27"/>
      <c r="E83" s="27"/>
      <c r="F83" s="27"/>
      <c r="G83" s="104">
        <f>SUM(H80:H82)</f>
        <v>3083335</v>
      </c>
      <c r="H83" s="53"/>
    </row>
    <row r="84" ht="15.75" customHeight="1">
      <c r="A84" s="22"/>
      <c r="B84" s="91" t="s">
        <v>3486</v>
      </c>
      <c r="C84" s="45"/>
      <c r="D84" s="45"/>
      <c r="E84" s="46"/>
      <c r="F84" s="46"/>
      <c r="G84" s="105">
        <f>G2+G78-G83</f>
        <v>9630464</v>
      </c>
      <c r="H84" s="53"/>
    </row>
    <row r="85" ht="15.75" customHeight="1">
      <c r="A85" s="22"/>
      <c r="B85" s="32" t="s">
        <v>3365</v>
      </c>
    </row>
    <row r="86" ht="15.75" customHeight="1">
      <c r="A86" s="22"/>
      <c r="B86" s="1"/>
      <c r="C86" s="1" t="s">
        <v>3217</v>
      </c>
      <c r="D86" s="1"/>
      <c r="E86" s="1"/>
      <c r="F86" s="1"/>
      <c r="H86" s="38">
        <v>0.0</v>
      </c>
    </row>
    <row r="87" ht="18.0" customHeight="1">
      <c r="A87" s="44"/>
      <c r="B87" s="1"/>
      <c r="C87" s="1" t="s">
        <v>3218</v>
      </c>
      <c r="D87" s="1"/>
      <c r="E87" s="1"/>
      <c r="F87" s="1"/>
      <c r="H87" s="38">
        <v>703850.0</v>
      </c>
    </row>
    <row r="88" ht="16.5" customHeight="1">
      <c r="A88" s="44"/>
      <c r="B88" s="1"/>
      <c r="C88" s="43" t="s">
        <v>115</v>
      </c>
      <c r="D88" s="1"/>
      <c r="E88" s="1"/>
      <c r="F88" s="1"/>
      <c r="H88" s="38">
        <f>H86+H87</f>
        <v>703850</v>
      </c>
    </row>
    <row r="89" ht="15.75" customHeight="1">
      <c r="A89" s="43" t="s">
        <v>3420</v>
      </c>
      <c r="B89" s="33"/>
      <c r="C89" s="1"/>
      <c r="D89" s="1"/>
      <c r="E89" s="1"/>
      <c r="F89" s="1"/>
      <c r="G89" s="2"/>
    </row>
    <row r="90" ht="15.75" customHeight="1">
      <c r="A90" s="43" t="s">
        <v>3487</v>
      </c>
      <c r="B90" s="56"/>
      <c r="C90" s="56"/>
      <c r="D90" s="56"/>
      <c r="F90" s="93"/>
      <c r="G90" s="55"/>
    </row>
    <row r="91" ht="15.75" customHeight="1">
      <c r="A91" s="43" t="s">
        <v>3488</v>
      </c>
      <c r="B91" s="56"/>
      <c r="C91" s="56"/>
      <c r="D91" s="56"/>
      <c r="F91" s="93"/>
      <c r="G91" s="55"/>
    </row>
    <row r="92" ht="15.75" customHeight="1">
      <c r="A92" s="43" t="s">
        <v>3309</v>
      </c>
      <c r="B92" s="55"/>
      <c r="C92" s="55"/>
      <c r="D92" s="55"/>
      <c r="G92" s="55"/>
    </row>
    <row r="93" ht="15.75" customHeight="1">
      <c r="A93" s="106" t="s">
        <v>3489</v>
      </c>
      <c r="B93" s="107"/>
      <c r="C93" s="107"/>
      <c r="D93" s="55"/>
      <c r="G93" s="77"/>
    </row>
    <row r="94" ht="15.75" customHeight="1">
      <c r="A94" s="107" t="s">
        <v>3054</v>
      </c>
      <c r="B94" s="108"/>
      <c r="C94" s="109"/>
      <c r="D94" s="109"/>
      <c r="E94" s="109"/>
      <c r="F94" s="108" t="s">
        <v>3227</v>
      </c>
      <c r="G94" s="109"/>
      <c r="H94" s="109"/>
    </row>
    <row r="95" ht="15.75" customHeight="1">
      <c r="A95" s="107"/>
      <c r="B95" s="108"/>
      <c r="C95" s="109"/>
      <c r="D95" s="109"/>
      <c r="E95" s="109"/>
      <c r="F95" s="108"/>
      <c r="G95" s="109"/>
      <c r="H95" s="109"/>
    </row>
    <row r="96" ht="15.75" customHeight="1">
      <c r="A96" s="107" t="s">
        <v>3055</v>
      </c>
      <c r="B96" s="109"/>
      <c r="C96" s="109"/>
      <c r="D96" s="109"/>
      <c r="E96" s="109"/>
      <c r="F96" s="108" t="s">
        <v>3311</v>
      </c>
      <c r="G96" s="109"/>
      <c r="H96" s="109"/>
    </row>
    <row r="97" ht="15.75" customHeight="1">
      <c r="A97" s="107"/>
      <c r="B97" s="109"/>
      <c r="C97" s="109"/>
      <c r="D97" s="109"/>
      <c r="E97" s="109"/>
      <c r="F97" s="108"/>
      <c r="G97" s="109"/>
      <c r="H97" s="109"/>
    </row>
    <row r="98" ht="15.75" customHeight="1">
      <c r="A98" s="107" t="s">
        <v>3224</v>
      </c>
      <c r="B98" s="109"/>
      <c r="C98" s="109"/>
      <c r="D98" s="109"/>
      <c r="E98" s="109"/>
      <c r="F98" s="108" t="s">
        <v>3312</v>
      </c>
      <c r="G98" s="109"/>
      <c r="H98" s="109"/>
    </row>
    <row r="99" ht="15.75" customHeight="1">
      <c r="A99" s="107"/>
      <c r="B99" s="109"/>
      <c r="C99" s="109"/>
      <c r="D99" s="109"/>
      <c r="E99" s="109"/>
      <c r="F99" s="108"/>
      <c r="G99" s="109"/>
      <c r="H99" s="109"/>
    </row>
    <row r="100" ht="15.75" customHeight="1">
      <c r="A100" s="107" t="s">
        <v>3057</v>
      </c>
      <c r="B100" s="109"/>
      <c r="C100" s="109"/>
      <c r="D100" s="109"/>
      <c r="E100" s="109"/>
      <c r="F100" s="109" t="s">
        <v>3228</v>
      </c>
      <c r="G100" s="109"/>
      <c r="H100" s="109"/>
    </row>
    <row r="101" ht="15.75" customHeight="1">
      <c r="A101" s="107"/>
      <c r="B101" s="109"/>
      <c r="C101" s="109"/>
      <c r="D101" s="109"/>
      <c r="E101" s="109"/>
      <c r="F101" s="109"/>
      <c r="G101" s="109"/>
      <c r="H101" s="109"/>
    </row>
    <row r="102" ht="15.75" customHeight="1">
      <c r="A102" s="108" t="s">
        <v>3313</v>
      </c>
      <c r="B102" s="109"/>
      <c r="C102" s="109"/>
      <c r="D102" s="109"/>
      <c r="E102" s="109"/>
      <c r="F102" s="109"/>
      <c r="G102" s="109"/>
      <c r="H102" s="109"/>
    </row>
    <row r="103" ht="15.75" customHeight="1">
      <c r="A103" s="55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G77:H77"/>
    <mergeCell ref="G78:H78"/>
    <mergeCell ref="B80:F80"/>
    <mergeCell ref="G83:H83"/>
    <mergeCell ref="G84:H84"/>
    <mergeCell ref="B85:G85"/>
    <mergeCell ref="A2:F2"/>
    <mergeCell ref="G2:H2"/>
    <mergeCell ref="A9:B9"/>
    <mergeCell ref="B10:F10"/>
    <mergeCell ref="G10:H10"/>
    <mergeCell ref="G21:H21"/>
    <mergeCell ref="G76:H76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721</v>
      </c>
      <c r="B1" s="3" t="s">
        <v>3490</v>
      </c>
      <c r="C1" s="3"/>
      <c r="D1" s="3"/>
      <c r="E1" s="3"/>
      <c r="F1" s="3"/>
      <c r="G1" s="3"/>
    </row>
    <row r="2">
      <c r="A2" s="75" t="s">
        <v>3491</v>
      </c>
      <c r="G2" s="87">
        <v>9630464.0</v>
      </c>
      <c r="H2" s="53"/>
    </row>
    <row r="3">
      <c r="A3" s="6" t="s">
        <v>3492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113500.0</v>
      </c>
      <c r="E4" s="2">
        <v>102000.0</v>
      </c>
      <c r="F4" s="2">
        <v>2500.0</v>
      </c>
      <c r="G4" s="7">
        <v>887900.0</v>
      </c>
      <c r="H4" s="60">
        <v>172000.0</v>
      </c>
    </row>
    <row r="5">
      <c r="A5" s="1"/>
      <c r="B5" s="4" t="s">
        <v>64</v>
      </c>
      <c r="C5" s="1"/>
      <c r="D5" s="2">
        <v>42000.0</v>
      </c>
      <c r="E5" s="2">
        <v>112000.0</v>
      </c>
      <c r="F5" s="2">
        <v>0.0</v>
      </c>
      <c r="G5" s="7">
        <v>832450.0</v>
      </c>
      <c r="H5" s="2">
        <v>157000.0</v>
      </c>
    </row>
    <row r="6">
      <c r="A6" s="1"/>
      <c r="B6" s="4" t="s">
        <v>65</v>
      </c>
      <c r="C6" s="1"/>
      <c r="D6" s="2">
        <v>144500.0</v>
      </c>
      <c r="E6" s="2">
        <v>125000.0</v>
      </c>
      <c r="F6" s="2">
        <v>0.0</v>
      </c>
      <c r="G6" s="7">
        <v>1399739.0</v>
      </c>
      <c r="H6" s="2">
        <v>154000.0</v>
      </c>
    </row>
    <row r="7">
      <c r="A7" s="1"/>
      <c r="B7" s="4" t="s">
        <v>66</v>
      </c>
      <c r="C7" s="1"/>
      <c r="D7" s="2">
        <v>168500.0</v>
      </c>
      <c r="E7" s="2">
        <v>113000.0</v>
      </c>
      <c r="F7" s="2">
        <v>71250.0</v>
      </c>
      <c r="G7" s="76">
        <v>1197400.0</v>
      </c>
      <c r="H7" s="2">
        <v>121000.0</v>
      </c>
    </row>
    <row r="8">
      <c r="A8" s="1"/>
      <c r="B8" s="4" t="s">
        <v>3371</v>
      </c>
      <c r="C8" s="1"/>
      <c r="D8" s="2">
        <v>75000.0</v>
      </c>
      <c r="E8" s="2">
        <v>57000.0</v>
      </c>
      <c r="F8" s="2">
        <v>12500.0</v>
      </c>
      <c r="G8" s="76">
        <v>278300.0</v>
      </c>
      <c r="H8" s="2">
        <v>25000.0</v>
      </c>
    </row>
    <row r="9">
      <c r="A9" s="50" t="s">
        <v>405</v>
      </c>
      <c r="D9" s="60">
        <f t="shared" ref="D9:H9" si="1">SUM(D4:D8)</f>
        <v>543500</v>
      </c>
      <c r="E9" s="60">
        <f t="shared" si="1"/>
        <v>509000</v>
      </c>
      <c r="F9" s="60">
        <f t="shared" si="1"/>
        <v>86250</v>
      </c>
      <c r="G9" s="60">
        <f t="shared" si="1"/>
        <v>4595789</v>
      </c>
      <c r="H9" s="60">
        <f t="shared" si="1"/>
        <v>629000</v>
      </c>
    </row>
    <row r="10">
      <c r="A10" s="1"/>
      <c r="B10" s="51" t="s">
        <v>9</v>
      </c>
      <c r="C10" s="52"/>
      <c r="D10" s="52"/>
      <c r="E10" s="52"/>
      <c r="F10" s="53"/>
      <c r="G10" s="100">
        <f>SUM(D9:H9)</f>
        <v>6363539</v>
      </c>
      <c r="H10" s="53"/>
    </row>
    <row r="11">
      <c r="A11" s="6" t="s">
        <v>3493</v>
      </c>
      <c r="B11" s="1"/>
      <c r="C11" s="1"/>
      <c r="D11" s="1"/>
      <c r="E11" s="1"/>
      <c r="F11" s="1"/>
      <c r="G11" s="2" t="s">
        <v>480</v>
      </c>
    </row>
    <row r="12">
      <c r="A12" s="1"/>
      <c r="B12" s="12" t="s">
        <v>3373</v>
      </c>
      <c r="C12" s="1"/>
      <c r="D12" s="1"/>
      <c r="E12" s="1"/>
      <c r="F12" s="1"/>
      <c r="G12" s="2"/>
    </row>
    <row r="13">
      <c r="A13" s="1"/>
      <c r="B13" s="4" t="s">
        <v>3494</v>
      </c>
      <c r="C13" s="1"/>
      <c r="D13" s="1"/>
      <c r="E13" s="1"/>
      <c r="F13" s="1"/>
      <c r="H13" s="77">
        <v>120000.0</v>
      </c>
    </row>
    <row r="14">
      <c r="A14" s="1"/>
      <c r="B14" s="4" t="s">
        <v>3234</v>
      </c>
      <c r="C14" s="1"/>
      <c r="D14" s="1"/>
      <c r="E14" s="1"/>
      <c r="F14" s="1"/>
      <c r="H14" s="77">
        <v>200000.0</v>
      </c>
    </row>
    <row r="15">
      <c r="A15" s="1"/>
      <c r="B15" s="4" t="s">
        <v>3318</v>
      </c>
      <c r="C15" s="1"/>
      <c r="D15" s="1"/>
      <c r="E15" s="1"/>
      <c r="F15" s="1"/>
      <c r="H15" s="77">
        <v>100000.0</v>
      </c>
    </row>
    <row r="16">
      <c r="A16" s="1"/>
      <c r="B16" s="4" t="s">
        <v>3150</v>
      </c>
      <c r="C16" s="1"/>
      <c r="D16" s="1"/>
      <c r="E16" s="1"/>
      <c r="F16" s="1"/>
      <c r="H16" s="77">
        <v>80000.0</v>
      </c>
    </row>
    <row r="17">
      <c r="A17" s="1"/>
      <c r="B17" s="4" t="s">
        <v>3236</v>
      </c>
      <c r="C17" s="1"/>
      <c r="D17" s="1"/>
      <c r="E17" s="1"/>
      <c r="F17" s="1"/>
      <c r="H17" s="77">
        <v>100000.0</v>
      </c>
    </row>
    <row r="18">
      <c r="A18" s="1"/>
      <c r="B18" s="4" t="s">
        <v>3237</v>
      </c>
      <c r="C18" s="1"/>
      <c r="D18" s="1"/>
      <c r="E18" s="1"/>
      <c r="F18" s="1"/>
      <c r="H18" s="77">
        <v>150000.0</v>
      </c>
    </row>
    <row r="19">
      <c r="A19" s="1"/>
      <c r="B19" s="4" t="s">
        <v>3238</v>
      </c>
      <c r="C19" s="1"/>
      <c r="D19" s="1"/>
      <c r="E19" s="1"/>
      <c r="F19" s="1"/>
      <c r="H19" s="77">
        <v>150000.0</v>
      </c>
    </row>
    <row r="20">
      <c r="A20" s="1"/>
      <c r="B20" s="4" t="s">
        <v>3431</v>
      </c>
      <c r="C20" s="1"/>
      <c r="D20" s="1"/>
      <c r="E20" s="1"/>
      <c r="F20" s="1"/>
      <c r="H20" s="77">
        <v>70000.0</v>
      </c>
    </row>
    <row r="21" ht="15.75" customHeight="1">
      <c r="A21" s="1"/>
      <c r="B21" s="9" t="s">
        <v>3432</v>
      </c>
      <c r="C21" s="10"/>
      <c r="D21" s="10"/>
      <c r="E21" s="10"/>
      <c r="F21" s="10"/>
      <c r="G21" s="101">
        <f>SUM(H13:H20)</f>
        <v>970000</v>
      </c>
      <c r="H21" s="53"/>
    </row>
    <row r="22" ht="15.75" customHeight="1">
      <c r="A22" s="1"/>
      <c r="B22" s="12" t="s">
        <v>19</v>
      </c>
      <c r="C22" s="15"/>
      <c r="D22" s="1"/>
      <c r="E22" s="1"/>
      <c r="F22" s="1"/>
    </row>
    <row r="23" ht="15.75" customHeight="1">
      <c r="A23" s="1"/>
      <c r="B23" s="4" t="s">
        <v>3495</v>
      </c>
      <c r="C23" s="15"/>
      <c r="D23" s="1"/>
      <c r="E23" s="1"/>
      <c r="F23" s="1"/>
      <c r="H23" s="2">
        <v>7256.0</v>
      </c>
    </row>
    <row r="24" ht="15.75" customHeight="1">
      <c r="A24" s="1"/>
      <c r="B24" s="4" t="s">
        <v>3496</v>
      </c>
      <c r="C24" s="15"/>
      <c r="D24" s="1"/>
      <c r="E24" s="1"/>
      <c r="F24" s="1"/>
      <c r="H24" s="2">
        <v>20000.0</v>
      </c>
    </row>
    <row r="25" ht="15.75" customHeight="1">
      <c r="A25" s="1"/>
      <c r="B25" s="4" t="s">
        <v>3497</v>
      </c>
      <c r="C25" s="15"/>
      <c r="D25" s="1"/>
      <c r="E25" s="1"/>
      <c r="F25" s="1"/>
      <c r="H25" s="2">
        <v>30000.0</v>
      </c>
    </row>
    <row r="26" ht="15.75" customHeight="1">
      <c r="A26" s="1"/>
      <c r="B26" s="4" t="s">
        <v>3498</v>
      </c>
      <c r="C26" s="15"/>
      <c r="D26" s="1"/>
      <c r="E26" s="1"/>
      <c r="F26" s="1"/>
      <c r="H26" s="2">
        <v>29550.0</v>
      </c>
    </row>
    <row r="27" ht="15.75" customHeight="1">
      <c r="A27" s="1"/>
      <c r="B27" s="4" t="s">
        <v>3499</v>
      </c>
      <c r="C27" s="15"/>
      <c r="D27" s="1"/>
      <c r="E27" s="1"/>
      <c r="F27" s="1"/>
      <c r="H27" s="2">
        <v>3000.0</v>
      </c>
    </row>
    <row r="28" ht="15.75" customHeight="1">
      <c r="A28" s="1"/>
      <c r="B28" s="4" t="s">
        <v>3500</v>
      </c>
      <c r="C28" s="15"/>
      <c r="D28" s="1"/>
      <c r="E28" s="1"/>
      <c r="F28" s="1"/>
      <c r="H28" s="2">
        <v>2800.0</v>
      </c>
    </row>
    <row r="29" ht="15.75" customHeight="1">
      <c r="A29" s="1"/>
      <c r="B29" s="4" t="s">
        <v>3501</v>
      </c>
      <c r="C29" s="15"/>
      <c r="D29" s="1"/>
      <c r="E29" s="1"/>
      <c r="F29" s="1"/>
      <c r="H29" s="2">
        <v>6000.0</v>
      </c>
    </row>
    <row r="30" ht="15.75" customHeight="1">
      <c r="A30" s="1"/>
      <c r="B30" s="4" t="s">
        <v>3502</v>
      </c>
      <c r="C30" s="15"/>
      <c r="D30" s="1"/>
      <c r="E30" s="1"/>
      <c r="F30" s="1"/>
      <c r="H30" s="2">
        <v>5600.0</v>
      </c>
    </row>
    <row r="31" ht="15.75" customHeight="1">
      <c r="A31" s="1"/>
      <c r="B31" s="4" t="s">
        <v>3503</v>
      </c>
      <c r="C31" s="15"/>
      <c r="D31" s="1"/>
      <c r="E31" s="1"/>
      <c r="F31" s="1"/>
      <c r="H31" s="2">
        <v>97900.0</v>
      </c>
    </row>
    <row r="32" ht="15.75" customHeight="1">
      <c r="A32" s="1"/>
      <c r="B32" s="4" t="s">
        <v>3504</v>
      </c>
      <c r="C32" s="15"/>
      <c r="D32" s="1"/>
      <c r="E32" s="1"/>
      <c r="F32" s="1"/>
      <c r="H32" s="2">
        <v>50000.0</v>
      </c>
    </row>
    <row r="33" ht="15.75" customHeight="1">
      <c r="A33" s="1"/>
      <c r="B33" s="4" t="s">
        <v>3505</v>
      </c>
      <c r="C33" s="15"/>
      <c r="D33" s="1"/>
      <c r="E33" s="1"/>
      <c r="F33" s="1"/>
      <c r="H33" s="2">
        <v>59000.0</v>
      </c>
    </row>
    <row r="34" ht="15.75" customHeight="1">
      <c r="A34" s="1"/>
      <c r="B34" s="4" t="s">
        <v>3506</v>
      </c>
      <c r="C34" s="15"/>
      <c r="D34" s="1"/>
      <c r="E34" s="1"/>
      <c r="F34" s="1"/>
      <c r="H34" s="2">
        <v>2000.0</v>
      </c>
    </row>
    <row r="35" ht="15.75" customHeight="1">
      <c r="A35" s="1"/>
      <c r="B35" s="4" t="s">
        <v>3507</v>
      </c>
      <c r="C35" s="15"/>
      <c r="D35" s="1"/>
      <c r="E35" s="1"/>
      <c r="F35" s="1"/>
      <c r="H35" s="2">
        <v>73000.0</v>
      </c>
    </row>
    <row r="36" ht="15.75" customHeight="1">
      <c r="A36" s="1"/>
      <c r="B36" s="4" t="s">
        <v>3508</v>
      </c>
      <c r="C36" s="15"/>
      <c r="D36" s="1"/>
      <c r="E36" s="1"/>
      <c r="F36" s="1"/>
      <c r="H36" s="2">
        <v>7500.0</v>
      </c>
    </row>
    <row r="37" ht="15.75" customHeight="1">
      <c r="A37" s="1"/>
      <c r="B37" s="4" t="s">
        <v>3509</v>
      </c>
      <c r="C37" s="15"/>
      <c r="D37" s="1"/>
      <c r="E37" s="1"/>
      <c r="F37" s="1"/>
      <c r="H37" s="2">
        <v>2100.0</v>
      </c>
    </row>
    <row r="38" ht="15.75" customHeight="1">
      <c r="A38" s="1"/>
      <c r="B38" s="4" t="s">
        <v>3510</v>
      </c>
      <c r="C38" s="15"/>
      <c r="D38" s="1"/>
      <c r="E38" s="1"/>
      <c r="F38" s="1"/>
      <c r="H38" s="2">
        <v>4000.0</v>
      </c>
    </row>
    <row r="39" ht="15.75" customHeight="1">
      <c r="A39" s="1"/>
      <c r="B39" s="4" t="s">
        <v>3458</v>
      </c>
      <c r="C39" s="15"/>
      <c r="D39" s="1"/>
      <c r="E39" s="1"/>
      <c r="F39" s="1"/>
      <c r="H39" s="2">
        <v>100000.0</v>
      </c>
    </row>
    <row r="40" ht="15.75" customHeight="1">
      <c r="A40" s="1"/>
      <c r="B40" s="4" t="s">
        <v>3511</v>
      </c>
      <c r="C40" s="15"/>
      <c r="D40" s="1"/>
      <c r="E40" s="1"/>
      <c r="F40" s="1"/>
      <c r="H40" s="2">
        <v>10339.0</v>
      </c>
    </row>
    <row r="41" ht="15.75" customHeight="1">
      <c r="A41" s="1"/>
      <c r="B41" s="4" t="s">
        <v>3496</v>
      </c>
      <c r="C41" s="15"/>
      <c r="D41" s="1"/>
      <c r="E41" s="1"/>
      <c r="F41" s="1"/>
      <c r="H41" s="2">
        <v>20000.0</v>
      </c>
    </row>
    <row r="42" ht="15.75" customHeight="1">
      <c r="A42" s="1"/>
      <c r="B42" s="4" t="s">
        <v>3512</v>
      </c>
      <c r="C42" s="15"/>
      <c r="D42" s="1"/>
      <c r="E42" s="1"/>
      <c r="F42" s="1"/>
      <c r="H42" s="2">
        <v>10000.0</v>
      </c>
    </row>
    <row r="43" ht="15.75" customHeight="1">
      <c r="A43" s="1"/>
      <c r="B43" s="4" t="s">
        <v>3513</v>
      </c>
      <c r="C43" s="15"/>
      <c r="D43" s="1"/>
      <c r="E43" s="1"/>
      <c r="F43" s="1"/>
      <c r="H43" s="2">
        <v>7500.0</v>
      </c>
    </row>
    <row r="44" ht="15.75" customHeight="1">
      <c r="A44" s="1"/>
      <c r="B44" s="4" t="s">
        <v>3514</v>
      </c>
      <c r="C44" s="15"/>
      <c r="D44" s="1"/>
      <c r="E44" s="1"/>
      <c r="F44" s="1"/>
      <c r="H44" s="2">
        <v>32000.0</v>
      </c>
    </row>
    <row r="45" ht="15.75" customHeight="1">
      <c r="A45" s="1"/>
      <c r="B45" s="4" t="s">
        <v>3515</v>
      </c>
      <c r="C45" s="15"/>
      <c r="D45" s="1"/>
      <c r="E45" s="1"/>
      <c r="F45" s="1"/>
      <c r="H45" s="2">
        <v>20000.0</v>
      </c>
    </row>
    <row r="46" ht="15.75" customHeight="1">
      <c r="A46" s="1"/>
      <c r="B46" s="4" t="s">
        <v>3516</v>
      </c>
      <c r="C46" s="15"/>
      <c r="D46" s="1"/>
      <c r="E46" s="1"/>
      <c r="F46" s="1"/>
      <c r="H46" s="2">
        <v>9000.0</v>
      </c>
    </row>
    <row r="47" ht="15.75" customHeight="1">
      <c r="A47" s="1"/>
      <c r="B47" s="4" t="s">
        <v>3517</v>
      </c>
      <c r="C47" s="15"/>
      <c r="D47" s="1"/>
      <c r="E47" s="1"/>
      <c r="F47" s="1"/>
      <c r="H47" s="2">
        <v>69250.0</v>
      </c>
    </row>
    <row r="48" ht="15.75" customHeight="1">
      <c r="A48" s="1"/>
      <c r="B48" s="4" t="s">
        <v>3518</v>
      </c>
      <c r="C48" s="15"/>
      <c r="D48" s="1"/>
      <c r="E48" s="1"/>
      <c r="F48" s="1"/>
      <c r="H48" s="2">
        <v>5300.0</v>
      </c>
    </row>
    <row r="49" ht="15.75" customHeight="1">
      <c r="A49" s="1"/>
      <c r="B49" s="4" t="s">
        <v>3519</v>
      </c>
      <c r="C49" s="15"/>
      <c r="D49" s="1"/>
      <c r="E49" s="1"/>
      <c r="F49" s="1"/>
      <c r="H49" s="2">
        <v>7500.0</v>
      </c>
    </row>
    <row r="50" ht="15.75" customHeight="1">
      <c r="A50" s="1"/>
      <c r="B50" s="4" t="s">
        <v>3496</v>
      </c>
      <c r="C50" s="15"/>
      <c r="D50" s="1"/>
      <c r="E50" s="1"/>
      <c r="F50" s="1"/>
      <c r="H50" s="2">
        <v>16000.0</v>
      </c>
    </row>
    <row r="51" ht="15.75" customHeight="1">
      <c r="A51" s="1"/>
      <c r="B51" s="4" t="s">
        <v>3520</v>
      </c>
      <c r="C51" s="15"/>
      <c r="D51" s="1"/>
      <c r="E51" s="1"/>
      <c r="F51" s="1"/>
      <c r="H51" s="2">
        <v>5505.0</v>
      </c>
    </row>
    <row r="52" ht="15.75" customHeight="1">
      <c r="A52" s="1"/>
      <c r="B52" s="4" t="s">
        <v>3521</v>
      </c>
      <c r="C52" s="15"/>
      <c r="D52" s="1"/>
      <c r="E52" s="1"/>
      <c r="F52" s="1"/>
      <c r="H52" s="2">
        <v>25000.0</v>
      </c>
    </row>
    <row r="53" ht="15.75" customHeight="1">
      <c r="A53" s="1"/>
      <c r="B53" s="4" t="s">
        <v>3522</v>
      </c>
      <c r="C53" s="15"/>
      <c r="D53" s="1"/>
      <c r="E53" s="1"/>
      <c r="F53" s="1"/>
      <c r="H53" s="2">
        <v>1000.0</v>
      </c>
    </row>
    <row r="54" ht="15.75" customHeight="1">
      <c r="A54" s="1"/>
      <c r="B54" s="4" t="s">
        <v>3523</v>
      </c>
      <c r="C54" s="15"/>
      <c r="D54" s="1"/>
      <c r="E54" s="1"/>
      <c r="F54" s="1"/>
      <c r="H54" s="2">
        <v>15000.0</v>
      </c>
    </row>
    <row r="55" ht="15.75" customHeight="1">
      <c r="A55" s="1"/>
      <c r="B55" s="4" t="s">
        <v>3524</v>
      </c>
      <c r="C55" s="15"/>
      <c r="D55" s="1"/>
      <c r="E55" s="1"/>
      <c r="F55" s="1"/>
      <c r="H55" s="2">
        <v>20000.0</v>
      </c>
    </row>
    <row r="56" ht="15.75" customHeight="1">
      <c r="A56" s="1"/>
      <c r="B56" s="4" t="s">
        <v>3525</v>
      </c>
      <c r="C56" s="15"/>
      <c r="D56" s="1"/>
      <c r="E56" s="1"/>
      <c r="F56" s="1"/>
      <c r="H56" s="2">
        <v>3100.0</v>
      </c>
    </row>
    <row r="57" ht="15.75" customHeight="1">
      <c r="A57" s="1"/>
      <c r="B57" s="4" t="s">
        <v>3526</v>
      </c>
      <c r="C57" s="15"/>
      <c r="D57" s="1"/>
      <c r="E57" s="1"/>
      <c r="F57" s="1"/>
      <c r="H57" s="2">
        <v>48100.0</v>
      </c>
      <c r="L57" s="67" t="s">
        <v>3527</v>
      </c>
    </row>
    <row r="58" ht="15.75" customHeight="1">
      <c r="A58" s="1"/>
      <c r="B58" s="4" t="s">
        <v>3528</v>
      </c>
      <c r="C58" s="15"/>
      <c r="D58" s="1"/>
      <c r="E58" s="1"/>
      <c r="F58" s="1"/>
      <c r="H58" s="2">
        <v>65250.0</v>
      </c>
    </row>
    <row r="59" ht="15.75" customHeight="1">
      <c r="A59" s="1"/>
      <c r="B59" s="3" t="s">
        <v>43</v>
      </c>
      <c r="C59" s="1"/>
      <c r="D59" s="1"/>
      <c r="E59" s="1"/>
      <c r="F59" s="1"/>
      <c r="G59" s="54">
        <f>+SUM(H23:H58)</f>
        <v>889550</v>
      </c>
    </row>
    <row r="60" ht="15.75" customHeight="1">
      <c r="A60" s="1"/>
      <c r="B60" s="19" t="s">
        <v>45</v>
      </c>
      <c r="C60" s="20"/>
      <c r="D60" s="20"/>
      <c r="E60" s="20"/>
      <c r="F60" s="20"/>
      <c r="G60" s="102">
        <f>SUM(G21+G59)</f>
        <v>1859550</v>
      </c>
      <c r="H60" s="53"/>
    </row>
    <row r="61" ht="15.75" customHeight="1">
      <c r="A61" s="1"/>
      <c r="B61" s="36" t="s">
        <v>3301</v>
      </c>
      <c r="C61" s="37"/>
      <c r="D61" s="82"/>
      <c r="E61" s="37"/>
      <c r="F61" s="37"/>
      <c r="G61" s="103">
        <f> G10-G60</f>
        <v>4503989</v>
      </c>
      <c r="H61" s="53"/>
    </row>
    <row r="62" ht="15.75" customHeight="1">
      <c r="A62" s="1"/>
      <c r="B62" s="43" t="s">
        <v>255</v>
      </c>
      <c r="C62" s="1"/>
      <c r="D62" s="1"/>
      <c r="E62" s="1"/>
      <c r="F62" s="1"/>
      <c r="H62" s="2"/>
    </row>
    <row r="63" ht="15.75" customHeight="1">
      <c r="A63" s="1"/>
      <c r="B63" s="98" t="s">
        <v>3529</v>
      </c>
      <c r="H63" s="2">
        <v>475000.0</v>
      </c>
    </row>
    <row r="64" ht="15.75" customHeight="1">
      <c r="A64" s="1"/>
      <c r="B64" s="43" t="s">
        <v>3530</v>
      </c>
      <c r="C64" s="1"/>
      <c r="D64" s="1"/>
      <c r="E64" s="1"/>
      <c r="F64" s="1"/>
      <c r="H64" s="2">
        <v>1108335.0</v>
      </c>
    </row>
    <row r="65" ht="15.75" customHeight="1">
      <c r="A65" s="1"/>
      <c r="B65" s="72" t="s">
        <v>51</v>
      </c>
      <c r="C65" s="27"/>
      <c r="D65" s="27"/>
      <c r="E65" s="27"/>
      <c r="F65" s="27"/>
      <c r="G65" s="104">
        <f>SUM(H63:H64)</f>
        <v>1583335</v>
      </c>
      <c r="H65" s="53"/>
    </row>
    <row r="66" ht="15.75" customHeight="1">
      <c r="A66" s="1"/>
      <c r="B66" s="91" t="s">
        <v>3531</v>
      </c>
      <c r="C66" s="45"/>
      <c r="D66" s="45"/>
      <c r="E66" s="46"/>
      <c r="F66" s="46"/>
      <c r="G66" s="105">
        <f>G2+G61-G65</f>
        <v>12551118</v>
      </c>
      <c r="H66" s="53"/>
    </row>
    <row r="67" ht="15.75" customHeight="1">
      <c r="A67" s="1"/>
      <c r="B67" s="32" t="s">
        <v>3365</v>
      </c>
    </row>
    <row r="68" ht="15.75" customHeight="1">
      <c r="A68" s="1"/>
      <c r="B68" s="1"/>
      <c r="C68" s="1" t="s">
        <v>3137</v>
      </c>
      <c r="D68" s="1"/>
      <c r="E68" s="1"/>
      <c r="F68" s="1"/>
      <c r="H68" s="38">
        <v>0.0</v>
      </c>
    </row>
    <row r="69" ht="15.75" customHeight="1">
      <c r="A69" s="1"/>
      <c r="B69" s="1"/>
      <c r="C69" s="1" t="s">
        <v>3218</v>
      </c>
      <c r="D69" s="1"/>
      <c r="E69" s="1"/>
      <c r="F69" s="1"/>
      <c r="H69" s="38">
        <v>732400.0</v>
      </c>
    </row>
    <row r="70" ht="15.75" customHeight="1">
      <c r="A70" s="1"/>
      <c r="B70" s="1"/>
      <c r="C70" s="43" t="s">
        <v>115</v>
      </c>
      <c r="D70" s="1"/>
      <c r="E70" s="1"/>
      <c r="F70" s="1"/>
      <c r="H70" s="38">
        <f>H68+H69</f>
        <v>732400</v>
      </c>
    </row>
    <row r="71" ht="15.75" customHeight="1">
      <c r="A71" s="43" t="s">
        <v>3420</v>
      </c>
    </row>
    <row r="72" ht="15.75" customHeight="1">
      <c r="A72" s="43" t="s">
        <v>3532</v>
      </c>
    </row>
    <row r="73" ht="15.75" customHeight="1">
      <c r="A73" s="43" t="s">
        <v>3533</v>
      </c>
    </row>
    <row r="74" ht="15.75" customHeight="1">
      <c r="A74" s="43" t="s">
        <v>3534</v>
      </c>
    </row>
    <row r="75" ht="15.75" customHeight="1">
      <c r="A75" s="106" t="s">
        <v>3535</v>
      </c>
    </row>
    <row r="76" ht="15.75" customHeight="1">
      <c r="A76" s="107" t="s">
        <v>3054</v>
      </c>
      <c r="B76" s="108"/>
      <c r="C76" s="109"/>
      <c r="D76" s="109"/>
      <c r="E76" s="109"/>
      <c r="F76" s="108" t="s">
        <v>3227</v>
      </c>
      <c r="G76" s="109"/>
      <c r="H76" s="109"/>
    </row>
    <row r="77" ht="15.75" customHeight="1">
      <c r="A77" s="107"/>
      <c r="B77" s="108"/>
      <c r="C77" s="109"/>
      <c r="D77" s="109"/>
      <c r="E77" s="109"/>
      <c r="F77" s="108"/>
      <c r="G77" s="109"/>
      <c r="H77" s="109"/>
    </row>
    <row r="78" ht="15.75" customHeight="1">
      <c r="A78" s="107" t="s">
        <v>3055</v>
      </c>
      <c r="B78" s="109"/>
      <c r="C78" s="109"/>
      <c r="D78" s="109"/>
      <c r="E78" s="109"/>
      <c r="F78" s="108" t="s">
        <v>3311</v>
      </c>
      <c r="G78" s="109"/>
      <c r="H78" s="109"/>
    </row>
    <row r="79" ht="15.75" customHeight="1">
      <c r="A79" s="107"/>
      <c r="B79" s="109"/>
      <c r="C79" s="109"/>
      <c r="D79" s="109"/>
      <c r="E79" s="109"/>
      <c r="F79" s="108"/>
      <c r="G79" s="109"/>
      <c r="H79" s="109"/>
    </row>
    <row r="80" ht="15.75" customHeight="1">
      <c r="A80" s="107" t="s">
        <v>3224</v>
      </c>
      <c r="B80" s="109"/>
      <c r="C80" s="109"/>
      <c r="D80" s="109"/>
      <c r="E80" s="109"/>
      <c r="F80" s="108" t="s">
        <v>3536</v>
      </c>
      <c r="G80" s="109"/>
      <c r="H80" s="109"/>
    </row>
    <row r="81" ht="15.75" customHeight="1">
      <c r="A81" s="107"/>
      <c r="B81" s="109"/>
      <c r="C81" s="109"/>
      <c r="D81" s="109"/>
      <c r="E81" s="109"/>
      <c r="F81" s="108"/>
      <c r="G81" s="109"/>
      <c r="H81" s="109"/>
    </row>
    <row r="82" ht="15.75" customHeight="1">
      <c r="A82" s="107" t="s">
        <v>3057</v>
      </c>
      <c r="B82" s="109"/>
      <c r="C82" s="109"/>
      <c r="D82" s="109"/>
      <c r="E82" s="109"/>
      <c r="F82" s="108" t="s">
        <v>3226</v>
      </c>
      <c r="G82" s="108"/>
      <c r="H82" s="108"/>
      <c r="I82" s="94"/>
    </row>
    <row r="83" ht="15.75" customHeight="1">
      <c r="A83" s="107"/>
      <c r="B83" s="109"/>
      <c r="C83" s="109"/>
      <c r="D83" s="109"/>
      <c r="E83" s="109"/>
      <c r="F83" s="108"/>
      <c r="G83" s="108"/>
      <c r="H83" s="108"/>
      <c r="I83" s="94"/>
    </row>
    <row r="84" ht="15.75" customHeight="1">
      <c r="A84" s="108" t="s">
        <v>3313</v>
      </c>
      <c r="B84" s="109"/>
      <c r="C84" s="109"/>
      <c r="D84" s="109"/>
      <c r="E84" s="109"/>
      <c r="F84" s="108" t="s">
        <v>3537</v>
      </c>
      <c r="G84" s="108"/>
      <c r="H84" s="108"/>
      <c r="I84" s="94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G60:H60"/>
    <mergeCell ref="G61:H61"/>
    <mergeCell ref="B63:F63"/>
    <mergeCell ref="G65:H65"/>
    <mergeCell ref="G66:H66"/>
    <mergeCell ref="B67:G67"/>
    <mergeCell ref="A2:F2"/>
    <mergeCell ref="G2:H2"/>
    <mergeCell ref="A9:B9"/>
    <mergeCell ref="B10:F10"/>
    <mergeCell ref="G10:H10"/>
    <mergeCell ref="G21:H21"/>
    <mergeCell ref="G59:H59"/>
  </mergeCells>
  <printOptions/>
  <pageMargins bottom="0.75" footer="0.0" header="0.0" left="0.25" right="0.25" top="0.75"/>
  <pageSetup paperSize="9" orientation="portrait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9.14"/>
    <col customWidth="1" min="9" max="10" width="10.71"/>
    <col customWidth="1" min="11" max="11" width="42.14"/>
    <col customWidth="1" min="12" max="26" width="10.71"/>
  </cols>
  <sheetData>
    <row r="1" ht="24.75" customHeight="1">
      <c r="A1" s="1" t="s">
        <v>721</v>
      </c>
      <c r="B1" s="3" t="s">
        <v>3538</v>
      </c>
      <c r="C1" s="3"/>
      <c r="D1" s="3"/>
      <c r="E1" s="3"/>
      <c r="F1" s="3"/>
      <c r="G1" s="3"/>
    </row>
    <row r="2" ht="18.75" customHeight="1">
      <c r="A2" s="75" t="s">
        <v>3539</v>
      </c>
      <c r="G2" s="87">
        <v>1.2551118E7</v>
      </c>
      <c r="H2" s="53"/>
    </row>
    <row r="3">
      <c r="A3" s="6" t="s">
        <v>3540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78000.0</v>
      </c>
      <c r="E4" s="2">
        <v>107000.0</v>
      </c>
      <c r="F4" s="2">
        <v>180000.0</v>
      </c>
      <c r="G4" s="7">
        <v>1405300.0</v>
      </c>
      <c r="H4" s="60">
        <v>102000.0</v>
      </c>
    </row>
    <row r="5">
      <c r="A5" s="1"/>
      <c r="B5" s="4" t="s">
        <v>64</v>
      </c>
      <c r="C5" s="1"/>
      <c r="D5" s="2">
        <v>134000.0</v>
      </c>
      <c r="E5" s="2">
        <v>96000.0</v>
      </c>
      <c r="F5" s="2">
        <v>277500.0</v>
      </c>
      <c r="G5" s="7">
        <v>1669400.0</v>
      </c>
      <c r="H5" s="2">
        <v>300000.0</v>
      </c>
    </row>
    <row r="6">
      <c r="A6" s="1"/>
      <c r="B6" s="4" t="s">
        <v>65</v>
      </c>
      <c r="C6" s="1"/>
      <c r="D6" s="2">
        <v>143000.0</v>
      </c>
      <c r="E6" s="2">
        <v>145000.0</v>
      </c>
      <c r="F6" s="2">
        <v>285000.0</v>
      </c>
      <c r="G6" s="7">
        <v>1996400.0</v>
      </c>
      <c r="H6" s="2">
        <v>160000.0</v>
      </c>
    </row>
    <row r="7">
      <c r="A7" s="1"/>
      <c r="B7" s="4" t="s">
        <v>66</v>
      </c>
      <c r="C7" s="1"/>
      <c r="D7" s="2">
        <v>249000.0</v>
      </c>
      <c r="E7" s="2">
        <v>137000.0</v>
      </c>
      <c r="F7" s="2">
        <v>287500.0</v>
      </c>
      <c r="G7" s="76">
        <v>2277750.0</v>
      </c>
      <c r="H7" s="2">
        <v>228000.0</v>
      </c>
      <c r="J7" s="60"/>
      <c r="K7" s="67" t="s">
        <v>480</v>
      </c>
    </row>
    <row r="8">
      <c r="A8" s="1"/>
      <c r="B8" s="4" t="s">
        <v>3541</v>
      </c>
      <c r="C8" s="1"/>
      <c r="D8" s="2">
        <v>187000.0</v>
      </c>
      <c r="E8" s="2">
        <v>129000.0</v>
      </c>
      <c r="F8" s="2">
        <v>260000.0</v>
      </c>
      <c r="G8" s="76">
        <v>1726800.0</v>
      </c>
      <c r="H8" s="2">
        <v>193000.0</v>
      </c>
      <c r="J8" s="2"/>
    </row>
    <row r="9">
      <c r="A9" s="50" t="s">
        <v>405</v>
      </c>
      <c r="D9" s="60">
        <f t="shared" ref="D9:H9" si="1">SUM(D4:D8)</f>
        <v>791000</v>
      </c>
      <c r="E9" s="60">
        <f t="shared" si="1"/>
        <v>614000</v>
      </c>
      <c r="F9" s="60">
        <f t="shared" si="1"/>
        <v>1290000</v>
      </c>
      <c r="G9" s="60">
        <f t="shared" si="1"/>
        <v>9075650</v>
      </c>
      <c r="H9" s="60">
        <f t="shared" si="1"/>
        <v>983000</v>
      </c>
    </row>
    <row r="10">
      <c r="A10" s="1"/>
      <c r="B10" s="51" t="s">
        <v>9</v>
      </c>
      <c r="C10" s="52"/>
      <c r="D10" s="52"/>
      <c r="E10" s="52"/>
      <c r="F10" s="53"/>
      <c r="G10" s="100">
        <f>SUM(D9:H9)</f>
        <v>12753650</v>
      </c>
      <c r="H10" s="53"/>
    </row>
    <row r="11">
      <c r="A11" s="6" t="s">
        <v>3542</v>
      </c>
      <c r="B11" s="1"/>
      <c r="C11" s="1"/>
      <c r="D11" s="1"/>
      <c r="E11" s="1"/>
      <c r="F11" s="1"/>
      <c r="G11" s="2" t="s">
        <v>480</v>
      </c>
    </row>
    <row r="12">
      <c r="A12" s="1"/>
      <c r="B12" s="12" t="s">
        <v>3373</v>
      </c>
      <c r="C12" s="1"/>
      <c r="D12" s="1"/>
      <c r="E12" s="1"/>
      <c r="F12" s="1"/>
      <c r="G12" s="2"/>
    </row>
    <row r="13">
      <c r="A13" s="1"/>
      <c r="B13" s="4" t="s">
        <v>3494</v>
      </c>
      <c r="C13" s="1"/>
      <c r="D13" s="1"/>
      <c r="E13" s="1"/>
      <c r="F13" s="1"/>
      <c r="H13" s="77">
        <v>140000.0</v>
      </c>
    </row>
    <row r="14">
      <c r="A14" s="1"/>
      <c r="B14" s="4" t="s">
        <v>3234</v>
      </c>
      <c r="C14" s="1"/>
      <c r="D14" s="1"/>
      <c r="E14" s="1"/>
      <c r="F14" s="1"/>
      <c r="H14" s="77">
        <v>200000.0</v>
      </c>
    </row>
    <row r="15">
      <c r="A15" s="1"/>
      <c r="B15" s="4" t="s">
        <v>3318</v>
      </c>
      <c r="C15" s="1"/>
      <c r="D15" s="1"/>
      <c r="E15" s="1"/>
      <c r="F15" s="1"/>
      <c r="H15" s="77">
        <v>100000.0</v>
      </c>
      <c r="L15" s="67" t="s">
        <v>3543</v>
      </c>
    </row>
    <row r="16">
      <c r="A16" s="1"/>
      <c r="B16" s="4" t="s">
        <v>3150</v>
      </c>
      <c r="C16" s="1"/>
      <c r="D16" s="1"/>
      <c r="E16" s="1"/>
      <c r="F16" s="1"/>
      <c r="H16" s="77">
        <v>80000.0</v>
      </c>
    </row>
    <row r="17">
      <c r="A17" s="1"/>
      <c r="B17" s="4" t="s">
        <v>3236</v>
      </c>
      <c r="C17" s="1"/>
      <c r="D17" s="1"/>
      <c r="E17" s="1"/>
      <c r="F17" s="1"/>
      <c r="H17" s="77">
        <v>100000.0</v>
      </c>
    </row>
    <row r="18">
      <c r="A18" s="1"/>
      <c r="B18" s="4" t="s">
        <v>3237</v>
      </c>
      <c r="C18" s="1"/>
      <c r="D18" s="1"/>
      <c r="E18" s="1"/>
      <c r="F18" s="1"/>
      <c r="H18" s="77">
        <v>150000.0</v>
      </c>
    </row>
    <row r="19">
      <c r="A19" s="1"/>
      <c r="B19" s="4" t="s">
        <v>3238</v>
      </c>
      <c r="C19" s="1"/>
      <c r="D19" s="1"/>
      <c r="E19" s="1"/>
      <c r="F19" s="1"/>
      <c r="H19" s="77">
        <v>150000.0</v>
      </c>
    </row>
    <row r="20">
      <c r="A20" s="1"/>
      <c r="B20" s="4" t="s">
        <v>3431</v>
      </c>
      <c r="C20" s="1"/>
      <c r="D20" s="1"/>
      <c r="E20" s="1"/>
      <c r="F20" s="1"/>
      <c r="H20" s="77">
        <v>80000.0</v>
      </c>
    </row>
    <row r="21" ht="15.75" customHeight="1">
      <c r="A21" s="1"/>
      <c r="B21" s="9" t="s">
        <v>3432</v>
      </c>
      <c r="C21" s="10"/>
      <c r="D21" s="10"/>
      <c r="E21" s="10"/>
      <c r="F21" s="10"/>
      <c r="G21" s="101">
        <f>SUM(H13:H20)</f>
        <v>1000000</v>
      </c>
      <c r="H21" s="53"/>
    </row>
    <row r="22" ht="15.75" customHeight="1">
      <c r="A22" s="1"/>
      <c r="B22" s="12" t="s">
        <v>19</v>
      </c>
      <c r="C22" s="15"/>
      <c r="D22" s="1"/>
      <c r="E22" s="1"/>
      <c r="F22" s="1"/>
    </row>
    <row r="23" ht="15.75" customHeight="1">
      <c r="A23" s="1"/>
      <c r="B23" s="97" t="s">
        <v>3544</v>
      </c>
      <c r="C23" s="15"/>
      <c r="D23" s="1"/>
      <c r="E23" s="1"/>
      <c r="F23" s="1"/>
      <c r="H23" s="2">
        <v>32000.0</v>
      </c>
    </row>
    <row r="24" ht="15.75" customHeight="1">
      <c r="A24" s="1"/>
      <c r="B24" s="97" t="s">
        <v>3545</v>
      </c>
      <c r="C24" s="15"/>
      <c r="D24" s="1"/>
      <c r="E24" s="1"/>
      <c r="F24" s="1"/>
      <c r="H24" s="2">
        <v>30200.0</v>
      </c>
    </row>
    <row r="25" ht="15.75" customHeight="1">
      <c r="A25" s="1"/>
      <c r="B25" s="97" t="s">
        <v>3546</v>
      </c>
      <c r="C25" s="15"/>
      <c r="D25" s="1"/>
      <c r="E25" s="1"/>
      <c r="F25" s="1"/>
      <c r="H25" s="2">
        <v>107000.0</v>
      </c>
    </row>
    <row r="26" ht="15.75" customHeight="1">
      <c r="A26" s="1"/>
      <c r="B26" s="97" t="s">
        <v>3547</v>
      </c>
      <c r="C26" s="15"/>
      <c r="D26" s="1"/>
      <c r="E26" s="1"/>
      <c r="F26" s="1"/>
      <c r="H26" s="2">
        <v>3000.0</v>
      </c>
    </row>
    <row r="27" ht="15.75" customHeight="1">
      <c r="A27" s="1"/>
      <c r="B27" s="4" t="s">
        <v>3548</v>
      </c>
      <c r="C27" s="15"/>
      <c r="D27" s="1"/>
      <c r="E27" s="1"/>
      <c r="F27" s="1"/>
      <c r="H27" s="2">
        <v>35510.0</v>
      </c>
    </row>
    <row r="28" ht="15.75" customHeight="1">
      <c r="A28" s="1"/>
      <c r="B28" s="97" t="s">
        <v>3549</v>
      </c>
      <c r="C28" s="15"/>
      <c r="D28" s="1"/>
      <c r="E28" s="1"/>
      <c r="F28" s="1"/>
      <c r="H28" s="2">
        <v>3000.0</v>
      </c>
    </row>
    <row r="29" ht="15.75" customHeight="1">
      <c r="A29" s="1"/>
      <c r="B29" s="97" t="s">
        <v>3550</v>
      </c>
      <c r="C29" s="15"/>
      <c r="D29" s="1"/>
      <c r="E29" s="1"/>
      <c r="F29" s="1"/>
      <c r="H29" s="2">
        <v>6700.0</v>
      </c>
    </row>
    <row r="30" ht="15.75" customHeight="1">
      <c r="A30" s="1"/>
      <c r="B30" s="97" t="s">
        <v>3551</v>
      </c>
      <c r="C30" s="15"/>
      <c r="D30" s="1"/>
      <c r="E30" s="1"/>
      <c r="F30" s="1"/>
      <c r="H30" s="2">
        <v>55000.0</v>
      </c>
    </row>
    <row r="31" ht="15.75" customHeight="1">
      <c r="A31" s="1"/>
      <c r="B31" s="97" t="s">
        <v>3552</v>
      </c>
      <c r="C31" s="15"/>
      <c r="D31" s="1"/>
      <c r="E31" s="1"/>
      <c r="F31" s="1"/>
      <c r="H31" s="2">
        <v>4677.0</v>
      </c>
    </row>
    <row r="32" ht="15.75" customHeight="1">
      <c r="A32" s="1"/>
      <c r="B32" s="97" t="s">
        <v>3553</v>
      </c>
      <c r="C32" s="15"/>
      <c r="D32" s="1"/>
      <c r="E32" s="1"/>
      <c r="F32" s="1"/>
      <c r="H32" s="2">
        <v>16000.0</v>
      </c>
    </row>
    <row r="33" ht="15.75" customHeight="1">
      <c r="A33" s="1"/>
      <c r="B33" s="97" t="s">
        <v>3554</v>
      </c>
      <c r="C33" s="15"/>
      <c r="D33" s="1"/>
      <c r="E33" s="1"/>
      <c r="F33" s="1"/>
      <c r="H33" s="2">
        <v>20000.0</v>
      </c>
    </row>
    <row r="34" ht="15.75" customHeight="1">
      <c r="A34" s="1"/>
      <c r="B34" s="97" t="s">
        <v>3555</v>
      </c>
      <c r="C34" s="15"/>
      <c r="D34" s="1"/>
      <c r="E34" s="1"/>
      <c r="F34" s="1"/>
      <c r="H34" s="2">
        <v>55000.0</v>
      </c>
    </row>
    <row r="35" ht="15.75" customHeight="1">
      <c r="A35" s="1"/>
      <c r="B35" s="97" t="s">
        <v>3556</v>
      </c>
      <c r="C35" s="15"/>
      <c r="D35" s="1"/>
      <c r="E35" s="1"/>
      <c r="F35" s="1"/>
      <c r="H35" s="2">
        <v>100000.0</v>
      </c>
    </row>
    <row r="36" ht="15.75" customHeight="1">
      <c r="A36" s="1"/>
      <c r="B36" s="97" t="s">
        <v>3557</v>
      </c>
      <c r="C36" s="15"/>
      <c r="D36" s="1"/>
      <c r="E36" s="1"/>
      <c r="F36" s="1"/>
      <c r="H36" s="2">
        <v>60000.0</v>
      </c>
    </row>
    <row r="37" ht="15.75" customHeight="1">
      <c r="A37" s="1"/>
      <c r="B37" s="97" t="s">
        <v>3558</v>
      </c>
      <c r="C37" s="15"/>
      <c r="D37" s="1"/>
      <c r="E37" s="1"/>
      <c r="F37" s="1"/>
      <c r="H37" s="2">
        <v>2000.0</v>
      </c>
    </row>
    <row r="38" ht="15.75" customHeight="1">
      <c r="A38" s="1"/>
      <c r="B38" s="97" t="s">
        <v>3559</v>
      </c>
      <c r="C38" s="15"/>
      <c r="D38" s="1"/>
      <c r="E38" s="1"/>
      <c r="F38" s="1"/>
      <c r="H38" s="2">
        <v>7000.0</v>
      </c>
    </row>
    <row r="39" ht="15.75" customHeight="1">
      <c r="A39" s="1"/>
      <c r="B39" s="97" t="s">
        <v>3560</v>
      </c>
      <c r="C39" s="15"/>
      <c r="D39" s="1"/>
      <c r="E39" s="1"/>
      <c r="F39" s="1"/>
      <c r="H39" s="2">
        <v>30000.0</v>
      </c>
    </row>
    <row r="40" ht="15.75" customHeight="1">
      <c r="A40" s="1"/>
      <c r="B40" s="97" t="s">
        <v>3561</v>
      </c>
      <c r="C40" s="15"/>
      <c r="D40" s="1"/>
      <c r="E40" s="1"/>
      <c r="F40" s="1"/>
      <c r="H40" s="2">
        <v>120000.0</v>
      </c>
    </row>
    <row r="41" ht="15.75" customHeight="1">
      <c r="A41" s="1"/>
      <c r="B41" s="110" t="s">
        <v>3380</v>
      </c>
      <c r="C41" s="93"/>
      <c r="D41" s="93"/>
      <c r="E41" s="93"/>
      <c r="F41" s="1"/>
      <c r="H41" s="13">
        <v>7500.0</v>
      </c>
    </row>
    <row r="42" ht="15.75" customHeight="1">
      <c r="A42" s="1"/>
      <c r="B42" s="97" t="s">
        <v>3562</v>
      </c>
      <c r="C42" s="15"/>
      <c r="D42" s="1"/>
      <c r="E42" s="1"/>
      <c r="F42" s="1"/>
      <c r="H42" s="2">
        <v>70500.0</v>
      </c>
    </row>
    <row r="43" ht="15.75" customHeight="1">
      <c r="A43" s="1"/>
      <c r="B43" s="97" t="s">
        <v>3563</v>
      </c>
      <c r="C43" s="15"/>
      <c r="D43" s="1"/>
      <c r="E43" s="1"/>
      <c r="F43" s="1"/>
      <c r="H43" s="2">
        <v>3400.0</v>
      </c>
    </row>
    <row r="44" ht="15.75" customHeight="1">
      <c r="A44" s="1"/>
      <c r="B44" s="97" t="s">
        <v>3564</v>
      </c>
      <c r="C44" s="15"/>
      <c r="D44" s="1"/>
      <c r="E44" s="1"/>
      <c r="F44" s="1"/>
      <c r="H44" s="2">
        <v>67500.0</v>
      </c>
    </row>
    <row r="45" ht="15.75" customHeight="1">
      <c r="A45" s="1"/>
      <c r="B45" s="97" t="s">
        <v>3565</v>
      </c>
      <c r="C45" s="15"/>
      <c r="D45" s="1"/>
      <c r="E45" s="1"/>
      <c r="F45" s="1"/>
      <c r="H45" s="2">
        <v>90000.0</v>
      </c>
    </row>
    <row r="46" ht="15.75" customHeight="1">
      <c r="A46" s="1"/>
      <c r="B46" s="97" t="s">
        <v>3566</v>
      </c>
      <c r="C46" s="15"/>
      <c r="D46" s="1"/>
      <c r="E46" s="1"/>
      <c r="F46" s="1"/>
      <c r="H46" s="2">
        <v>10000.0</v>
      </c>
    </row>
    <row r="47" ht="15.75" customHeight="1">
      <c r="A47" s="1"/>
      <c r="B47" s="97" t="s">
        <v>3567</v>
      </c>
      <c r="C47" s="15"/>
      <c r="D47" s="1"/>
      <c r="E47" s="1"/>
      <c r="F47" s="1"/>
      <c r="H47" s="2">
        <v>5878.0</v>
      </c>
    </row>
    <row r="48" ht="15.75" customHeight="1">
      <c r="A48" s="1"/>
      <c r="B48" s="97" t="s">
        <v>3568</v>
      </c>
      <c r="C48" s="15"/>
      <c r="D48" s="1"/>
      <c r="E48" s="1"/>
      <c r="F48" s="1"/>
      <c r="H48" s="2">
        <v>9553.0</v>
      </c>
    </row>
    <row r="49" ht="15.75" customHeight="1">
      <c r="A49" s="1"/>
      <c r="B49" s="97" t="s">
        <v>3569</v>
      </c>
      <c r="C49" s="15"/>
      <c r="D49" s="1"/>
      <c r="E49" s="1"/>
      <c r="F49" s="1"/>
      <c r="H49" s="2">
        <v>15000.0</v>
      </c>
    </row>
    <row r="50" ht="15.75" customHeight="1">
      <c r="A50" s="1"/>
      <c r="B50" s="97" t="s">
        <v>3570</v>
      </c>
      <c r="C50" s="15"/>
      <c r="D50" s="1"/>
      <c r="E50" s="1"/>
      <c r="F50" s="1"/>
      <c r="H50" s="2">
        <v>7500.0</v>
      </c>
    </row>
    <row r="51" ht="15.75" customHeight="1">
      <c r="A51" s="1"/>
      <c r="B51" s="97" t="s">
        <v>3571</v>
      </c>
      <c r="C51" s="15"/>
      <c r="D51" s="1"/>
      <c r="E51" s="1"/>
      <c r="F51" s="1"/>
      <c r="H51" s="2">
        <v>200000.0</v>
      </c>
    </row>
    <row r="52" ht="15.75" customHeight="1">
      <c r="A52" s="1"/>
      <c r="B52" s="97" t="s">
        <v>3572</v>
      </c>
      <c r="C52" s="15"/>
      <c r="D52" s="1"/>
      <c r="E52" s="1"/>
      <c r="F52" s="1"/>
      <c r="H52" s="2">
        <v>59000.0</v>
      </c>
    </row>
    <row r="53" ht="15.75" customHeight="1">
      <c r="A53" s="1"/>
      <c r="B53" s="97" t="s">
        <v>3573</v>
      </c>
      <c r="C53" s="15"/>
      <c r="D53" s="1"/>
      <c r="E53" s="1"/>
      <c r="F53" s="1"/>
      <c r="H53" s="2">
        <v>2000.0</v>
      </c>
    </row>
    <row r="54" ht="15.75" customHeight="1">
      <c r="A54" s="1"/>
      <c r="B54" s="97" t="s">
        <v>3574</v>
      </c>
      <c r="C54" s="15"/>
      <c r="D54" s="1"/>
      <c r="E54" s="1"/>
      <c r="F54" s="1"/>
      <c r="H54" s="2">
        <v>2000.0</v>
      </c>
    </row>
    <row r="55" ht="15.75" customHeight="1">
      <c r="A55" s="1"/>
      <c r="B55" s="97" t="s">
        <v>3575</v>
      </c>
      <c r="C55" s="15"/>
      <c r="D55" s="1"/>
      <c r="E55" s="1"/>
      <c r="F55" s="1"/>
      <c r="H55" s="2">
        <v>15000.0</v>
      </c>
    </row>
    <row r="56" ht="15.75" customHeight="1">
      <c r="A56" s="1"/>
      <c r="B56" s="97" t="s">
        <v>3576</v>
      </c>
      <c r="C56" s="15"/>
      <c r="D56" s="1"/>
      <c r="E56" s="1"/>
      <c r="F56" s="1"/>
      <c r="H56" s="2">
        <v>20000.0</v>
      </c>
    </row>
    <row r="57" ht="15.75" customHeight="1">
      <c r="A57" s="1"/>
      <c r="B57" s="97" t="s">
        <v>3577</v>
      </c>
      <c r="C57" s="15"/>
      <c r="D57" s="1"/>
      <c r="E57" s="1"/>
      <c r="F57" s="1"/>
      <c r="H57" s="2">
        <v>30000.0</v>
      </c>
    </row>
    <row r="58" ht="15.75" customHeight="1">
      <c r="A58" s="1"/>
      <c r="B58" s="97" t="s">
        <v>3578</v>
      </c>
      <c r="C58" s="15"/>
      <c r="D58" s="1"/>
      <c r="E58" s="1"/>
      <c r="F58" s="1"/>
      <c r="H58" s="2">
        <v>10000.0</v>
      </c>
    </row>
    <row r="59" ht="15.75" customHeight="1">
      <c r="A59" s="1"/>
      <c r="B59" s="97" t="s">
        <v>3579</v>
      </c>
      <c r="C59" s="15"/>
      <c r="D59" s="1"/>
      <c r="E59" s="1"/>
      <c r="F59" s="1"/>
      <c r="H59" s="2">
        <v>12000.0</v>
      </c>
    </row>
    <row r="60" ht="15.75" customHeight="1">
      <c r="A60" s="1"/>
      <c r="B60" s="97" t="s">
        <v>3580</v>
      </c>
      <c r="C60" s="15"/>
      <c r="D60" s="1"/>
      <c r="E60" s="1"/>
      <c r="F60" s="1"/>
      <c r="H60" s="2">
        <v>25000.0</v>
      </c>
    </row>
    <row r="61" ht="15.75" customHeight="1">
      <c r="A61" s="1"/>
      <c r="B61" s="97" t="s">
        <v>3581</v>
      </c>
      <c r="C61" s="15"/>
      <c r="D61" s="1"/>
      <c r="E61" s="1"/>
      <c r="F61" s="1"/>
      <c r="H61" s="2">
        <v>15000.0</v>
      </c>
    </row>
    <row r="62" ht="15.75" customHeight="1">
      <c r="A62" s="1"/>
      <c r="B62" s="97" t="s">
        <v>3582</v>
      </c>
      <c r="C62" s="15"/>
      <c r="D62" s="1"/>
      <c r="E62" s="1"/>
      <c r="F62" s="1"/>
      <c r="H62" s="2">
        <v>200000.0</v>
      </c>
    </row>
    <row r="63" ht="15.75" customHeight="1">
      <c r="A63" s="1"/>
      <c r="B63" s="97" t="s">
        <v>3583</v>
      </c>
      <c r="C63" s="15"/>
      <c r="D63" s="1"/>
      <c r="E63" s="1"/>
      <c r="F63" s="1"/>
      <c r="H63" s="2">
        <v>30000.0</v>
      </c>
    </row>
    <row r="64" ht="15.75" customHeight="1">
      <c r="A64" s="1"/>
      <c r="B64" s="97" t="s">
        <v>3584</v>
      </c>
      <c r="C64" s="15"/>
      <c r="D64" s="1"/>
      <c r="E64" s="1"/>
      <c r="F64" s="1"/>
      <c r="H64" s="2">
        <v>2100.0</v>
      </c>
    </row>
    <row r="65" ht="15.75" customHeight="1">
      <c r="A65" s="1"/>
      <c r="B65" s="97" t="s">
        <v>3585</v>
      </c>
      <c r="C65" s="15"/>
      <c r="D65" s="1"/>
      <c r="E65" s="1"/>
      <c r="F65" s="1"/>
      <c r="H65" s="2">
        <v>7500.0</v>
      </c>
    </row>
    <row r="66" ht="15.75" customHeight="1">
      <c r="A66" s="1"/>
      <c r="B66" s="97" t="s">
        <v>3586</v>
      </c>
      <c r="C66" s="15"/>
      <c r="D66" s="1"/>
      <c r="E66" s="1"/>
      <c r="F66" s="1"/>
      <c r="H66" s="2">
        <v>100000.0</v>
      </c>
    </row>
    <row r="67" ht="15.75" customHeight="1">
      <c r="A67" s="1"/>
      <c r="B67" s="97" t="s">
        <v>3587</v>
      </c>
      <c r="C67" s="15"/>
      <c r="D67" s="1"/>
      <c r="E67" s="1"/>
      <c r="F67" s="1"/>
      <c r="H67" s="2">
        <v>160000.0</v>
      </c>
    </row>
    <row r="68" ht="15.75" customHeight="1">
      <c r="A68" s="1"/>
      <c r="B68" s="111" t="s">
        <v>3588</v>
      </c>
      <c r="C68" s="1"/>
      <c r="D68" s="1"/>
      <c r="E68" s="1"/>
      <c r="F68" s="1"/>
      <c r="H68" s="13">
        <v>30000.0</v>
      </c>
    </row>
    <row r="69" ht="15.75" customHeight="1">
      <c r="A69" s="1"/>
      <c r="B69" s="111" t="s">
        <v>3589</v>
      </c>
      <c r="C69" s="1"/>
      <c r="D69" s="1"/>
      <c r="E69" s="1"/>
      <c r="F69" s="1"/>
      <c r="H69" s="13">
        <v>2100.0</v>
      </c>
    </row>
    <row r="70" ht="15.75" customHeight="1">
      <c r="A70" s="1"/>
      <c r="B70" s="110" t="s">
        <v>3590</v>
      </c>
      <c r="C70" s="93"/>
      <c r="D70" s="93"/>
      <c r="E70" s="93"/>
      <c r="F70" s="1"/>
      <c r="H70" s="13">
        <v>32000.0</v>
      </c>
    </row>
    <row r="71" ht="15.75" customHeight="1">
      <c r="A71" s="1"/>
      <c r="B71" s="110" t="s">
        <v>3591</v>
      </c>
      <c r="C71" s="93"/>
      <c r="D71" s="93"/>
      <c r="E71" s="93"/>
      <c r="F71" s="1"/>
      <c r="H71" s="13">
        <v>30300.0</v>
      </c>
    </row>
    <row r="72" ht="15.75" customHeight="1">
      <c r="A72" s="1"/>
      <c r="B72" s="110" t="s">
        <v>3592</v>
      </c>
      <c r="C72" s="93"/>
      <c r="D72" s="93"/>
      <c r="E72" s="93"/>
      <c r="F72" s="1"/>
      <c r="H72" s="13">
        <v>58000.0</v>
      </c>
    </row>
    <row r="73" ht="15.75" customHeight="1">
      <c r="A73" s="1"/>
      <c r="B73" s="110" t="s">
        <v>3593</v>
      </c>
      <c r="C73" s="93"/>
      <c r="D73" s="93"/>
      <c r="E73" s="93"/>
      <c r="F73" s="1"/>
      <c r="H73" s="13">
        <v>28000.0</v>
      </c>
    </row>
    <row r="74" ht="15.75" customHeight="1">
      <c r="A74" s="1"/>
      <c r="B74" s="110" t="s">
        <v>3594</v>
      </c>
      <c r="C74" s="93"/>
      <c r="D74" s="93"/>
      <c r="E74" s="93"/>
      <c r="F74" s="1"/>
      <c r="H74" s="13">
        <v>4800.0</v>
      </c>
    </row>
    <row r="75" ht="15.75" customHeight="1">
      <c r="A75" s="1"/>
      <c r="B75" s="111" t="s">
        <v>3576</v>
      </c>
      <c r="C75" s="1"/>
      <c r="D75" s="1"/>
      <c r="E75" s="1"/>
      <c r="F75" s="1"/>
      <c r="H75" s="13">
        <v>10000.0</v>
      </c>
    </row>
    <row r="76" ht="15.75" customHeight="1">
      <c r="A76" s="1"/>
      <c r="B76" s="97" t="s">
        <v>3595</v>
      </c>
      <c r="H76" s="2">
        <v>328500.0</v>
      </c>
    </row>
    <row r="77" ht="15.75" customHeight="1">
      <c r="A77" s="1"/>
      <c r="B77" s="97" t="s">
        <v>3596</v>
      </c>
      <c r="H77" s="2">
        <v>65250.0</v>
      </c>
    </row>
    <row r="78" ht="15.75" customHeight="1">
      <c r="A78" s="1"/>
      <c r="B78" s="97" t="s">
        <v>3597</v>
      </c>
      <c r="H78" s="2">
        <v>328500.0</v>
      </c>
    </row>
    <row r="79" ht="15.75" customHeight="1">
      <c r="A79" s="1"/>
      <c r="B79" s="97" t="s">
        <v>3598</v>
      </c>
      <c r="H79" s="2">
        <v>20500.0</v>
      </c>
    </row>
    <row r="80" ht="15.75" customHeight="1">
      <c r="A80" s="1"/>
      <c r="B80" s="110" t="s">
        <v>3599</v>
      </c>
      <c r="C80" s="93"/>
      <c r="D80" s="93"/>
      <c r="E80" s="93"/>
      <c r="F80" s="1"/>
      <c r="H80" s="13">
        <v>67250.0</v>
      </c>
    </row>
    <row r="81" ht="15.75" customHeight="1">
      <c r="A81" s="1"/>
      <c r="B81" s="97" t="s">
        <v>3600</v>
      </c>
      <c r="C81" s="15"/>
      <c r="D81" s="1"/>
      <c r="E81" s="1"/>
      <c r="F81" s="1"/>
      <c r="H81" s="2">
        <v>53792.0</v>
      </c>
    </row>
    <row r="82" ht="15.75" customHeight="1">
      <c r="A82" s="1"/>
      <c r="B82" s="110" t="s">
        <v>3380</v>
      </c>
      <c r="C82" s="93"/>
      <c r="D82" s="93"/>
      <c r="E82" s="93"/>
      <c r="F82" s="1"/>
      <c r="H82" s="13">
        <v>7500.0</v>
      </c>
    </row>
    <row r="83" ht="15.75" customHeight="1">
      <c r="A83" s="1"/>
      <c r="B83" s="110" t="s">
        <v>3601</v>
      </c>
      <c r="C83" s="93"/>
      <c r="D83" s="93"/>
      <c r="E83" s="93"/>
      <c r="F83" s="1"/>
      <c r="H83" s="13">
        <v>4000.0</v>
      </c>
    </row>
    <row r="84" ht="15.75" customHeight="1">
      <c r="A84" s="1"/>
      <c r="B84" s="110" t="s">
        <v>3602</v>
      </c>
      <c r="C84" s="93"/>
      <c r="D84" s="93"/>
      <c r="E84" s="93"/>
      <c r="F84" s="1"/>
      <c r="H84" s="13">
        <v>137625.0</v>
      </c>
    </row>
    <row r="85" ht="15.75" customHeight="1">
      <c r="A85" s="1"/>
      <c r="B85" s="97" t="s">
        <v>3603</v>
      </c>
      <c r="C85" s="15"/>
      <c r="D85" s="1"/>
      <c r="E85" s="1"/>
      <c r="F85" s="1"/>
      <c r="H85" s="2">
        <v>362500.0</v>
      </c>
    </row>
    <row r="86" ht="15.75" customHeight="1">
      <c r="A86" s="1"/>
      <c r="B86" s="97" t="s">
        <v>3604</v>
      </c>
      <c r="H86" s="2">
        <v>425000.0</v>
      </c>
    </row>
    <row r="87" ht="15.75" customHeight="1">
      <c r="A87" s="1"/>
      <c r="B87" s="97" t="s">
        <v>3605</v>
      </c>
      <c r="H87" s="2">
        <v>362500.0</v>
      </c>
    </row>
    <row r="88" ht="15.75" customHeight="1">
      <c r="A88" s="1"/>
      <c r="B88" s="110" t="s">
        <v>3606</v>
      </c>
      <c r="C88" s="93"/>
      <c r="D88" s="93"/>
      <c r="E88" s="93"/>
      <c r="F88" s="1"/>
      <c r="H88" s="13">
        <v>21000.0</v>
      </c>
    </row>
    <row r="89" ht="15.75" customHeight="1">
      <c r="A89" s="1"/>
      <c r="B89" s="97" t="s">
        <v>3553</v>
      </c>
      <c r="C89" s="15"/>
      <c r="D89" s="1"/>
      <c r="E89" s="1"/>
      <c r="F89" s="1"/>
      <c r="H89" s="2">
        <v>18000.0</v>
      </c>
    </row>
    <row r="90" ht="15.75" customHeight="1">
      <c r="A90" s="1"/>
      <c r="B90" s="97" t="s">
        <v>3546</v>
      </c>
      <c r="C90" s="15"/>
      <c r="D90" s="1"/>
      <c r="E90" s="1"/>
      <c r="F90" s="1"/>
      <c r="H90" s="2">
        <v>147000.0</v>
      </c>
    </row>
    <row r="91" ht="15.75" customHeight="1">
      <c r="A91" s="1"/>
      <c r="B91" s="97" t="s">
        <v>3607</v>
      </c>
      <c r="C91" s="15"/>
      <c r="D91" s="1"/>
      <c r="E91" s="1"/>
      <c r="F91" s="1"/>
      <c r="H91" s="2">
        <v>47500.0</v>
      </c>
    </row>
    <row r="92" ht="15.75" customHeight="1">
      <c r="A92" s="1"/>
      <c r="B92" s="4" t="s">
        <v>3608</v>
      </c>
      <c r="C92" s="15"/>
      <c r="D92" s="1"/>
      <c r="E92" s="1"/>
      <c r="F92" s="1"/>
      <c r="H92" s="2">
        <v>60000.0</v>
      </c>
    </row>
    <row r="93" ht="15.75" customHeight="1">
      <c r="A93" s="1"/>
      <c r="B93" s="3" t="s">
        <v>43</v>
      </c>
      <c r="C93" s="1"/>
      <c r="D93" s="1"/>
      <c r="E93" s="1"/>
      <c r="F93" s="1"/>
      <c r="G93" s="54">
        <f>SUM(H23:H92)</f>
        <v>4515135</v>
      </c>
    </row>
    <row r="94" ht="15.75" customHeight="1">
      <c r="A94" s="1"/>
      <c r="B94" s="19" t="s">
        <v>45</v>
      </c>
      <c r="C94" s="20"/>
      <c r="D94" s="20"/>
      <c r="E94" s="20"/>
      <c r="F94" s="20"/>
      <c r="G94" s="102">
        <f>SUM(G21+G93)</f>
        <v>5515135</v>
      </c>
      <c r="H94" s="53"/>
    </row>
    <row r="95" ht="15.75" customHeight="1">
      <c r="A95" s="35" t="s">
        <v>3130</v>
      </c>
      <c r="B95" s="36" t="s">
        <v>3301</v>
      </c>
      <c r="C95" s="37"/>
      <c r="D95" s="82"/>
      <c r="E95" s="37"/>
      <c r="F95" s="37"/>
      <c r="G95" s="103">
        <f> G10-G94</f>
        <v>7238515</v>
      </c>
      <c r="H95" s="53"/>
    </row>
    <row r="96" ht="15.75" customHeight="1">
      <c r="A96" s="22" t="s">
        <v>254</v>
      </c>
      <c r="B96" s="43" t="s">
        <v>255</v>
      </c>
      <c r="C96" s="1"/>
      <c r="D96" s="1"/>
      <c r="E96" s="1"/>
      <c r="F96" s="1"/>
      <c r="H96" s="2"/>
    </row>
    <row r="97" ht="15.75" customHeight="1">
      <c r="B97" s="4" t="s">
        <v>3609</v>
      </c>
      <c r="C97" s="15"/>
      <c r="D97" s="1"/>
      <c r="E97" s="1"/>
      <c r="F97" s="1"/>
      <c r="H97" s="112" t="s">
        <v>3610</v>
      </c>
    </row>
    <row r="98" ht="15.75" customHeight="1">
      <c r="B98" s="1" t="s">
        <v>3611</v>
      </c>
      <c r="C98" s="1"/>
      <c r="D98" s="1"/>
      <c r="E98" s="1"/>
      <c r="F98" s="1"/>
      <c r="H98" s="2" t="s">
        <v>3612</v>
      </c>
    </row>
    <row r="99" ht="15.75" customHeight="1">
      <c r="A99" s="22"/>
      <c r="B99" s="72" t="s">
        <v>51</v>
      </c>
      <c r="C99" s="27"/>
      <c r="D99" s="27"/>
      <c r="E99" s="27"/>
      <c r="F99" s="27"/>
      <c r="G99" s="104">
        <v>2494835.0</v>
      </c>
      <c r="H99" s="53"/>
    </row>
    <row r="100" ht="15.75" customHeight="1">
      <c r="A100" s="22"/>
      <c r="B100" s="91" t="s">
        <v>3613</v>
      </c>
      <c r="C100" s="45"/>
      <c r="D100" s="45"/>
      <c r="E100" s="46"/>
      <c r="F100" s="46"/>
      <c r="G100" s="105">
        <f>G2+G95-G99</f>
        <v>17294798</v>
      </c>
      <c r="H100" s="53"/>
    </row>
    <row r="101" ht="15.75" customHeight="1">
      <c r="A101" s="22"/>
      <c r="B101" s="32" t="s">
        <v>3365</v>
      </c>
    </row>
    <row r="102" ht="15.75" customHeight="1">
      <c r="A102" s="22"/>
      <c r="B102" s="1"/>
      <c r="C102" s="1" t="s">
        <v>3137</v>
      </c>
      <c r="D102" s="1"/>
      <c r="E102" s="1"/>
      <c r="F102" s="1"/>
      <c r="H102" s="38">
        <v>46000.0</v>
      </c>
    </row>
    <row r="103" ht="15.75" customHeight="1">
      <c r="A103" s="22"/>
      <c r="B103" s="1"/>
      <c r="C103" s="1" t="s">
        <v>3218</v>
      </c>
      <c r="D103" s="1"/>
      <c r="E103" s="1"/>
      <c r="F103" s="1"/>
      <c r="H103" s="38">
        <v>2166600.0</v>
      </c>
    </row>
    <row r="104" ht="18.0" customHeight="1">
      <c r="A104" s="44"/>
      <c r="B104" s="1"/>
      <c r="C104" s="43" t="s">
        <v>115</v>
      </c>
      <c r="D104" s="1"/>
      <c r="E104" s="1"/>
      <c r="F104" s="1"/>
      <c r="H104" s="71">
        <v>2212600.0</v>
      </c>
    </row>
    <row r="105" ht="15.75" customHeight="1">
      <c r="A105" s="43" t="s">
        <v>3420</v>
      </c>
      <c r="B105" s="56"/>
      <c r="C105" s="56"/>
      <c r="D105" s="56"/>
      <c r="F105" s="93"/>
      <c r="G105" s="55"/>
    </row>
    <row r="106" ht="15.75" customHeight="1">
      <c r="A106" s="43" t="s">
        <v>3614</v>
      </c>
      <c r="B106" s="56"/>
      <c r="C106" s="56"/>
      <c r="D106" s="56"/>
      <c r="F106" s="93"/>
      <c r="G106" s="55"/>
    </row>
    <row r="107" ht="15.75" customHeight="1">
      <c r="A107" s="43" t="s">
        <v>3615</v>
      </c>
      <c r="B107" s="55"/>
      <c r="C107" s="55"/>
      <c r="D107" s="55"/>
      <c r="G107" s="55"/>
    </row>
    <row r="108" ht="15.75" customHeight="1">
      <c r="A108" s="43" t="s">
        <v>3616</v>
      </c>
      <c r="B108" s="107"/>
      <c r="C108" s="107"/>
      <c r="D108" s="55"/>
      <c r="G108" s="77"/>
    </row>
    <row r="109" ht="15.75" customHeight="1">
      <c r="A109" s="106" t="s">
        <v>3617</v>
      </c>
      <c r="B109" s="108"/>
      <c r="C109" s="109"/>
      <c r="D109" s="109"/>
      <c r="E109" s="109"/>
      <c r="G109" s="109"/>
      <c r="H109" s="109"/>
    </row>
    <row r="110" ht="15.75" customHeight="1">
      <c r="A110" s="107" t="s">
        <v>3054</v>
      </c>
      <c r="B110" s="109"/>
      <c r="C110" s="109"/>
      <c r="D110" s="109"/>
      <c r="E110" s="109"/>
      <c r="F110" s="108" t="s">
        <v>3227</v>
      </c>
    </row>
    <row r="111" ht="15.75" customHeight="1">
      <c r="A111" s="107"/>
      <c r="B111" s="109"/>
      <c r="C111" s="109"/>
      <c r="D111" s="109"/>
      <c r="E111" s="109"/>
    </row>
    <row r="112" ht="15.75" customHeight="1">
      <c r="A112" s="107" t="s">
        <v>3055</v>
      </c>
      <c r="B112" s="109"/>
      <c r="C112" s="109"/>
      <c r="D112" s="109"/>
      <c r="E112" s="109"/>
      <c r="F112" s="108" t="s">
        <v>3311</v>
      </c>
      <c r="G112" s="109"/>
      <c r="H112" s="109"/>
    </row>
    <row r="113" ht="15.75" customHeight="1">
      <c r="A113" s="107"/>
      <c r="B113" s="109"/>
      <c r="C113" s="109"/>
      <c r="D113" s="109"/>
      <c r="E113" s="109"/>
      <c r="F113" s="108"/>
      <c r="G113" s="109"/>
      <c r="H113" s="109"/>
    </row>
    <row r="114" ht="15.75" customHeight="1">
      <c r="A114" s="107" t="s">
        <v>3224</v>
      </c>
      <c r="B114" s="109"/>
      <c r="C114" s="109"/>
      <c r="D114" s="109"/>
      <c r="E114" s="109"/>
      <c r="F114" s="108" t="s">
        <v>3618</v>
      </c>
      <c r="G114" s="109"/>
      <c r="H114" s="109"/>
    </row>
    <row r="115" ht="15.75" customHeight="1">
      <c r="A115" s="107"/>
      <c r="B115" s="109"/>
      <c r="C115" s="109"/>
      <c r="D115" s="109"/>
      <c r="E115" s="109"/>
      <c r="F115" s="108"/>
      <c r="G115" s="109"/>
      <c r="H115" s="109"/>
    </row>
    <row r="116" ht="15.75" customHeight="1">
      <c r="A116" s="107" t="s">
        <v>3057</v>
      </c>
      <c r="B116" s="109"/>
      <c r="C116" s="109"/>
      <c r="D116" s="109"/>
      <c r="E116" s="109"/>
      <c r="F116" s="109" t="s">
        <v>3619</v>
      </c>
      <c r="G116" s="109"/>
      <c r="H116" s="109"/>
    </row>
    <row r="117" ht="15.75" customHeight="1">
      <c r="A117" s="107"/>
      <c r="B117" s="109"/>
      <c r="C117" s="109"/>
      <c r="D117" s="109"/>
      <c r="E117" s="109"/>
      <c r="F117" s="109"/>
      <c r="G117" s="109"/>
      <c r="H117" s="109"/>
    </row>
    <row r="118" ht="15.75" customHeight="1">
      <c r="A118" s="108" t="s">
        <v>3313</v>
      </c>
    </row>
    <row r="119" ht="15.75" customHeight="1">
      <c r="A119" s="55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94:H94"/>
    <mergeCell ref="G95:H95"/>
    <mergeCell ref="G99:H99"/>
    <mergeCell ref="G100:H100"/>
    <mergeCell ref="B101:G101"/>
    <mergeCell ref="A2:F2"/>
    <mergeCell ref="G2:H2"/>
    <mergeCell ref="A9:B9"/>
    <mergeCell ref="B10:F10"/>
    <mergeCell ref="G10:H10"/>
    <mergeCell ref="G21:H21"/>
    <mergeCell ref="G93:H93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9.14"/>
    <col customWidth="1" min="9" max="26" width="10.71"/>
  </cols>
  <sheetData>
    <row r="1" ht="24.75" customHeight="1">
      <c r="A1" s="1" t="s">
        <v>721</v>
      </c>
      <c r="B1" s="3" t="s">
        <v>3620</v>
      </c>
      <c r="C1" s="3"/>
      <c r="D1" s="3"/>
      <c r="E1" s="3"/>
      <c r="F1" s="3"/>
      <c r="G1" s="3"/>
    </row>
    <row r="2" ht="18.75" customHeight="1">
      <c r="A2" s="75" t="s">
        <v>3621</v>
      </c>
      <c r="G2" s="87">
        <v>1.7302298E7</v>
      </c>
      <c r="H2" s="53"/>
    </row>
    <row r="3">
      <c r="A3" s="6" t="s">
        <v>3622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0.0</v>
      </c>
      <c r="E4" s="2">
        <v>25000.0</v>
      </c>
      <c r="F4" s="2">
        <v>17500.0</v>
      </c>
      <c r="G4" s="7">
        <v>312500.0</v>
      </c>
      <c r="H4" s="60">
        <v>10000.0</v>
      </c>
    </row>
    <row r="5">
      <c r="A5" s="1"/>
      <c r="B5" s="4" t="s">
        <v>64</v>
      </c>
      <c r="C5" s="1"/>
      <c r="D5" s="2">
        <v>128000.0</v>
      </c>
      <c r="E5" s="2">
        <v>169000.0</v>
      </c>
      <c r="F5" s="2">
        <v>327500.0</v>
      </c>
      <c r="G5" s="7">
        <v>2170400.0</v>
      </c>
      <c r="H5" s="2">
        <v>100000.0</v>
      </c>
    </row>
    <row r="6">
      <c r="A6" s="1"/>
      <c r="B6" s="4" t="s">
        <v>65</v>
      </c>
      <c r="C6" s="1"/>
      <c r="D6" s="2">
        <v>90500.0</v>
      </c>
      <c r="E6" s="2">
        <v>47000.0</v>
      </c>
      <c r="F6" s="2">
        <v>77500.0</v>
      </c>
      <c r="G6" s="7">
        <v>588100.0</v>
      </c>
      <c r="H6" s="2">
        <v>110000.0</v>
      </c>
    </row>
    <row r="7">
      <c r="A7" s="1"/>
      <c r="B7" s="4" t="s">
        <v>66</v>
      </c>
      <c r="C7" s="1"/>
      <c r="D7" s="2">
        <v>209000.0</v>
      </c>
      <c r="E7" s="2">
        <v>208000.0</v>
      </c>
      <c r="F7" s="2">
        <v>217500.0</v>
      </c>
      <c r="G7" s="76">
        <v>1910150.0</v>
      </c>
      <c r="H7" s="2">
        <v>146000.0</v>
      </c>
      <c r="J7" s="60"/>
      <c r="K7" s="67" t="s">
        <v>480</v>
      </c>
    </row>
    <row r="8">
      <c r="A8" s="1"/>
      <c r="B8" s="4" t="s">
        <v>3623</v>
      </c>
      <c r="C8" s="1"/>
      <c r="D8" s="2">
        <v>135500.0</v>
      </c>
      <c r="E8" s="2">
        <v>148000.0</v>
      </c>
      <c r="F8" s="2">
        <v>187500.0</v>
      </c>
      <c r="G8" s="76">
        <v>1485900.0</v>
      </c>
      <c r="H8" s="2">
        <v>168000.0</v>
      </c>
      <c r="J8" s="2"/>
    </row>
    <row r="9">
      <c r="A9" s="50" t="s">
        <v>405</v>
      </c>
      <c r="D9" s="60">
        <f t="shared" ref="D9:H9" si="1">SUM(D4:D8)</f>
        <v>563000</v>
      </c>
      <c r="E9" s="60">
        <f t="shared" si="1"/>
        <v>597000</v>
      </c>
      <c r="F9" s="60">
        <f t="shared" si="1"/>
        <v>827500</v>
      </c>
      <c r="G9" s="60">
        <f t="shared" si="1"/>
        <v>6467050</v>
      </c>
      <c r="H9" s="60">
        <f t="shared" si="1"/>
        <v>534000</v>
      </c>
    </row>
    <row r="10">
      <c r="A10" s="1"/>
      <c r="B10" s="51" t="s">
        <v>9</v>
      </c>
      <c r="C10" s="52"/>
      <c r="D10" s="52"/>
      <c r="E10" s="52"/>
      <c r="F10" s="53"/>
      <c r="G10" s="100">
        <f>SUM(D9:H9)</f>
        <v>8988550</v>
      </c>
      <c r="H10" s="53"/>
    </row>
    <row r="11">
      <c r="A11" s="6" t="s">
        <v>3624</v>
      </c>
      <c r="B11" s="1"/>
      <c r="C11" s="1"/>
      <c r="D11" s="1"/>
      <c r="E11" s="1"/>
      <c r="F11" s="1"/>
      <c r="G11" s="2" t="s">
        <v>480</v>
      </c>
    </row>
    <row r="12">
      <c r="A12" s="1"/>
      <c r="B12" s="12" t="s">
        <v>3373</v>
      </c>
      <c r="C12" s="1"/>
      <c r="D12" s="1"/>
      <c r="E12" s="1"/>
      <c r="F12" s="1"/>
      <c r="G12" s="2"/>
    </row>
    <row r="13">
      <c r="A13" s="1"/>
      <c r="B13" s="4" t="s">
        <v>3494</v>
      </c>
      <c r="C13" s="1"/>
      <c r="D13" s="1"/>
      <c r="E13" s="1"/>
      <c r="F13" s="1"/>
      <c r="H13" s="77">
        <v>120000.0</v>
      </c>
    </row>
    <row r="14">
      <c r="A14" s="1"/>
      <c r="B14" s="4" t="s">
        <v>3234</v>
      </c>
      <c r="C14" s="1"/>
      <c r="D14" s="1"/>
      <c r="E14" s="1"/>
      <c r="F14" s="1"/>
      <c r="H14" s="77">
        <v>200000.0</v>
      </c>
      <c r="M14" s="67" t="s">
        <v>2139</v>
      </c>
    </row>
    <row r="15">
      <c r="A15" s="1"/>
      <c r="B15" s="4" t="s">
        <v>3318</v>
      </c>
      <c r="C15" s="1"/>
      <c r="D15" s="1"/>
      <c r="E15" s="1"/>
      <c r="F15" s="1"/>
      <c r="H15" s="77">
        <v>100000.0</v>
      </c>
      <c r="L15" s="67" t="s">
        <v>3543</v>
      </c>
    </row>
    <row r="16">
      <c r="A16" s="1"/>
      <c r="B16" s="4" t="s">
        <v>3150</v>
      </c>
      <c r="C16" s="1"/>
      <c r="D16" s="1"/>
      <c r="E16" s="1"/>
      <c r="F16" s="1"/>
      <c r="H16" s="77">
        <v>80000.0</v>
      </c>
    </row>
    <row r="17">
      <c r="A17" s="1"/>
      <c r="B17" s="4" t="s">
        <v>3236</v>
      </c>
      <c r="C17" s="1"/>
      <c r="D17" s="1"/>
      <c r="E17" s="1"/>
      <c r="F17" s="1"/>
      <c r="H17" s="77">
        <v>100000.0</v>
      </c>
    </row>
    <row r="18">
      <c r="A18" s="1"/>
      <c r="B18" s="4" t="s">
        <v>3237</v>
      </c>
      <c r="C18" s="1"/>
      <c r="D18" s="1"/>
      <c r="E18" s="1"/>
      <c r="F18" s="1"/>
      <c r="H18" s="77">
        <v>150000.0</v>
      </c>
    </row>
    <row r="19">
      <c r="A19" s="1"/>
      <c r="B19" s="4" t="s">
        <v>3238</v>
      </c>
      <c r="C19" s="1"/>
      <c r="D19" s="1"/>
      <c r="E19" s="1"/>
      <c r="F19" s="1"/>
      <c r="H19" s="77">
        <v>150000.0</v>
      </c>
    </row>
    <row r="20">
      <c r="A20" s="1"/>
      <c r="B20" s="4" t="s">
        <v>3625</v>
      </c>
      <c r="C20" s="1"/>
      <c r="D20" s="1"/>
      <c r="E20" s="1"/>
      <c r="F20" s="1"/>
      <c r="H20" s="77">
        <v>65650.0</v>
      </c>
    </row>
    <row r="21" ht="15.75" customHeight="1">
      <c r="A21" s="1"/>
      <c r="B21" s="4" t="s">
        <v>3431</v>
      </c>
      <c r="C21" s="1"/>
      <c r="D21" s="1"/>
      <c r="E21" s="1"/>
      <c r="F21" s="1"/>
      <c r="H21" s="77">
        <v>30000.0</v>
      </c>
    </row>
    <row r="22" ht="15.75" customHeight="1">
      <c r="A22" s="1"/>
      <c r="B22" s="9" t="s">
        <v>3432</v>
      </c>
      <c r="C22" s="10"/>
      <c r="D22" s="10"/>
      <c r="E22" s="10"/>
      <c r="F22" s="10"/>
      <c r="G22" s="101">
        <f>SUM(H13:H21)</f>
        <v>995650</v>
      </c>
      <c r="H22" s="53"/>
    </row>
    <row r="23" ht="15.75" customHeight="1">
      <c r="A23" s="1"/>
      <c r="B23" s="12" t="s">
        <v>19</v>
      </c>
      <c r="C23" s="15"/>
      <c r="D23" s="1"/>
      <c r="E23" s="1"/>
      <c r="F23" s="1"/>
    </row>
    <row r="24" ht="15.75" customHeight="1">
      <c r="A24" s="1"/>
      <c r="B24" s="97" t="s">
        <v>3626</v>
      </c>
      <c r="C24" s="15"/>
      <c r="D24" s="1"/>
      <c r="E24" s="1"/>
      <c r="F24" s="1"/>
      <c r="H24" s="2">
        <v>5000.0</v>
      </c>
    </row>
    <row r="25" ht="15.75" customHeight="1">
      <c r="A25" s="1"/>
      <c r="B25" s="97" t="s">
        <v>3627</v>
      </c>
      <c r="C25" s="15"/>
      <c r="D25" s="1"/>
      <c r="E25" s="1"/>
      <c r="F25" s="1"/>
      <c r="H25" s="2">
        <v>10700.0</v>
      </c>
    </row>
    <row r="26" ht="15.75" customHeight="1">
      <c r="A26" s="1"/>
      <c r="B26" s="97" t="s">
        <v>3628</v>
      </c>
      <c r="C26" s="15"/>
      <c r="D26" s="1"/>
      <c r="E26" s="1"/>
      <c r="F26" s="1"/>
      <c r="H26" s="2">
        <v>2000.0</v>
      </c>
    </row>
    <row r="27" ht="15.75" customHeight="1">
      <c r="A27" s="1"/>
      <c r="B27" s="97" t="s">
        <v>3629</v>
      </c>
      <c r="C27" s="15"/>
      <c r="D27" s="1"/>
      <c r="E27" s="1"/>
      <c r="F27" s="1"/>
      <c r="H27" s="2">
        <v>32040.0</v>
      </c>
    </row>
    <row r="28" ht="15.75" customHeight="1">
      <c r="A28" s="1"/>
      <c r="B28" s="97" t="s">
        <v>3630</v>
      </c>
      <c r="C28" s="15"/>
      <c r="D28" s="1"/>
      <c r="E28" s="1"/>
      <c r="F28" s="1"/>
      <c r="H28" s="2">
        <v>32776.0</v>
      </c>
    </row>
    <row r="29" ht="15.75" customHeight="1">
      <c r="A29" s="1"/>
      <c r="B29" s="97" t="s">
        <v>3631</v>
      </c>
      <c r="C29" s="15"/>
      <c r="D29" s="1"/>
      <c r="E29" s="1"/>
      <c r="F29" s="1"/>
      <c r="H29" s="2">
        <v>8400.0</v>
      </c>
    </row>
    <row r="30" ht="15.75" customHeight="1">
      <c r="A30" s="1"/>
      <c r="B30" s="97" t="s">
        <v>3632</v>
      </c>
      <c r="C30" s="15"/>
      <c r="D30" s="1"/>
      <c r="E30" s="1"/>
      <c r="F30" s="1"/>
      <c r="H30" s="2">
        <v>35000.0</v>
      </c>
    </row>
    <row r="31" ht="15.75" customHeight="1">
      <c r="A31" s="1"/>
      <c r="B31" s="97" t="s">
        <v>3396</v>
      </c>
      <c r="C31" s="15"/>
      <c r="D31" s="1"/>
      <c r="E31" s="1"/>
      <c r="F31" s="1"/>
      <c r="H31" s="2">
        <v>14000.0</v>
      </c>
    </row>
    <row r="32" ht="15.75" customHeight="1">
      <c r="A32" s="1"/>
      <c r="B32" s="97" t="s">
        <v>3633</v>
      </c>
      <c r="C32" s="15"/>
      <c r="D32" s="1"/>
      <c r="E32" s="1"/>
      <c r="F32" s="1"/>
      <c r="H32" s="2">
        <v>47000.0</v>
      </c>
    </row>
    <row r="33" ht="15.75" customHeight="1">
      <c r="A33" s="1"/>
      <c r="B33" s="97" t="s">
        <v>3634</v>
      </c>
      <c r="C33" s="15"/>
      <c r="D33" s="1"/>
      <c r="E33" s="1"/>
      <c r="F33" s="1"/>
      <c r="H33" s="2">
        <v>3000.0</v>
      </c>
    </row>
    <row r="34" ht="15.75" customHeight="1">
      <c r="A34" s="1"/>
      <c r="B34" s="97" t="s">
        <v>3635</v>
      </c>
      <c r="C34" s="15"/>
      <c r="D34" s="1"/>
      <c r="E34" s="1"/>
      <c r="F34" s="1"/>
      <c r="H34" s="2">
        <v>32000.0</v>
      </c>
    </row>
    <row r="35" ht="15.75" customHeight="1">
      <c r="A35" s="1"/>
      <c r="B35" s="97" t="s">
        <v>3636</v>
      </c>
      <c r="C35" s="15"/>
      <c r="D35" s="1"/>
      <c r="E35" s="1"/>
      <c r="F35" s="1"/>
      <c r="H35" s="2">
        <v>10000.0</v>
      </c>
    </row>
    <row r="36" ht="15.75" customHeight="1">
      <c r="A36" s="1"/>
      <c r="B36" s="97" t="s">
        <v>3380</v>
      </c>
      <c r="C36" s="15"/>
      <c r="D36" s="1"/>
      <c r="E36" s="1"/>
      <c r="F36" s="1"/>
      <c r="H36" s="2">
        <v>7500.0</v>
      </c>
    </row>
    <row r="37" ht="15.75" customHeight="1">
      <c r="A37" s="1"/>
      <c r="B37" s="97" t="s">
        <v>3637</v>
      </c>
      <c r="C37" s="15"/>
      <c r="D37" s="1"/>
      <c r="E37" s="1"/>
      <c r="F37" s="1"/>
      <c r="H37" s="2">
        <v>33500.0</v>
      </c>
    </row>
    <row r="38" ht="15.75" customHeight="1">
      <c r="A38" s="1"/>
      <c r="B38" s="97" t="s">
        <v>3638</v>
      </c>
      <c r="C38" s="15"/>
      <c r="D38" s="1"/>
      <c r="E38" s="1"/>
      <c r="F38" s="1"/>
      <c r="H38" s="2">
        <v>24000.0</v>
      </c>
    </row>
    <row r="39" ht="15.75" customHeight="1">
      <c r="A39" s="1"/>
      <c r="B39" s="97" t="s">
        <v>3639</v>
      </c>
      <c r="C39" s="15"/>
      <c r="D39" s="1"/>
      <c r="E39" s="1"/>
      <c r="F39" s="1"/>
      <c r="H39" s="2">
        <v>100000.0</v>
      </c>
    </row>
    <row r="40" ht="15.75" customHeight="1">
      <c r="A40" s="1"/>
      <c r="B40" s="97" t="s">
        <v>3640</v>
      </c>
      <c r="C40" s="15"/>
      <c r="D40" s="1"/>
      <c r="E40" s="1"/>
      <c r="F40" s="1"/>
      <c r="H40" s="2">
        <v>24500.0</v>
      </c>
    </row>
    <row r="41" ht="15.75" customHeight="1">
      <c r="A41" s="1"/>
      <c r="B41" s="97" t="s">
        <v>3641</v>
      </c>
      <c r="C41" s="15"/>
      <c r="D41" s="1"/>
      <c r="E41" s="1"/>
      <c r="F41" s="1"/>
      <c r="H41" s="2">
        <v>10500.0</v>
      </c>
    </row>
    <row r="42" ht="15.75" customHeight="1">
      <c r="A42" s="1"/>
      <c r="B42" s="97" t="s">
        <v>3396</v>
      </c>
      <c r="C42" s="15"/>
      <c r="D42" s="1"/>
      <c r="E42" s="1"/>
      <c r="F42" s="1"/>
      <c r="H42" s="2">
        <v>12000.0</v>
      </c>
    </row>
    <row r="43" ht="15.75" customHeight="1">
      <c r="A43" s="1"/>
      <c r="B43" s="97" t="s">
        <v>3557</v>
      </c>
      <c r="C43" s="15"/>
      <c r="D43" s="1"/>
      <c r="E43" s="1"/>
      <c r="F43" s="1"/>
      <c r="H43" s="2">
        <v>60000.0</v>
      </c>
    </row>
    <row r="44" ht="15.75" customHeight="1">
      <c r="A44" s="1"/>
      <c r="B44" s="97" t="s">
        <v>3642</v>
      </c>
      <c r="C44" s="15"/>
      <c r="D44" s="1"/>
      <c r="E44" s="1"/>
      <c r="F44" s="1"/>
      <c r="H44" s="2">
        <v>800.0</v>
      </c>
    </row>
    <row r="45" ht="15.75" customHeight="1">
      <c r="A45" s="1"/>
      <c r="B45" s="97" t="s">
        <v>3643</v>
      </c>
      <c r="H45" s="2">
        <v>2000.0</v>
      </c>
    </row>
    <row r="46" ht="15.75" customHeight="1">
      <c r="A46" s="1"/>
      <c r="B46" s="97" t="s">
        <v>3644</v>
      </c>
      <c r="H46" s="2">
        <v>80000.0</v>
      </c>
    </row>
    <row r="47" ht="15.75" customHeight="1">
      <c r="A47" s="1"/>
      <c r="B47" s="97" t="s">
        <v>3645</v>
      </c>
      <c r="H47" s="2">
        <v>52000.0</v>
      </c>
    </row>
    <row r="48" ht="15.75" customHeight="1">
      <c r="A48" s="1"/>
      <c r="B48" s="97" t="s">
        <v>3646</v>
      </c>
      <c r="H48" s="2">
        <v>10000.0</v>
      </c>
    </row>
    <row r="49" ht="15.75" customHeight="1">
      <c r="A49" s="1"/>
      <c r="B49" s="97" t="s">
        <v>3647</v>
      </c>
      <c r="H49" s="2">
        <v>35400.0</v>
      </c>
    </row>
    <row r="50" ht="15.75" customHeight="1">
      <c r="A50" s="1"/>
      <c r="B50" s="97" t="s">
        <v>3648</v>
      </c>
      <c r="H50" s="2">
        <v>6000.0</v>
      </c>
    </row>
    <row r="51" ht="15.75" customHeight="1">
      <c r="A51" s="1"/>
      <c r="B51" s="97" t="s">
        <v>3649</v>
      </c>
      <c r="C51" s="15"/>
      <c r="D51" s="1"/>
      <c r="E51" s="1"/>
      <c r="F51" s="1"/>
      <c r="H51" s="2">
        <v>2200.0</v>
      </c>
    </row>
    <row r="52" ht="15.75" customHeight="1">
      <c r="A52" s="1"/>
      <c r="B52" s="97" t="s">
        <v>1717</v>
      </c>
      <c r="C52" s="15"/>
      <c r="D52" s="1"/>
      <c r="E52" s="1"/>
      <c r="F52" s="1"/>
      <c r="H52" s="2">
        <v>7500.0</v>
      </c>
    </row>
    <row r="53" ht="15.75" customHeight="1">
      <c r="A53" s="1"/>
      <c r="B53" s="97" t="s">
        <v>3650</v>
      </c>
      <c r="C53" s="15"/>
      <c r="D53" s="1"/>
      <c r="E53" s="1"/>
      <c r="F53" s="1"/>
      <c r="H53" s="2">
        <v>5000.0</v>
      </c>
    </row>
    <row r="54" ht="15.75" customHeight="1">
      <c r="A54" s="1"/>
      <c r="B54" s="97" t="s">
        <v>3651</v>
      </c>
      <c r="C54" s="15"/>
      <c r="D54" s="1"/>
      <c r="E54" s="1"/>
      <c r="F54" s="1"/>
      <c r="H54" s="2">
        <v>8305.0</v>
      </c>
    </row>
    <row r="55" ht="15.75" customHeight="1">
      <c r="A55" s="1"/>
      <c r="B55" s="97" t="s">
        <v>3652</v>
      </c>
      <c r="C55" s="15"/>
      <c r="D55" s="1"/>
      <c r="E55" s="1"/>
      <c r="F55" s="1"/>
      <c r="H55" s="2">
        <v>3000.0</v>
      </c>
    </row>
    <row r="56" ht="15.75" customHeight="1">
      <c r="A56" s="1"/>
      <c r="B56" s="97" t="s">
        <v>3396</v>
      </c>
      <c r="C56" s="15"/>
      <c r="D56" s="1"/>
      <c r="E56" s="1"/>
      <c r="F56" s="1"/>
      <c r="H56" s="2">
        <v>20000.0</v>
      </c>
    </row>
    <row r="57" ht="15.75" customHeight="1">
      <c r="A57" s="1"/>
      <c r="B57" s="97" t="s">
        <v>3653</v>
      </c>
      <c r="C57" s="15"/>
      <c r="D57" s="1"/>
      <c r="E57" s="1"/>
      <c r="F57" s="1"/>
      <c r="H57" s="2">
        <v>22000.0</v>
      </c>
    </row>
    <row r="58" ht="15.75" customHeight="1">
      <c r="A58" s="1"/>
      <c r="B58" s="97" t="s">
        <v>3390</v>
      </c>
      <c r="C58" s="15"/>
      <c r="D58" s="1"/>
      <c r="E58" s="1"/>
      <c r="F58" s="1"/>
      <c r="H58" s="2">
        <v>3000.0</v>
      </c>
    </row>
    <row r="59" ht="15.75" customHeight="1">
      <c r="A59" s="1"/>
      <c r="B59" s="97" t="s">
        <v>3654</v>
      </c>
      <c r="C59" s="15"/>
      <c r="D59" s="1"/>
      <c r="E59" s="1"/>
      <c r="F59" s="1"/>
      <c r="H59" s="2">
        <v>2000.0</v>
      </c>
    </row>
    <row r="60" ht="15.75" customHeight="1">
      <c r="A60" s="1"/>
      <c r="B60" s="97" t="s">
        <v>3655</v>
      </c>
      <c r="C60" s="15"/>
      <c r="D60" s="1"/>
      <c r="E60" s="1"/>
      <c r="F60" s="1"/>
      <c r="H60" s="2">
        <v>9000.0</v>
      </c>
    </row>
    <row r="61" ht="15.75" customHeight="1">
      <c r="A61" s="1"/>
      <c r="B61" s="97" t="s">
        <v>3634</v>
      </c>
      <c r="C61" s="15"/>
      <c r="D61" s="1"/>
      <c r="E61" s="1"/>
      <c r="F61" s="1"/>
      <c r="H61" s="2">
        <v>3000.0</v>
      </c>
    </row>
    <row r="62" ht="15.75" customHeight="1">
      <c r="A62" s="1"/>
      <c r="B62" s="4" t="s">
        <v>3656</v>
      </c>
      <c r="C62" s="15"/>
      <c r="D62" s="1"/>
      <c r="E62" s="1"/>
      <c r="F62" s="1"/>
      <c r="H62" s="2">
        <v>147000.0</v>
      </c>
    </row>
    <row r="63" ht="15.75" customHeight="1">
      <c r="A63" s="1"/>
      <c r="B63" s="97" t="s">
        <v>3657</v>
      </c>
      <c r="C63" s="15"/>
      <c r="D63" s="1"/>
      <c r="E63" s="1"/>
      <c r="F63" s="1"/>
      <c r="H63" s="2">
        <v>8175.0</v>
      </c>
    </row>
    <row r="64" ht="15.75" customHeight="1">
      <c r="A64" s="1"/>
      <c r="B64" s="4" t="s">
        <v>3658</v>
      </c>
      <c r="C64" s="15"/>
      <c r="D64" s="1"/>
      <c r="E64" s="1"/>
      <c r="F64" s="1"/>
      <c r="H64" s="2">
        <v>425000.0</v>
      </c>
    </row>
    <row r="65" ht="15.75" customHeight="1">
      <c r="A65" s="1"/>
      <c r="B65" s="4" t="s">
        <v>3659</v>
      </c>
      <c r="C65" s="15"/>
      <c r="D65" s="1"/>
      <c r="E65" s="1"/>
      <c r="F65" s="1"/>
      <c r="H65" s="2">
        <v>425000.0</v>
      </c>
    </row>
    <row r="66" ht="15.75" customHeight="1">
      <c r="A66" s="1"/>
      <c r="B66" s="4" t="s">
        <v>3660</v>
      </c>
      <c r="C66" s="15"/>
      <c r="D66" s="1"/>
      <c r="E66" s="1"/>
      <c r="F66" s="1"/>
      <c r="H66" s="2">
        <v>65250.0</v>
      </c>
    </row>
    <row r="67" ht="15.75" customHeight="1">
      <c r="A67" s="1"/>
      <c r="B67" s="4" t="s">
        <v>3661</v>
      </c>
      <c r="C67" s="15"/>
      <c r="D67" s="1"/>
      <c r="E67" s="1"/>
      <c r="F67" s="1"/>
      <c r="H67" s="2">
        <v>1068050.0</v>
      </c>
    </row>
    <row r="68" ht="15.75" customHeight="1">
      <c r="A68" s="1"/>
      <c r="B68" s="97" t="s">
        <v>3632</v>
      </c>
      <c r="C68" s="15"/>
      <c r="D68" s="1"/>
      <c r="E68" s="1"/>
      <c r="F68" s="1"/>
      <c r="H68" s="2">
        <v>25000.0</v>
      </c>
    </row>
    <row r="69" ht="15.75" customHeight="1">
      <c r="A69" s="1"/>
      <c r="B69" s="3" t="s">
        <v>43</v>
      </c>
      <c r="C69" s="1"/>
      <c r="D69" s="1"/>
      <c r="E69" s="1"/>
      <c r="F69" s="1"/>
      <c r="G69" s="54">
        <f>SUM(H24:H68)</f>
        <v>2938596</v>
      </c>
    </row>
    <row r="70" ht="15.75" customHeight="1">
      <c r="A70" s="1"/>
      <c r="B70" s="19" t="s">
        <v>45</v>
      </c>
      <c r="C70" s="20"/>
      <c r="D70" s="20"/>
      <c r="E70" s="20"/>
      <c r="F70" s="20"/>
      <c r="G70" s="102">
        <f>G22+G69</f>
        <v>3934246</v>
      </c>
      <c r="H70" s="53"/>
    </row>
    <row r="71" ht="15.75" customHeight="1">
      <c r="A71" s="35" t="s">
        <v>3130</v>
      </c>
      <c r="B71" s="36" t="s">
        <v>3301</v>
      </c>
      <c r="C71" s="37"/>
      <c r="D71" s="82"/>
      <c r="E71" s="37"/>
      <c r="F71" s="37"/>
      <c r="G71" s="103">
        <f>G10-G70</f>
        <v>5054304</v>
      </c>
      <c r="H71" s="53"/>
    </row>
    <row r="72" ht="15.75" customHeight="1">
      <c r="A72" s="22" t="s">
        <v>254</v>
      </c>
      <c r="B72" s="43" t="s">
        <v>255</v>
      </c>
      <c r="C72" s="1"/>
      <c r="D72" s="1"/>
      <c r="E72" s="1"/>
      <c r="F72" s="1"/>
      <c r="H72" s="2"/>
    </row>
    <row r="73" ht="15.75" customHeight="1">
      <c r="B73" s="43" t="s">
        <v>3662</v>
      </c>
      <c r="C73" s="1"/>
      <c r="D73" s="1"/>
      <c r="E73" s="1"/>
      <c r="F73" s="1"/>
      <c r="H73" s="2">
        <v>1108335.0</v>
      </c>
    </row>
    <row r="74" ht="15.75" customHeight="1">
      <c r="A74" s="22"/>
      <c r="B74" s="72" t="s">
        <v>51</v>
      </c>
      <c r="C74" s="27"/>
      <c r="D74" s="27"/>
      <c r="E74" s="27"/>
      <c r="F74" s="27"/>
      <c r="G74" s="104">
        <f>SUM(H73)</f>
        <v>1108335</v>
      </c>
      <c r="H74" s="53"/>
    </row>
    <row r="75" ht="15.75" customHeight="1">
      <c r="A75" s="22"/>
      <c r="B75" s="91" t="s">
        <v>3663</v>
      </c>
      <c r="C75" s="45"/>
      <c r="D75" s="45"/>
      <c r="E75" s="46"/>
      <c r="F75" s="46"/>
      <c r="G75" s="105">
        <f>G2+G71-G74</f>
        <v>21248267</v>
      </c>
      <c r="H75" s="53"/>
    </row>
    <row r="76" ht="15.75" customHeight="1">
      <c r="A76" s="22"/>
      <c r="B76" s="32" t="s">
        <v>3365</v>
      </c>
    </row>
    <row r="77" ht="15.75" customHeight="1">
      <c r="A77" s="22"/>
      <c r="B77" s="1"/>
      <c r="C77" s="1" t="s">
        <v>3137</v>
      </c>
      <c r="D77" s="1"/>
      <c r="E77" s="1"/>
      <c r="F77" s="1"/>
      <c r="H77" s="38">
        <v>52200.0</v>
      </c>
    </row>
    <row r="78" ht="15.75" customHeight="1">
      <c r="A78" s="22"/>
      <c r="B78" s="1"/>
      <c r="C78" s="1" t="s">
        <v>3218</v>
      </c>
      <c r="D78" s="1"/>
      <c r="E78" s="1"/>
      <c r="F78" s="1"/>
      <c r="H78" s="38">
        <v>1348150.0</v>
      </c>
    </row>
    <row r="79" ht="18.0" customHeight="1">
      <c r="A79" s="44"/>
      <c r="B79" s="1"/>
      <c r="C79" s="43" t="s">
        <v>115</v>
      </c>
      <c r="D79" s="1"/>
      <c r="E79" s="1"/>
      <c r="F79" s="1"/>
      <c r="H79" s="38">
        <f>H77+H78</f>
        <v>1400350</v>
      </c>
    </row>
    <row r="80" ht="15.75" customHeight="1">
      <c r="A80" s="43" t="s">
        <v>3420</v>
      </c>
      <c r="B80" s="56"/>
      <c r="C80" s="56"/>
      <c r="D80" s="56"/>
      <c r="F80" s="93"/>
      <c r="G80" s="55"/>
    </row>
    <row r="81" ht="15.75" customHeight="1">
      <c r="A81" s="43" t="s">
        <v>3664</v>
      </c>
      <c r="B81" s="56"/>
      <c r="C81" s="56"/>
      <c r="D81" s="56"/>
      <c r="F81" s="93"/>
      <c r="G81" s="55"/>
    </row>
    <row r="82" ht="15.75" customHeight="1">
      <c r="A82" s="43" t="s">
        <v>3665</v>
      </c>
      <c r="B82" s="55"/>
      <c r="C82" s="55"/>
      <c r="D82" s="55"/>
      <c r="G82" s="55"/>
    </row>
    <row r="83" ht="15.75" customHeight="1">
      <c r="A83" s="43" t="s">
        <v>3666</v>
      </c>
      <c r="B83" s="107"/>
      <c r="C83" s="107"/>
      <c r="D83" s="55"/>
      <c r="G83" s="77"/>
    </row>
    <row r="84" ht="15.75" customHeight="1">
      <c r="A84" s="106" t="s">
        <v>3667</v>
      </c>
      <c r="B84" s="108"/>
      <c r="C84" s="109"/>
      <c r="D84" s="109"/>
      <c r="E84" s="109"/>
      <c r="G84" s="109"/>
      <c r="H84" s="109"/>
    </row>
    <row r="85" ht="15.75" customHeight="1">
      <c r="A85" s="107" t="s">
        <v>3054</v>
      </c>
      <c r="B85" s="109"/>
      <c r="C85" s="109"/>
      <c r="D85" s="109"/>
      <c r="E85" s="109"/>
      <c r="F85" s="108" t="s">
        <v>3227</v>
      </c>
      <c r="G85" s="109"/>
      <c r="H85" s="109"/>
    </row>
    <row r="86" ht="15.75" customHeight="1">
      <c r="A86" s="107" t="s">
        <v>3055</v>
      </c>
      <c r="B86" s="109"/>
      <c r="C86" s="109"/>
      <c r="D86" s="109"/>
      <c r="E86" s="109"/>
      <c r="F86" s="108" t="s">
        <v>3311</v>
      </c>
      <c r="G86" s="109"/>
      <c r="H86" s="109"/>
    </row>
    <row r="87" ht="15.75" customHeight="1">
      <c r="A87" s="107" t="s">
        <v>3224</v>
      </c>
      <c r="B87" s="109"/>
      <c r="C87" s="109"/>
      <c r="D87" s="109"/>
      <c r="E87" s="109"/>
      <c r="F87" s="108" t="s">
        <v>3668</v>
      </c>
      <c r="G87" s="109"/>
      <c r="H87" s="109"/>
    </row>
    <row r="88" ht="15.75" customHeight="1">
      <c r="A88" s="107" t="s">
        <v>3057</v>
      </c>
      <c r="B88" s="109"/>
      <c r="C88" s="109"/>
      <c r="D88" s="109"/>
      <c r="E88" s="109"/>
      <c r="F88" s="109" t="s">
        <v>3619</v>
      </c>
      <c r="G88" s="109"/>
      <c r="H88" s="109"/>
    </row>
    <row r="89" ht="15.75" customHeight="1">
      <c r="A89" s="108" t="s">
        <v>3313</v>
      </c>
    </row>
    <row r="90" ht="15.75" customHeight="1">
      <c r="A90" s="55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70:H70"/>
    <mergeCell ref="G71:H71"/>
    <mergeCell ref="G74:H74"/>
    <mergeCell ref="G75:H75"/>
    <mergeCell ref="B76:G76"/>
    <mergeCell ref="A2:F2"/>
    <mergeCell ref="G2:H2"/>
    <mergeCell ref="A9:B9"/>
    <mergeCell ref="B10:F10"/>
    <mergeCell ref="G10:H10"/>
    <mergeCell ref="G22:H22"/>
    <mergeCell ref="G69:H69"/>
  </mergeCells>
  <printOptions/>
  <pageMargins bottom="0.75" footer="0.0" header="0.0" left="0.7" right="0.7" top="0.75"/>
  <pageSetup paperSize="9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9.14"/>
    <col customWidth="1" min="9" max="26" width="10.71"/>
  </cols>
  <sheetData>
    <row r="1" ht="24.75" customHeight="1">
      <c r="A1" s="1" t="s">
        <v>721</v>
      </c>
      <c r="B1" s="3" t="s">
        <v>3669</v>
      </c>
      <c r="C1" s="3"/>
      <c r="D1" s="3"/>
      <c r="E1" s="3"/>
      <c r="F1" s="3"/>
      <c r="G1" s="3"/>
    </row>
    <row r="2" ht="18.75" customHeight="1">
      <c r="A2" s="75" t="s">
        <v>3670</v>
      </c>
      <c r="G2" s="87">
        <v>2.1248267E7</v>
      </c>
      <c r="H2" s="53"/>
    </row>
    <row r="3">
      <c r="A3" s="6" t="s">
        <v>3671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136000.0</v>
      </c>
      <c r="E4" s="2">
        <v>141000.0</v>
      </c>
      <c r="F4" s="2">
        <v>82500.0</v>
      </c>
      <c r="G4" s="7">
        <v>1058200.0</v>
      </c>
      <c r="H4" s="60">
        <v>113000.0</v>
      </c>
    </row>
    <row r="5">
      <c r="A5" s="1"/>
      <c r="B5" s="4" t="s">
        <v>64</v>
      </c>
      <c r="C5" s="1"/>
      <c r="D5" s="2">
        <v>99000.0</v>
      </c>
      <c r="E5" s="2">
        <v>144000.0</v>
      </c>
      <c r="F5" s="2">
        <v>145000.0</v>
      </c>
      <c r="G5" s="7">
        <v>1464500.0</v>
      </c>
      <c r="H5" s="2">
        <v>156000.0</v>
      </c>
    </row>
    <row r="6">
      <c r="A6" s="1"/>
      <c r="B6" s="4" t="s">
        <v>65</v>
      </c>
      <c r="C6" s="1"/>
      <c r="D6" s="2">
        <v>164500.0</v>
      </c>
      <c r="E6" s="2">
        <v>163000.0</v>
      </c>
      <c r="F6" s="2">
        <v>197500.0</v>
      </c>
      <c r="G6" s="7">
        <v>837850.0</v>
      </c>
      <c r="H6" s="2">
        <v>141000.0</v>
      </c>
    </row>
    <row r="7">
      <c r="A7" s="1"/>
      <c r="B7" s="4" t="s">
        <v>66</v>
      </c>
      <c r="C7" s="1"/>
      <c r="D7" s="2">
        <v>168000.0</v>
      </c>
      <c r="E7" s="2">
        <v>121000.0</v>
      </c>
      <c r="F7" s="2">
        <v>285000.0</v>
      </c>
      <c r="G7" s="76">
        <v>1117800.0</v>
      </c>
      <c r="H7" s="2">
        <v>176000.0</v>
      </c>
      <c r="J7" s="60"/>
      <c r="K7" s="67" t="s">
        <v>480</v>
      </c>
    </row>
    <row r="8">
      <c r="A8" s="1"/>
      <c r="B8" s="4" t="s">
        <v>3623</v>
      </c>
      <c r="C8" s="1"/>
      <c r="D8" s="2">
        <v>63500.0</v>
      </c>
      <c r="E8" s="2">
        <v>104000.0</v>
      </c>
      <c r="F8" s="2">
        <v>160000.0</v>
      </c>
      <c r="G8" s="76">
        <v>559200.0</v>
      </c>
      <c r="H8" s="2">
        <v>130000.0</v>
      </c>
      <c r="J8" s="2"/>
    </row>
    <row r="9">
      <c r="A9" s="50" t="s">
        <v>405</v>
      </c>
      <c r="D9" s="60">
        <f t="shared" ref="D9:H9" si="1">SUM(D4:D8)</f>
        <v>631000</v>
      </c>
      <c r="E9" s="60">
        <f t="shared" si="1"/>
        <v>673000</v>
      </c>
      <c r="F9" s="60">
        <f t="shared" si="1"/>
        <v>870000</v>
      </c>
      <c r="G9" s="60">
        <f t="shared" si="1"/>
        <v>5037550</v>
      </c>
      <c r="H9" s="60">
        <f t="shared" si="1"/>
        <v>716000</v>
      </c>
    </row>
    <row r="10">
      <c r="A10" s="1"/>
      <c r="B10" s="51" t="s">
        <v>9</v>
      </c>
      <c r="C10" s="52"/>
      <c r="D10" s="52"/>
      <c r="E10" s="52"/>
      <c r="F10" s="53"/>
      <c r="G10" s="100">
        <f>SUM(D9:H9)</f>
        <v>7927550</v>
      </c>
      <c r="H10" s="53"/>
    </row>
    <row r="11">
      <c r="A11" s="6" t="s">
        <v>3672</v>
      </c>
      <c r="B11" s="1"/>
      <c r="C11" s="1"/>
      <c r="D11" s="1"/>
      <c r="E11" s="1"/>
      <c r="F11" s="1"/>
      <c r="G11" s="2" t="s">
        <v>480</v>
      </c>
    </row>
    <row r="12">
      <c r="A12" s="1"/>
      <c r="B12" s="12" t="s">
        <v>3373</v>
      </c>
      <c r="C12" s="1"/>
      <c r="D12" s="1"/>
      <c r="E12" s="1"/>
      <c r="F12" s="1"/>
      <c r="G12" s="2"/>
    </row>
    <row r="13">
      <c r="A13" s="1"/>
      <c r="B13" s="4" t="s">
        <v>3494</v>
      </c>
      <c r="C13" s="1"/>
      <c r="D13" s="1"/>
      <c r="E13" s="1"/>
      <c r="F13" s="1"/>
      <c r="H13" s="77">
        <v>140000.0</v>
      </c>
    </row>
    <row r="14">
      <c r="A14" s="1"/>
      <c r="B14" s="4" t="s">
        <v>3234</v>
      </c>
      <c r="C14" s="1"/>
      <c r="D14" s="1"/>
      <c r="E14" s="1"/>
      <c r="F14" s="1"/>
      <c r="H14" s="77">
        <v>200000.0</v>
      </c>
    </row>
    <row r="15">
      <c r="A15" s="1"/>
      <c r="B15" s="4" t="s">
        <v>3318</v>
      </c>
      <c r="C15" s="1"/>
      <c r="D15" s="1"/>
      <c r="E15" s="1"/>
      <c r="F15" s="1"/>
      <c r="H15" s="77">
        <v>100000.0</v>
      </c>
    </row>
    <row r="16">
      <c r="A16" s="1"/>
      <c r="B16" s="4" t="s">
        <v>3150</v>
      </c>
      <c r="C16" s="1"/>
      <c r="D16" s="1"/>
      <c r="E16" s="1"/>
      <c r="F16" s="1"/>
      <c r="H16" s="77">
        <v>80000.0</v>
      </c>
    </row>
    <row r="17">
      <c r="A17" s="1"/>
      <c r="B17" s="4" t="s">
        <v>3236</v>
      </c>
      <c r="C17" s="1"/>
      <c r="D17" s="1"/>
      <c r="E17" s="1"/>
      <c r="F17" s="1"/>
      <c r="H17" s="77">
        <v>100000.0</v>
      </c>
    </row>
    <row r="18">
      <c r="A18" s="1"/>
      <c r="B18" s="4" t="s">
        <v>3237</v>
      </c>
      <c r="C18" s="1"/>
      <c r="D18" s="1"/>
      <c r="E18" s="1"/>
      <c r="F18" s="1"/>
      <c r="H18" s="77">
        <v>150000.0</v>
      </c>
    </row>
    <row r="19">
      <c r="A19" s="1"/>
      <c r="B19" s="4" t="s">
        <v>3238</v>
      </c>
      <c r="C19" s="1"/>
      <c r="D19" s="1"/>
      <c r="E19" s="1"/>
      <c r="F19" s="1"/>
      <c r="H19" s="77">
        <v>150000.0</v>
      </c>
    </row>
    <row r="20">
      <c r="A20" s="1"/>
      <c r="B20" s="4" t="s">
        <v>3431</v>
      </c>
      <c r="C20" s="1"/>
      <c r="D20" s="1"/>
      <c r="E20" s="1"/>
      <c r="F20" s="1"/>
      <c r="H20" s="77">
        <v>20000.0</v>
      </c>
    </row>
    <row r="21" ht="15.75" customHeight="1">
      <c r="A21" s="1"/>
      <c r="B21" s="9" t="s">
        <v>3432</v>
      </c>
      <c r="C21" s="10"/>
      <c r="D21" s="10"/>
      <c r="E21" s="10"/>
      <c r="F21" s="10"/>
      <c r="G21" s="101">
        <f>SUM(H13:H20)</f>
        <v>940000</v>
      </c>
      <c r="H21" s="53"/>
    </row>
    <row r="22" ht="15.75" customHeight="1">
      <c r="A22" s="1"/>
      <c r="B22" s="12" t="s">
        <v>19</v>
      </c>
      <c r="C22" s="15"/>
      <c r="D22" s="1"/>
      <c r="E22" s="1"/>
      <c r="F22" s="1"/>
    </row>
    <row r="23" ht="15.75" customHeight="1">
      <c r="A23" s="1"/>
      <c r="B23" s="97" t="s">
        <v>3673</v>
      </c>
      <c r="C23" s="15"/>
      <c r="D23" s="1"/>
      <c r="E23" s="1"/>
      <c r="F23" s="1"/>
      <c r="H23" s="2">
        <v>16000.0</v>
      </c>
    </row>
    <row r="24" ht="15.75" customHeight="1">
      <c r="A24" s="1"/>
      <c r="B24" s="97" t="s">
        <v>3674</v>
      </c>
      <c r="C24" s="15"/>
      <c r="D24" s="1"/>
      <c r="E24" s="1"/>
      <c r="F24" s="1"/>
      <c r="H24" s="2">
        <v>2200.0</v>
      </c>
    </row>
    <row r="25" ht="15.75" customHeight="1">
      <c r="A25" s="1"/>
      <c r="B25" s="97" t="s">
        <v>3675</v>
      </c>
      <c r="C25" s="15"/>
      <c r="D25" s="1"/>
      <c r="E25" s="1"/>
      <c r="F25" s="1"/>
      <c r="H25" s="2">
        <v>3200.0</v>
      </c>
    </row>
    <row r="26" ht="15.75" customHeight="1">
      <c r="A26" s="1"/>
      <c r="B26" s="97" t="s">
        <v>3676</v>
      </c>
      <c r="C26" s="15"/>
      <c r="D26" s="1"/>
      <c r="E26" s="1"/>
      <c r="F26" s="1"/>
      <c r="H26" s="2">
        <v>29450.0</v>
      </c>
    </row>
    <row r="27" ht="15.75" customHeight="1">
      <c r="A27" s="1"/>
      <c r="B27" s="97" t="s">
        <v>3677</v>
      </c>
      <c r="C27" s="15"/>
      <c r="D27" s="1"/>
      <c r="E27" s="1"/>
      <c r="F27" s="1"/>
      <c r="H27" s="2">
        <v>6000.0</v>
      </c>
    </row>
    <row r="28" ht="15.75" customHeight="1">
      <c r="A28" s="1"/>
      <c r="B28" s="97" t="s">
        <v>3678</v>
      </c>
      <c r="C28" s="15"/>
      <c r="D28" s="1"/>
      <c r="E28" s="1"/>
      <c r="F28" s="1"/>
      <c r="H28" s="2">
        <v>100000.0</v>
      </c>
    </row>
    <row r="29" ht="15.75" customHeight="1">
      <c r="A29" s="1"/>
      <c r="B29" s="97" t="s">
        <v>3679</v>
      </c>
      <c r="C29" s="15"/>
      <c r="D29" s="1"/>
      <c r="E29" s="1"/>
      <c r="F29" s="1"/>
      <c r="H29" s="2">
        <v>12000.0</v>
      </c>
    </row>
    <row r="30" ht="15.75" customHeight="1">
      <c r="A30" s="1"/>
      <c r="B30" s="97" t="s">
        <v>3680</v>
      </c>
      <c r="C30" s="15"/>
      <c r="D30" s="1"/>
      <c r="E30" s="1"/>
      <c r="F30" s="1"/>
      <c r="H30" s="2">
        <v>40000.0</v>
      </c>
    </row>
    <row r="31" ht="15.75" customHeight="1">
      <c r="A31" s="1"/>
      <c r="B31" s="97" t="s">
        <v>3681</v>
      </c>
      <c r="C31" s="15"/>
      <c r="D31" s="1"/>
      <c r="E31" s="1"/>
      <c r="F31" s="1"/>
      <c r="H31" s="2">
        <v>32000.0</v>
      </c>
    </row>
    <row r="32" ht="15.75" customHeight="1">
      <c r="A32" s="1"/>
      <c r="B32" s="97" t="s">
        <v>3682</v>
      </c>
      <c r="C32" s="15"/>
      <c r="D32" s="1"/>
      <c r="E32" s="1"/>
      <c r="F32" s="1"/>
      <c r="H32" s="2">
        <v>10000.0</v>
      </c>
    </row>
    <row r="33" ht="15.75" customHeight="1">
      <c r="A33" s="1"/>
      <c r="B33" s="97" t="s">
        <v>3683</v>
      </c>
      <c r="C33" s="15"/>
      <c r="D33" s="1"/>
      <c r="E33" s="1"/>
      <c r="F33" s="1"/>
      <c r="H33" s="2">
        <v>2000.0</v>
      </c>
    </row>
    <row r="34" ht="15.75" customHeight="1">
      <c r="A34" s="1"/>
      <c r="B34" s="97" t="s">
        <v>3684</v>
      </c>
      <c r="C34" s="15"/>
      <c r="D34" s="1"/>
      <c r="E34" s="1"/>
      <c r="F34" s="1"/>
      <c r="H34" s="2">
        <v>174700.0</v>
      </c>
    </row>
    <row r="35" ht="15.75" customHeight="1">
      <c r="A35" s="1"/>
      <c r="B35" s="97" t="s">
        <v>3685</v>
      </c>
      <c r="C35" s="15"/>
      <c r="D35" s="1"/>
      <c r="E35" s="1"/>
      <c r="F35" s="1"/>
      <c r="H35" s="2">
        <v>45000.0</v>
      </c>
    </row>
    <row r="36" ht="17.25" customHeight="1">
      <c r="A36" s="1"/>
      <c r="B36" s="97" t="s">
        <v>3686</v>
      </c>
      <c r="C36" s="15"/>
      <c r="D36" s="1"/>
      <c r="E36" s="1"/>
      <c r="F36" s="1"/>
      <c r="H36" s="2">
        <v>2000.0</v>
      </c>
    </row>
    <row r="37" ht="17.25" customHeight="1">
      <c r="A37" s="1"/>
      <c r="B37" s="97" t="s">
        <v>3687</v>
      </c>
      <c r="C37" s="15"/>
      <c r="D37" s="1"/>
      <c r="E37" s="1"/>
      <c r="F37" s="1"/>
      <c r="H37" s="2">
        <v>2000.0</v>
      </c>
    </row>
    <row r="38" ht="15.75" customHeight="1">
      <c r="A38" s="1"/>
      <c r="B38" s="97" t="s">
        <v>3688</v>
      </c>
      <c r="H38" s="2">
        <v>19950.0</v>
      </c>
    </row>
    <row r="39" ht="15.75" customHeight="1">
      <c r="A39" s="1"/>
      <c r="B39" s="97" t="s">
        <v>3689</v>
      </c>
      <c r="H39" s="2">
        <v>2000.0</v>
      </c>
    </row>
    <row r="40" ht="15.75" customHeight="1">
      <c r="A40" s="1"/>
      <c r="B40" s="97" t="s">
        <v>3690</v>
      </c>
      <c r="H40" s="2">
        <v>5720.0</v>
      </c>
    </row>
    <row r="41" ht="15.75" customHeight="1">
      <c r="A41" s="1"/>
      <c r="B41" s="97" t="s">
        <v>3691</v>
      </c>
      <c r="H41" s="2">
        <v>67500.0</v>
      </c>
    </row>
    <row r="42" ht="15.75" customHeight="1">
      <c r="A42" s="1"/>
      <c r="B42" s="97" t="s">
        <v>3692</v>
      </c>
      <c r="H42" s="2">
        <v>1000.0</v>
      </c>
    </row>
    <row r="43" ht="15.75" customHeight="1">
      <c r="A43" s="1"/>
      <c r="B43" s="97" t="s">
        <v>3642</v>
      </c>
      <c r="H43" s="2">
        <v>1600.0</v>
      </c>
    </row>
    <row r="44" ht="15.75" customHeight="1">
      <c r="A44" s="1"/>
      <c r="B44" s="97" t="s">
        <v>3693</v>
      </c>
      <c r="H44" s="2">
        <v>350.0</v>
      </c>
    </row>
    <row r="45" ht="15.75" customHeight="1">
      <c r="A45" s="1"/>
      <c r="B45" s="97" t="s">
        <v>3380</v>
      </c>
      <c r="C45" s="15"/>
      <c r="D45" s="1"/>
      <c r="E45" s="1"/>
      <c r="F45" s="1"/>
      <c r="H45" s="2">
        <v>7500.0</v>
      </c>
    </row>
    <row r="46" ht="15.75" customHeight="1">
      <c r="A46" s="1"/>
      <c r="B46" s="97" t="s">
        <v>3694</v>
      </c>
      <c r="C46" s="15"/>
      <c r="D46" s="1"/>
      <c r="E46" s="1"/>
      <c r="F46" s="1"/>
      <c r="H46" s="2">
        <v>3000.0</v>
      </c>
    </row>
    <row r="47" ht="15.75" customHeight="1">
      <c r="A47" s="1"/>
      <c r="B47" s="97" t="s">
        <v>3695</v>
      </c>
      <c r="C47" s="15"/>
      <c r="D47" s="1"/>
      <c r="E47" s="1"/>
      <c r="F47" s="1"/>
      <c r="H47" s="2">
        <v>10000.0</v>
      </c>
    </row>
    <row r="48" ht="15.75" customHeight="1">
      <c r="A48" s="1"/>
      <c r="B48" s="97" t="s">
        <v>3696</v>
      </c>
      <c r="C48" s="15"/>
      <c r="D48" s="1"/>
      <c r="E48" s="1"/>
      <c r="F48" s="1"/>
      <c r="H48" s="2">
        <v>3000.0</v>
      </c>
    </row>
    <row r="49" ht="15.75" customHeight="1">
      <c r="A49" s="1"/>
      <c r="B49" s="97" t="s">
        <v>3697</v>
      </c>
      <c r="C49" s="15"/>
      <c r="D49" s="1"/>
      <c r="E49" s="1"/>
      <c r="F49" s="1"/>
      <c r="H49" s="2">
        <v>2254.0</v>
      </c>
    </row>
    <row r="50" ht="15.75" customHeight="1">
      <c r="A50" s="1"/>
      <c r="B50" s="97" t="s">
        <v>3698</v>
      </c>
      <c r="C50" s="15"/>
      <c r="D50" s="1"/>
      <c r="E50" s="1"/>
      <c r="F50" s="1"/>
      <c r="H50" s="2">
        <v>10000.0</v>
      </c>
    </row>
    <row r="51" ht="15.75" customHeight="1">
      <c r="A51" s="1"/>
      <c r="B51" s="97" t="s">
        <v>3699</v>
      </c>
      <c r="C51" s="15"/>
      <c r="D51" s="1"/>
      <c r="E51" s="1"/>
      <c r="F51" s="1"/>
      <c r="H51" s="2">
        <v>3000.0</v>
      </c>
    </row>
    <row r="52" ht="15.75" customHeight="1">
      <c r="A52" s="1"/>
      <c r="B52" s="97" t="s">
        <v>3700</v>
      </c>
      <c r="C52" s="15"/>
      <c r="D52" s="1"/>
      <c r="E52" s="1"/>
      <c r="F52" s="1"/>
      <c r="H52" s="2">
        <v>15000.0</v>
      </c>
    </row>
    <row r="53" ht="15.75" customHeight="1">
      <c r="A53" s="1"/>
      <c r="B53" s="97" t="s">
        <v>3701</v>
      </c>
      <c r="C53" s="15"/>
      <c r="D53" s="1"/>
      <c r="E53" s="1"/>
      <c r="F53" s="1"/>
      <c r="H53" s="2">
        <v>2000.0</v>
      </c>
    </row>
    <row r="54" ht="15.75" customHeight="1">
      <c r="A54" s="1"/>
      <c r="B54" s="97" t="s">
        <v>3702</v>
      </c>
      <c r="C54" s="15"/>
      <c r="D54" s="1"/>
      <c r="E54" s="1"/>
      <c r="F54" s="1"/>
      <c r="H54" s="2">
        <v>1500.0</v>
      </c>
    </row>
    <row r="55" ht="15.75" customHeight="1">
      <c r="A55" s="1"/>
      <c r="B55" s="97" t="s">
        <v>3703</v>
      </c>
      <c r="C55" s="15"/>
      <c r="D55" s="1"/>
      <c r="E55" s="1"/>
      <c r="F55" s="1"/>
      <c r="H55" s="2">
        <v>5000.0</v>
      </c>
    </row>
    <row r="56" ht="15.75" customHeight="1">
      <c r="A56" s="1"/>
      <c r="B56" s="97" t="s">
        <v>3704</v>
      </c>
      <c r="C56" s="15"/>
      <c r="D56" s="1"/>
      <c r="E56" s="1"/>
      <c r="F56" s="1"/>
      <c r="H56" s="2">
        <v>7500.0</v>
      </c>
    </row>
    <row r="57" ht="15.75" customHeight="1">
      <c r="A57" s="1"/>
      <c r="B57" s="97" t="s">
        <v>3705</v>
      </c>
      <c r="C57" s="15"/>
      <c r="D57" s="1"/>
      <c r="E57" s="1"/>
      <c r="F57" s="1"/>
      <c r="H57" s="2">
        <v>150000.0</v>
      </c>
      <c r="L57" s="67" t="s">
        <v>480</v>
      </c>
    </row>
    <row r="58" ht="15.75" customHeight="1">
      <c r="A58" s="1"/>
      <c r="B58" s="97" t="s">
        <v>3706</v>
      </c>
      <c r="C58" s="15"/>
      <c r="D58" s="1"/>
      <c r="E58" s="1"/>
      <c r="F58" s="1"/>
      <c r="H58" s="2">
        <v>85000.0</v>
      </c>
    </row>
    <row r="59" ht="15.75" customHeight="1">
      <c r="A59" s="1"/>
      <c r="B59" s="97" t="s">
        <v>3553</v>
      </c>
      <c r="C59" s="15"/>
      <c r="D59" s="1"/>
      <c r="E59" s="1"/>
      <c r="F59" s="1"/>
      <c r="H59" s="2">
        <v>10000.0</v>
      </c>
    </row>
    <row r="60" ht="15.75" customHeight="1">
      <c r="A60" s="1"/>
      <c r="B60" s="97" t="s">
        <v>3707</v>
      </c>
      <c r="C60" s="15"/>
      <c r="D60" s="1"/>
      <c r="E60" s="1"/>
      <c r="F60" s="1"/>
      <c r="H60" s="2">
        <v>4000.0</v>
      </c>
    </row>
    <row r="61" ht="15.75" customHeight="1">
      <c r="A61" s="1"/>
      <c r="B61" s="97" t="s">
        <v>3708</v>
      </c>
      <c r="C61" s="15"/>
      <c r="D61" s="1"/>
      <c r="E61" s="1"/>
      <c r="F61" s="1"/>
      <c r="H61" s="2">
        <v>60000.0</v>
      </c>
    </row>
    <row r="62" ht="15.75" customHeight="1">
      <c r="A62" s="1"/>
      <c r="B62" s="97" t="s">
        <v>3709</v>
      </c>
      <c r="C62" s="15"/>
      <c r="D62" s="1"/>
      <c r="E62" s="1"/>
      <c r="F62" s="1"/>
      <c r="H62" s="2">
        <v>100000.0</v>
      </c>
    </row>
    <row r="63" ht="15.75" customHeight="1">
      <c r="A63" s="1"/>
      <c r="B63" s="97" t="s">
        <v>3710</v>
      </c>
      <c r="C63" s="15"/>
      <c r="D63" s="1"/>
      <c r="E63" s="1"/>
      <c r="F63" s="1"/>
      <c r="H63" s="2">
        <v>2000.0</v>
      </c>
    </row>
    <row r="64" ht="15.75" customHeight="1">
      <c r="A64" s="1"/>
      <c r="B64" s="110" t="s">
        <v>3711</v>
      </c>
      <c r="C64" s="93"/>
      <c r="D64" s="93"/>
      <c r="E64" s="93"/>
      <c r="F64" s="1"/>
      <c r="H64" s="13">
        <v>80000.0</v>
      </c>
    </row>
    <row r="65" ht="15.75" customHeight="1">
      <c r="A65" s="1"/>
      <c r="B65" s="110" t="s">
        <v>3712</v>
      </c>
      <c r="C65" s="93"/>
      <c r="D65" s="93"/>
      <c r="E65" s="93"/>
      <c r="F65" s="1"/>
      <c r="H65" s="13">
        <v>30000.0</v>
      </c>
    </row>
    <row r="66" ht="15.75" customHeight="1">
      <c r="A66" s="1"/>
      <c r="B66" s="110" t="s">
        <v>3713</v>
      </c>
      <c r="C66" s="93"/>
      <c r="D66" s="93"/>
      <c r="E66" s="93"/>
      <c r="F66" s="1"/>
      <c r="H66" s="13">
        <v>31000.0</v>
      </c>
    </row>
    <row r="67" ht="15.75" customHeight="1">
      <c r="A67" s="1"/>
      <c r="B67" s="110" t="s">
        <v>3714</v>
      </c>
      <c r="C67" s="93"/>
      <c r="D67" s="93"/>
      <c r="E67" s="93"/>
      <c r="F67" s="1"/>
      <c r="H67" s="13">
        <v>10000.0</v>
      </c>
    </row>
    <row r="68" ht="15.75" customHeight="1">
      <c r="A68" s="1"/>
      <c r="B68" s="97" t="s">
        <v>3715</v>
      </c>
      <c r="C68" s="15"/>
      <c r="D68" s="1"/>
      <c r="E68" s="1"/>
      <c r="F68" s="1"/>
      <c r="H68" s="2">
        <v>60000.0</v>
      </c>
    </row>
    <row r="69" ht="15.75" customHeight="1">
      <c r="A69" s="1"/>
      <c r="B69" s="97" t="s">
        <v>3716</v>
      </c>
      <c r="C69" s="15"/>
      <c r="D69" s="1"/>
      <c r="E69" s="1"/>
      <c r="F69" s="1"/>
      <c r="H69" s="2">
        <v>2000.0</v>
      </c>
    </row>
    <row r="70" ht="15.75" customHeight="1">
      <c r="A70" s="1"/>
      <c r="B70" s="97" t="s">
        <v>3717</v>
      </c>
      <c r="C70" s="15"/>
      <c r="D70" s="1"/>
      <c r="E70" s="1"/>
      <c r="F70" s="1"/>
      <c r="H70" s="2">
        <v>500.0</v>
      </c>
    </row>
    <row r="71" ht="15.75" customHeight="1">
      <c r="A71" s="1"/>
      <c r="B71" s="97" t="s">
        <v>3718</v>
      </c>
      <c r="C71" s="15"/>
      <c r="D71" s="1"/>
      <c r="E71" s="1"/>
      <c r="F71" s="1"/>
      <c r="H71" s="2">
        <v>25000.0</v>
      </c>
    </row>
    <row r="72" ht="15.75" customHeight="1">
      <c r="A72" s="1"/>
      <c r="B72" s="97" t="s">
        <v>3719</v>
      </c>
      <c r="C72" s="15"/>
      <c r="D72" s="1"/>
      <c r="E72" s="1"/>
      <c r="F72" s="1"/>
      <c r="H72" s="2">
        <v>20000.0</v>
      </c>
    </row>
    <row r="73" ht="17.25" customHeight="1">
      <c r="A73" s="1"/>
      <c r="B73" s="113" t="s">
        <v>3720</v>
      </c>
      <c r="H73" s="114">
        <v>10000.0</v>
      </c>
    </row>
    <row r="74" ht="17.25" customHeight="1">
      <c r="A74" s="1"/>
      <c r="B74" s="115" t="s">
        <v>3721</v>
      </c>
      <c r="H74" s="13">
        <v>3544.0</v>
      </c>
    </row>
    <row r="75" ht="15.75" customHeight="1">
      <c r="A75" s="1"/>
      <c r="B75" s="110" t="s">
        <v>3722</v>
      </c>
      <c r="C75" s="93"/>
      <c r="D75" s="93"/>
      <c r="E75" s="93"/>
      <c r="F75" s="93"/>
      <c r="G75" s="94"/>
      <c r="H75" s="13">
        <v>30000.0</v>
      </c>
    </row>
    <row r="76" ht="15.75" customHeight="1">
      <c r="A76" s="1"/>
      <c r="B76" s="110" t="s">
        <v>3723</v>
      </c>
      <c r="C76" s="93"/>
      <c r="D76" s="93"/>
      <c r="E76" s="93"/>
      <c r="F76" s="93"/>
      <c r="G76" s="94"/>
      <c r="H76" s="13">
        <v>10000.0</v>
      </c>
    </row>
    <row r="77" ht="15.75" customHeight="1">
      <c r="A77" s="1"/>
      <c r="B77" s="110" t="s">
        <v>3724</v>
      </c>
      <c r="C77" s="93"/>
      <c r="D77" s="93"/>
      <c r="E77" s="93"/>
      <c r="F77" s="93"/>
      <c r="G77" s="94"/>
      <c r="H77" s="13">
        <v>30000.0</v>
      </c>
    </row>
    <row r="78" ht="15.75" customHeight="1">
      <c r="A78" s="1"/>
      <c r="B78" s="110" t="s">
        <v>3725</v>
      </c>
      <c r="C78" s="93"/>
      <c r="D78" s="93"/>
      <c r="E78" s="93"/>
      <c r="F78" s="93"/>
      <c r="G78" s="94"/>
      <c r="H78" s="13">
        <v>30000.0</v>
      </c>
    </row>
    <row r="79" ht="15.75" customHeight="1">
      <c r="A79" s="1"/>
      <c r="B79" s="110" t="s">
        <v>3726</v>
      </c>
      <c r="C79" s="93"/>
      <c r="D79" s="93"/>
      <c r="E79" s="93"/>
      <c r="F79" s="93"/>
      <c r="G79" s="94"/>
      <c r="H79" s="13">
        <v>75000.0</v>
      </c>
    </row>
    <row r="80" ht="15.75" customHeight="1">
      <c r="A80" s="1"/>
      <c r="B80" s="110" t="s">
        <v>3727</v>
      </c>
      <c r="C80" s="93"/>
      <c r="D80" s="93"/>
      <c r="E80" s="93"/>
      <c r="F80" s="1"/>
      <c r="H80" s="13">
        <v>5000.0</v>
      </c>
    </row>
    <row r="81" ht="15.75" customHeight="1">
      <c r="A81" s="1"/>
      <c r="B81" s="110" t="s">
        <v>3380</v>
      </c>
      <c r="C81" s="93"/>
      <c r="D81" s="93"/>
      <c r="E81" s="93"/>
      <c r="F81" s="1"/>
      <c r="H81" s="13">
        <v>7500.0</v>
      </c>
    </row>
    <row r="82" ht="15.75" customHeight="1">
      <c r="A82" s="1"/>
      <c r="B82" s="110" t="s">
        <v>3728</v>
      </c>
      <c r="C82" s="93"/>
      <c r="D82" s="93"/>
      <c r="E82" s="93"/>
      <c r="F82" s="1"/>
      <c r="H82" s="13">
        <v>310000.0</v>
      </c>
    </row>
    <row r="83" ht="15.75" customHeight="1">
      <c r="A83" s="1"/>
      <c r="B83" s="110" t="s">
        <v>3729</v>
      </c>
      <c r="C83" s="93"/>
      <c r="D83" s="93"/>
      <c r="E83" s="93"/>
      <c r="F83" s="1"/>
      <c r="H83" s="13">
        <v>450000.0</v>
      </c>
    </row>
    <row r="84" ht="15.75" customHeight="1">
      <c r="A84" s="1"/>
      <c r="B84" s="110" t="s">
        <v>3730</v>
      </c>
      <c r="C84" s="93"/>
      <c r="D84" s="93"/>
      <c r="E84" s="93"/>
      <c r="F84" s="1"/>
      <c r="H84" s="13">
        <v>65000.0</v>
      </c>
    </row>
    <row r="85" ht="15.75" customHeight="1">
      <c r="A85" s="1"/>
      <c r="B85" s="110" t="s">
        <v>3731</v>
      </c>
      <c r="C85" s="93"/>
      <c r="D85" s="93"/>
      <c r="E85" s="93"/>
      <c r="F85" s="1"/>
      <c r="H85" s="13">
        <v>7000.0</v>
      </c>
    </row>
    <row r="86" ht="15.75" customHeight="1">
      <c r="A86" s="1"/>
      <c r="B86" s="110" t="s">
        <v>3554</v>
      </c>
      <c r="C86" s="93"/>
      <c r="D86" s="93"/>
      <c r="E86" s="93"/>
      <c r="F86" s="1"/>
      <c r="H86" s="13">
        <v>20000.0</v>
      </c>
    </row>
    <row r="87" ht="15.75" customHeight="1">
      <c r="A87" s="1"/>
      <c r="B87" s="3" t="s">
        <v>43</v>
      </c>
      <c r="C87" s="1"/>
      <c r="D87" s="1"/>
      <c r="E87" s="1"/>
      <c r="F87" s="1"/>
      <c r="G87" s="54">
        <f>SUM(H23:H86)</f>
        <v>2366968</v>
      </c>
    </row>
    <row r="88" ht="15.75" customHeight="1">
      <c r="A88" s="1"/>
      <c r="B88" s="19" t="s">
        <v>45</v>
      </c>
      <c r="C88" s="20"/>
      <c r="D88" s="20"/>
      <c r="E88" s="20"/>
      <c r="F88" s="20"/>
      <c r="G88" s="102">
        <f>SUM(G21+G87)</f>
        <v>3306968</v>
      </c>
      <c r="H88" s="53"/>
    </row>
    <row r="89" ht="15.75" customHeight="1">
      <c r="A89" s="35" t="s">
        <v>3130</v>
      </c>
      <c r="B89" s="36" t="s">
        <v>3301</v>
      </c>
      <c r="C89" s="37"/>
      <c r="D89" s="82"/>
      <c r="E89" s="37"/>
      <c r="F89" s="37"/>
      <c r="G89" s="103">
        <f>G10-G88</f>
        <v>4620582</v>
      </c>
      <c r="H89" s="53"/>
      <c r="K89" s="116"/>
    </row>
    <row r="90" ht="15.75" customHeight="1">
      <c r="A90" s="22" t="s">
        <v>254</v>
      </c>
      <c r="B90" s="43" t="s">
        <v>255</v>
      </c>
      <c r="C90" s="1"/>
      <c r="D90" s="1"/>
      <c r="E90" s="1"/>
      <c r="F90" s="1"/>
      <c r="H90" s="2"/>
    </row>
    <row r="91" ht="15.75" customHeight="1">
      <c r="A91" s="22"/>
      <c r="B91" s="72" t="s">
        <v>51</v>
      </c>
      <c r="C91" s="27"/>
      <c r="D91" s="27"/>
      <c r="E91" s="27"/>
      <c r="F91" s="27"/>
      <c r="G91" s="104">
        <v>0.0</v>
      </c>
      <c r="H91" s="53"/>
    </row>
    <row r="92" ht="15.75" customHeight="1">
      <c r="A92" s="22"/>
      <c r="B92" s="91" t="s">
        <v>3732</v>
      </c>
      <c r="C92" s="45"/>
      <c r="D92" s="45"/>
      <c r="E92" s="46"/>
      <c r="F92" s="46"/>
      <c r="G92" s="105">
        <f>G2+G89-G91</f>
        <v>25868849</v>
      </c>
      <c r="H92" s="53"/>
    </row>
    <row r="93" ht="15.75" customHeight="1">
      <c r="A93" s="22"/>
      <c r="B93" s="32" t="s">
        <v>3365</v>
      </c>
    </row>
    <row r="94" ht="15.75" customHeight="1">
      <c r="A94" s="22"/>
      <c r="B94" s="1"/>
      <c r="C94" s="1" t="s">
        <v>3137</v>
      </c>
      <c r="D94" s="1"/>
      <c r="E94" s="1"/>
      <c r="F94" s="1"/>
      <c r="H94" s="38">
        <v>1529850.0</v>
      </c>
    </row>
    <row r="95" ht="15.75" customHeight="1">
      <c r="A95" s="22"/>
      <c r="B95" s="1"/>
      <c r="C95" s="1" t="s">
        <v>3218</v>
      </c>
      <c r="D95" s="1"/>
      <c r="E95" s="1"/>
      <c r="F95" s="1"/>
      <c r="H95" s="38">
        <v>27600.0</v>
      </c>
    </row>
    <row r="96" ht="18.0" customHeight="1">
      <c r="A96" s="44"/>
      <c r="B96" s="1"/>
      <c r="C96" s="43" t="s">
        <v>115</v>
      </c>
      <c r="D96" s="1"/>
      <c r="E96" s="1"/>
      <c r="F96" s="1"/>
      <c r="H96" s="38">
        <v>1557450.0</v>
      </c>
    </row>
    <row r="97" ht="15.75" customHeight="1">
      <c r="A97" s="43" t="s">
        <v>3420</v>
      </c>
      <c r="B97" s="56"/>
      <c r="C97" s="56"/>
      <c r="D97" s="56"/>
      <c r="F97" s="93"/>
      <c r="G97" s="55"/>
    </row>
    <row r="98" ht="15.75" customHeight="1">
      <c r="A98" s="43" t="s">
        <v>3733</v>
      </c>
      <c r="B98" s="56"/>
      <c r="C98" s="56"/>
      <c r="D98" s="56"/>
      <c r="F98" s="93"/>
      <c r="G98" s="55"/>
    </row>
    <row r="99" ht="15.75" customHeight="1">
      <c r="A99" s="43" t="s">
        <v>3734</v>
      </c>
      <c r="B99" s="55"/>
      <c r="C99" s="55"/>
      <c r="D99" s="55"/>
      <c r="G99" s="55"/>
    </row>
    <row r="100" ht="15.75" customHeight="1">
      <c r="A100" s="43" t="s">
        <v>3735</v>
      </c>
      <c r="B100" s="107"/>
      <c r="C100" s="107"/>
      <c r="D100" s="55"/>
      <c r="G100" s="77"/>
    </row>
    <row r="101" ht="15.75" customHeight="1">
      <c r="A101" s="106" t="s">
        <v>3736</v>
      </c>
      <c r="B101" s="108"/>
      <c r="C101" s="109"/>
      <c r="D101" s="109"/>
      <c r="E101" s="109"/>
    </row>
    <row r="102" ht="15.75" customHeight="1">
      <c r="A102" s="107" t="s">
        <v>3054</v>
      </c>
      <c r="B102" s="109"/>
      <c r="C102" s="109"/>
      <c r="D102" s="109"/>
      <c r="E102" s="109"/>
      <c r="F102" s="108" t="s">
        <v>3737</v>
      </c>
      <c r="G102" s="109"/>
      <c r="H102" s="109"/>
    </row>
    <row r="103" ht="15.75" customHeight="1">
      <c r="A103" s="107" t="s">
        <v>3055</v>
      </c>
      <c r="B103" s="109"/>
      <c r="C103" s="109"/>
      <c r="D103" s="109"/>
      <c r="E103" s="109"/>
      <c r="F103" s="108" t="s">
        <v>3311</v>
      </c>
      <c r="G103" s="109"/>
      <c r="H103" s="109"/>
    </row>
    <row r="104" ht="15.75" customHeight="1">
      <c r="A104" s="107" t="s">
        <v>3224</v>
      </c>
      <c r="B104" s="109"/>
      <c r="C104" s="109"/>
      <c r="D104" s="109"/>
      <c r="E104" s="109"/>
      <c r="F104" s="108" t="s">
        <v>3618</v>
      </c>
      <c r="G104" s="109"/>
      <c r="H104" s="109"/>
    </row>
    <row r="105" ht="15.75" customHeight="1">
      <c r="A105" s="107" t="s">
        <v>3057</v>
      </c>
      <c r="B105" s="109"/>
      <c r="C105" s="109"/>
      <c r="D105" s="109"/>
      <c r="E105" s="109"/>
      <c r="F105" s="108" t="s">
        <v>3619</v>
      </c>
      <c r="G105" s="109"/>
      <c r="H105" s="109"/>
    </row>
    <row r="106" ht="15.75" customHeight="1">
      <c r="A106" s="108" t="s">
        <v>3313</v>
      </c>
    </row>
    <row r="107" ht="15.75" customHeight="1">
      <c r="A107" s="55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74:G74"/>
    <mergeCell ref="G87:H87"/>
    <mergeCell ref="G88:H88"/>
    <mergeCell ref="G89:H89"/>
    <mergeCell ref="K89:L89"/>
    <mergeCell ref="G91:H91"/>
    <mergeCell ref="G92:H92"/>
    <mergeCell ref="B93:G93"/>
    <mergeCell ref="A2:F2"/>
    <mergeCell ref="G2:H2"/>
    <mergeCell ref="A9:B9"/>
    <mergeCell ref="B10:F10"/>
    <mergeCell ref="G10:H10"/>
    <mergeCell ref="G21:H21"/>
    <mergeCell ref="B73:G73"/>
  </mergeCells>
  <printOptions/>
  <pageMargins bottom="0.75" footer="0.0" header="0.0" left="0.7" right="0.7" top="0.75"/>
  <pageSetup paperSize="9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10.29"/>
    <col customWidth="1" min="9" max="26" width="10.71"/>
  </cols>
  <sheetData>
    <row r="1" ht="24.75" customHeight="1">
      <c r="A1" s="1" t="s">
        <v>721</v>
      </c>
      <c r="B1" s="3" t="s">
        <v>3738</v>
      </c>
      <c r="C1" s="3"/>
      <c r="D1" s="3"/>
      <c r="E1" s="3"/>
      <c r="F1" s="3"/>
      <c r="G1" s="3"/>
    </row>
    <row r="2" ht="18.75" customHeight="1">
      <c r="A2" s="75" t="s">
        <v>3739</v>
      </c>
      <c r="G2" s="87">
        <v>2.5868849E7</v>
      </c>
      <c r="H2" s="53"/>
    </row>
    <row r="3" ht="15.75" customHeight="1">
      <c r="A3" s="6" t="s">
        <v>3740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111000.0</v>
      </c>
      <c r="E4" s="2">
        <v>115000.0</v>
      </c>
      <c r="F4" s="2">
        <v>110000.0</v>
      </c>
      <c r="G4" s="7">
        <v>1066700.0</v>
      </c>
      <c r="H4" s="60">
        <v>63000.0</v>
      </c>
    </row>
    <row r="5">
      <c r="A5" s="1"/>
      <c r="B5" s="4" t="s">
        <v>64</v>
      </c>
      <c r="C5" s="1"/>
      <c r="D5" s="2">
        <v>283500.0</v>
      </c>
      <c r="E5" s="2">
        <v>139000.0</v>
      </c>
      <c r="F5" s="2">
        <v>297500.0</v>
      </c>
      <c r="G5" s="7">
        <v>1687200.0</v>
      </c>
      <c r="H5" s="2">
        <v>166000.0</v>
      </c>
    </row>
    <row r="6">
      <c r="A6" s="1"/>
      <c r="B6" s="4" t="s">
        <v>65</v>
      </c>
      <c r="C6" s="1"/>
      <c r="D6" s="2">
        <v>255500.0</v>
      </c>
      <c r="E6" s="2">
        <v>144000.0</v>
      </c>
      <c r="F6" s="2">
        <v>250000.0</v>
      </c>
      <c r="G6" s="7">
        <v>1473700.0</v>
      </c>
      <c r="H6" s="2">
        <v>165000.0</v>
      </c>
    </row>
    <row r="7">
      <c r="A7" s="1"/>
      <c r="B7" s="4" t="s">
        <v>66</v>
      </c>
      <c r="C7" s="1"/>
      <c r="D7" s="2">
        <v>343000.0</v>
      </c>
      <c r="E7" s="2">
        <v>140000.0</v>
      </c>
      <c r="F7" s="2">
        <v>185000.0</v>
      </c>
      <c r="G7" s="76">
        <v>1505300.0</v>
      </c>
      <c r="H7" s="2">
        <v>158000.0</v>
      </c>
      <c r="J7" s="60"/>
      <c r="K7" s="67" t="s">
        <v>480</v>
      </c>
    </row>
    <row r="8">
      <c r="A8" s="1"/>
      <c r="B8" s="4" t="s">
        <v>3623</v>
      </c>
      <c r="C8" s="1"/>
      <c r="D8" s="2">
        <v>384500.0</v>
      </c>
      <c r="E8" s="2">
        <v>195000.0</v>
      </c>
      <c r="F8" s="2">
        <v>305000.0</v>
      </c>
      <c r="G8" s="76">
        <v>1671650.0</v>
      </c>
      <c r="H8" s="2">
        <v>144000.0</v>
      </c>
      <c r="J8" s="2"/>
    </row>
    <row r="9">
      <c r="A9" s="50" t="s">
        <v>405</v>
      </c>
      <c r="D9" s="60">
        <f t="shared" ref="D9:H9" si="1">SUM(D4:D8)</f>
        <v>1377500</v>
      </c>
      <c r="E9" s="60">
        <f t="shared" si="1"/>
        <v>733000</v>
      </c>
      <c r="F9" s="60">
        <f t="shared" si="1"/>
        <v>1147500</v>
      </c>
      <c r="G9" s="60">
        <f t="shared" si="1"/>
        <v>7404550</v>
      </c>
      <c r="H9" s="60">
        <f t="shared" si="1"/>
        <v>696000</v>
      </c>
    </row>
    <row r="10">
      <c r="A10" s="1"/>
      <c r="B10" s="51" t="s">
        <v>9</v>
      </c>
      <c r="C10" s="52"/>
      <c r="D10" s="52"/>
      <c r="E10" s="52"/>
      <c r="F10" s="53"/>
      <c r="G10" s="100">
        <f>SUM(D9:H9)</f>
        <v>11358550</v>
      </c>
      <c r="H10" s="53"/>
    </row>
    <row r="11">
      <c r="A11" s="6" t="s">
        <v>3741</v>
      </c>
      <c r="B11" s="1"/>
      <c r="C11" s="1"/>
      <c r="D11" s="1"/>
      <c r="E11" s="1"/>
      <c r="F11" s="1"/>
      <c r="G11" s="2" t="s">
        <v>480</v>
      </c>
    </row>
    <row r="12">
      <c r="A12" s="1"/>
      <c r="B12" s="12" t="s">
        <v>3373</v>
      </c>
      <c r="C12" s="1"/>
      <c r="D12" s="1"/>
      <c r="E12" s="1"/>
      <c r="F12" s="1"/>
      <c r="G12" s="2"/>
    </row>
    <row r="13">
      <c r="A13" s="1"/>
      <c r="B13" s="4" t="s">
        <v>3494</v>
      </c>
      <c r="C13" s="1"/>
      <c r="D13" s="1"/>
      <c r="E13" s="1"/>
      <c r="F13" s="1"/>
      <c r="H13" s="77">
        <v>160000.0</v>
      </c>
    </row>
    <row r="14">
      <c r="A14" s="1"/>
      <c r="B14" s="4" t="s">
        <v>3234</v>
      </c>
      <c r="C14" s="1"/>
      <c r="D14" s="1"/>
      <c r="E14" s="1"/>
      <c r="F14" s="1"/>
      <c r="H14" s="77">
        <v>250000.0</v>
      </c>
      <c r="M14" s="67" t="s">
        <v>2139</v>
      </c>
    </row>
    <row r="15">
      <c r="A15" s="1"/>
      <c r="B15" s="4" t="s">
        <v>3318</v>
      </c>
      <c r="C15" s="1"/>
      <c r="D15" s="1"/>
      <c r="E15" s="1"/>
      <c r="F15" s="1"/>
      <c r="H15" s="77">
        <v>100000.0</v>
      </c>
      <c r="L15" s="67" t="s">
        <v>3543</v>
      </c>
    </row>
    <row r="16">
      <c r="A16" s="1"/>
      <c r="B16" s="4" t="s">
        <v>3150</v>
      </c>
      <c r="C16" s="1"/>
      <c r="D16" s="1"/>
      <c r="E16" s="1"/>
      <c r="F16" s="1"/>
      <c r="H16" s="77">
        <v>80000.0</v>
      </c>
      <c r="L16" s="67" t="s">
        <v>1585</v>
      </c>
    </row>
    <row r="17">
      <c r="A17" s="1"/>
      <c r="B17" s="4" t="s">
        <v>3236</v>
      </c>
      <c r="C17" s="1"/>
      <c r="D17" s="1"/>
      <c r="E17" s="1"/>
      <c r="F17" s="1"/>
      <c r="H17" s="77">
        <v>100000.0</v>
      </c>
    </row>
    <row r="18">
      <c r="A18" s="1"/>
      <c r="B18" s="4" t="s">
        <v>3237</v>
      </c>
      <c r="C18" s="1"/>
      <c r="D18" s="1"/>
      <c r="E18" s="1"/>
      <c r="F18" s="1"/>
      <c r="H18" s="77">
        <v>150000.0</v>
      </c>
    </row>
    <row r="19">
      <c r="A19" s="1"/>
      <c r="B19" s="4" t="s">
        <v>3238</v>
      </c>
      <c r="C19" s="1"/>
      <c r="D19" s="1"/>
      <c r="E19" s="1"/>
      <c r="F19" s="1"/>
      <c r="H19" s="77">
        <v>150000.0</v>
      </c>
    </row>
    <row r="20">
      <c r="A20" s="1"/>
      <c r="B20" s="4" t="s">
        <v>3431</v>
      </c>
      <c r="C20" s="1"/>
      <c r="D20" s="1"/>
      <c r="E20" s="1"/>
      <c r="F20" s="1"/>
      <c r="H20" s="77">
        <v>230000.0</v>
      </c>
    </row>
    <row r="21" ht="15.75" customHeight="1">
      <c r="A21" s="1"/>
      <c r="B21" s="9" t="s">
        <v>3432</v>
      </c>
      <c r="C21" s="10"/>
      <c r="D21" s="10"/>
      <c r="E21" s="10"/>
      <c r="F21" s="10"/>
      <c r="G21" s="101">
        <f>SUM(H13:H20)</f>
        <v>1220000</v>
      </c>
      <c r="H21" s="53"/>
    </row>
    <row r="22" ht="15.75" customHeight="1">
      <c r="A22" s="1"/>
      <c r="B22" s="12" t="s">
        <v>19</v>
      </c>
      <c r="C22" s="15"/>
      <c r="D22" s="1"/>
      <c r="E22" s="1"/>
      <c r="F22" s="1"/>
    </row>
    <row r="23" ht="15.75" customHeight="1">
      <c r="A23" s="1"/>
      <c r="B23" s="4" t="s">
        <v>3742</v>
      </c>
      <c r="C23" s="15"/>
      <c r="D23" s="1"/>
      <c r="E23" s="1"/>
      <c r="F23" s="1"/>
      <c r="H23" s="2">
        <v>10000.0</v>
      </c>
    </row>
    <row r="24" ht="15.75" customHeight="1">
      <c r="A24" s="1"/>
      <c r="B24" s="4" t="s">
        <v>3743</v>
      </c>
      <c r="C24" s="15"/>
      <c r="D24" s="1"/>
      <c r="E24" s="1"/>
      <c r="F24" s="1"/>
      <c r="H24" s="2">
        <v>52000.0</v>
      </c>
    </row>
    <row r="25" ht="15.75" customHeight="1">
      <c r="A25" s="1"/>
      <c r="B25" s="4" t="s">
        <v>3744</v>
      </c>
      <c r="C25" s="15"/>
      <c r="D25" s="1"/>
      <c r="E25" s="1"/>
      <c r="F25" s="1"/>
      <c r="H25" s="2">
        <v>20475.0</v>
      </c>
    </row>
    <row r="26" ht="15.75" customHeight="1">
      <c r="A26" s="1"/>
      <c r="B26" s="4" t="s">
        <v>3745</v>
      </c>
      <c r="C26" s="15"/>
      <c r="D26" s="1"/>
      <c r="E26" s="1"/>
      <c r="F26" s="1"/>
      <c r="H26" s="2">
        <v>50400.0</v>
      </c>
    </row>
    <row r="27" ht="15.75" customHeight="1">
      <c r="A27" s="1"/>
      <c r="B27" s="4" t="s">
        <v>3746</v>
      </c>
      <c r="C27" s="15"/>
      <c r="D27" s="1"/>
      <c r="E27" s="1"/>
      <c r="F27" s="1"/>
      <c r="H27" s="2">
        <v>25320.0</v>
      </c>
    </row>
    <row r="28" ht="15.75" customHeight="1">
      <c r="A28" s="1"/>
      <c r="B28" s="4" t="s">
        <v>3747</v>
      </c>
      <c r="C28" s="15"/>
      <c r="D28" s="1"/>
      <c r="E28" s="1"/>
      <c r="F28" s="1"/>
      <c r="H28" s="2">
        <v>6200.0</v>
      </c>
    </row>
    <row r="29" ht="15.75" customHeight="1">
      <c r="A29" s="1"/>
      <c r="B29" s="4" t="s">
        <v>3748</v>
      </c>
      <c r="C29" s="15"/>
      <c r="D29" s="1"/>
      <c r="E29" s="1"/>
      <c r="F29" s="1"/>
      <c r="H29" s="2">
        <v>4500.0</v>
      </c>
    </row>
    <row r="30" ht="15.75" customHeight="1">
      <c r="A30" s="1"/>
      <c r="B30" s="93" t="s">
        <v>3749</v>
      </c>
      <c r="C30" s="93"/>
      <c r="D30" s="93"/>
      <c r="E30" s="93"/>
      <c r="F30" s="1"/>
      <c r="H30" s="13">
        <v>65250.0</v>
      </c>
    </row>
    <row r="31" ht="15.75" customHeight="1">
      <c r="A31" s="1"/>
      <c r="B31" s="4" t="s">
        <v>3750</v>
      </c>
      <c r="C31" s="15"/>
      <c r="D31" s="1"/>
      <c r="E31" s="1"/>
      <c r="F31" s="1"/>
      <c r="H31" s="2">
        <v>1500.0</v>
      </c>
    </row>
    <row r="32" ht="15.75" customHeight="1">
      <c r="A32" s="1"/>
      <c r="B32" s="4" t="s">
        <v>3751</v>
      </c>
      <c r="C32" s="15"/>
      <c r="D32" s="1"/>
      <c r="E32" s="1"/>
      <c r="F32" s="1"/>
      <c r="H32" s="2">
        <v>9000.0</v>
      </c>
    </row>
    <row r="33" ht="15.75" customHeight="1">
      <c r="A33" s="1"/>
      <c r="B33" s="93" t="s">
        <v>3752</v>
      </c>
      <c r="C33" s="93"/>
      <c r="D33" s="93"/>
      <c r="E33" s="93"/>
      <c r="F33" s="1"/>
      <c r="H33" s="13">
        <v>314600.0</v>
      </c>
    </row>
    <row r="34" ht="15.75" customHeight="1">
      <c r="A34" s="1"/>
      <c r="B34" s="4" t="s">
        <v>3753</v>
      </c>
      <c r="C34" s="15"/>
      <c r="D34" s="1"/>
      <c r="E34" s="1"/>
      <c r="F34" s="1"/>
      <c r="H34" s="2">
        <v>6688.0</v>
      </c>
    </row>
    <row r="35" ht="15.75" customHeight="1">
      <c r="A35" s="1"/>
      <c r="B35" s="4" t="s">
        <v>3754</v>
      </c>
      <c r="C35" s="15"/>
      <c r="D35" s="1"/>
      <c r="E35" s="1"/>
      <c r="F35" s="1"/>
      <c r="H35" s="2">
        <v>16000.0</v>
      </c>
    </row>
    <row r="36" ht="15.75" customHeight="1">
      <c r="A36" s="1"/>
      <c r="B36" s="4" t="s">
        <v>3748</v>
      </c>
      <c r="C36" s="15"/>
      <c r="D36" s="1"/>
      <c r="E36" s="1"/>
      <c r="F36" s="1"/>
      <c r="H36" s="2">
        <v>6000.0</v>
      </c>
    </row>
    <row r="37" ht="15.75" customHeight="1">
      <c r="A37" s="1"/>
      <c r="B37" s="4" t="s">
        <v>3399</v>
      </c>
      <c r="C37" s="15"/>
      <c r="D37" s="1"/>
      <c r="E37" s="1"/>
      <c r="F37" s="1"/>
      <c r="H37" s="2">
        <v>20000.0</v>
      </c>
    </row>
    <row r="38" ht="15.75" customHeight="1">
      <c r="A38" s="1"/>
      <c r="B38" s="4" t="s">
        <v>3755</v>
      </c>
      <c r="C38" s="15"/>
      <c r="D38" s="1"/>
      <c r="E38" s="1"/>
      <c r="F38" s="1"/>
      <c r="H38" s="2">
        <v>1500.0</v>
      </c>
    </row>
    <row r="39" ht="15.75" customHeight="1">
      <c r="A39" s="1"/>
      <c r="B39" s="4" t="s">
        <v>3756</v>
      </c>
      <c r="C39" s="15"/>
      <c r="D39" s="1"/>
      <c r="E39" s="1"/>
      <c r="F39" s="1"/>
      <c r="H39" s="2">
        <v>1500.0</v>
      </c>
    </row>
    <row r="40" ht="15.75" customHeight="1">
      <c r="A40" s="1"/>
      <c r="B40" s="4" t="s">
        <v>3757</v>
      </c>
      <c r="C40" s="15"/>
      <c r="D40" s="1"/>
      <c r="E40" s="1"/>
      <c r="F40" s="1"/>
      <c r="H40" s="2">
        <v>58000.0</v>
      </c>
    </row>
    <row r="41" ht="15.75" customHeight="1">
      <c r="A41" s="1"/>
      <c r="B41" s="4" t="s">
        <v>3758</v>
      </c>
      <c r="C41" s="15"/>
      <c r="D41" s="1"/>
      <c r="E41" s="1"/>
      <c r="F41" s="1"/>
      <c r="H41" s="2">
        <v>9576.0</v>
      </c>
    </row>
    <row r="42" ht="15.75" customHeight="1">
      <c r="A42" s="1"/>
      <c r="B42" s="4" t="s">
        <v>3759</v>
      </c>
      <c r="C42" s="15"/>
      <c r="D42" s="1"/>
      <c r="E42" s="1"/>
      <c r="F42" s="1"/>
      <c r="H42" s="2">
        <v>60000.0</v>
      </c>
    </row>
    <row r="43" ht="15.75" customHeight="1">
      <c r="A43" s="1"/>
      <c r="B43" s="93" t="s">
        <v>3760</v>
      </c>
      <c r="C43" s="93"/>
      <c r="D43" s="93"/>
      <c r="E43" s="93"/>
      <c r="F43" s="1"/>
      <c r="H43" s="13">
        <v>300000.0</v>
      </c>
    </row>
    <row r="44" ht="15.75" customHeight="1">
      <c r="A44" s="1"/>
      <c r="B44" s="4" t="s">
        <v>3761</v>
      </c>
      <c r="C44" s="15"/>
      <c r="D44" s="1"/>
      <c r="E44" s="1"/>
      <c r="F44" s="1"/>
      <c r="H44" s="2">
        <v>120000.0</v>
      </c>
    </row>
    <row r="45" ht="15.75" customHeight="1">
      <c r="A45" s="1"/>
      <c r="B45" s="4" t="s">
        <v>3762</v>
      </c>
      <c r="C45" s="15"/>
      <c r="D45" s="1"/>
      <c r="E45" s="1"/>
      <c r="F45" s="1"/>
      <c r="H45" s="2">
        <v>2500.0</v>
      </c>
    </row>
    <row r="46" ht="17.25" customHeight="1">
      <c r="A46" s="1"/>
      <c r="B46" s="4" t="s">
        <v>3763</v>
      </c>
      <c r="C46" s="15"/>
      <c r="D46" s="1"/>
      <c r="E46" s="1"/>
      <c r="F46" s="1"/>
      <c r="H46" s="2">
        <v>151500.0</v>
      </c>
    </row>
    <row r="47" ht="15.75" customHeight="1">
      <c r="A47" s="1"/>
      <c r="B47" s="4" t="s">
        <v>3708</v>
      </c>
      <c r="C47" s="15"/>
      <c r="D47" s="1"/>
      <c r="E47" s="1"/>
      <c r="F47" s="1"/>
      <c r="H47" s="2">
        <v>30000.0</v>
      </c>
    </row>
    <row r="48" ht="15.75" customHeight="1">
      <c r="A48" s="1"/>
      <c r="B48" s="4" t="s">
        <v>3764</v>
      </c>
      <c r="H48" s="2">
        <v>39400.0</v>
      </c>
    </row>
    <row r="49" ht="15.75" customHeight="1">
      <c r="A49" s="1"/>
      <c r="B49" s="4" t="s">
        <v>3765</v>
      </c>
      <c r="H49" s="2">
        <v>11000.0</v>
      </c>
    </row>
    <row r="50" ht="15.75" customHeight="1">
      <c r="A50" s="1"/>
      <c r="B50" s="4" t="s">
        <v>3766</v>
      </c>
      <c r="H50" s="2">
        <v>45000.0</v>
      </c>
    </row>
    <row r="51" ht="15.75" customHeight="1">
      <c r="A51" s="1"/>
      <c r="B51" s="4" t="s">
        <v>3767</v>
      </c>
      <c r="H51" s="2">
        <v>77100.0</v>
      </c>
    </row>
    <row r="52" ht="15.75" customHeight="1">
      <c r="A52" s="1"/>
      <c r="B52" s="4" t="s">
        <v>3768</v>
      </c>
      <c r="H52" s="2">
        <v>2000.0</v>
      </c>
    </row>
    <row r="53" ht="15.75" customHeight="1">
      <c r="A53" s="1"/>
      <c r="B53" s="4" t="s">
        <v>3769</v>
      </c>
      <c r="H53" s="2">
        <v>10000.0</v>
      </c>
    </row>
    <row r="54" ht="15.75" customHeight="1">
      <c r="A54" s="1"/>
      <c r="B54" s="4" t="s">
        <v>3770</v>
      </c>
      <c r="H54" s="2">
        <v>50000.0</v>
      </c>
    </row>
    <row r="55" ht="15.75" customHeight="1">
      <c r="A55" s="1"/>
      <c r="B55" s="4" t="s">
        <v>3771</v>
      </c>
      <c r="H55" s="2">
        <v>70700.0</v>
      </c>
    </row>
    <row r="56" ht="15.75" customHeight="1">
      <c r="A56" s="1"/>
      <c r="B56" s="4" t="s">
        <v>3772</v>
      </c>
      <c r="H56" s="2">
        <v>4000.0</v>
      </c>
    </row>
    <row r="57" ht="15.75" customHeight="1">
      <c r="A57" s="1"/>
      <c r="B57" s="4" t="s">
        <v>3773</v>
      </c>
      <c r="C57" s="15"/>
      <c r="D57" s="1"/>
      <c r="E57" s="1"/>
      <c r="F57" s="1"/>
      <c r="H57" s="2">
        <v>8000.0</v>
      </c>
    </row>
    <row r="58" ht="15.75" customHeight="1">
      <c r="A58" s="1"/>
      <c r="B58" s="4" t="s">
        <v>3774</v>
      </c>
      <c r="C58" s="15"/>
      <c r="D58" s="1"/>
      <c r="E58" s="1"/>
      <c r="F58" s="1"/>
      <c r="H58" s="2">
        <v>12610.0</v>
      </c>
    </row>
    <row r="59" ht="15.75" customHeight="1">
      <c r="A59" s="1"/>
      <c r="B59" s="4" t="s">
        <v>3775</v>
      </c>
      <c r="C59" s="15"/>
      <c r="D59" s="1"/>
      <c r="E59" s="1"/>
      <c r="F59" s="1"/>
      <c r="H59" s="2">
        <v>5278.0</v>
      </c>
    </row>
    <row r="60" ht="15.75" customHeight="1">
      <c r="A60" s="1"/>
      <c r="B60" s="4" t="s">
        <v>1102</v>
      </c>
      <c r="C60" s="15"/>
      <c r="D60" s="1"/>
      <c r="E60" s="1"/>
      <c r="F60" s="1"/>
      <c r="H60" s="2">
        <v>4036.0</v>
      </c>
    </row>
    <row r="61" ht="15.75" customHeight="1">
      <c r="A61" s="1"/>
      <c r="B61" s="4" t="s">
        <v>3776</v>
      </c>
      <c r="C61" s="15"/>
      <c r="D61" s="1"/>
      <c r="E61" s="1"/>
      <c r="F61" s="1"/>
      <c r="H61" s="2">
        <v>30000.0</v>
      </c>
    </row>
    <row r="62" ht="15.75" customHeight="1">
      <c r="A62" s="1"/>
      <c r="B62" s="4" t="s">
        <v>3777</v>
      </c>
      <c r="C62" s="15"/>
      <c r="D62" s="1"/>
      <c r="E62" s="1"/>
      <c r="F62" s="1"/>
      <c r="H62" s="2">
        <v>10000.0</v>
      </c>
    </row>
    <row r="63" ht="15.75" customHeight="1">
      <c r="A63" s="1"/>
      <c r="B63" s="4" t="s">
        <v>3778</v>
      </c>
      <c r="C63" s="15"/>
      <c r="D63" s="1"/>
      <c r="E63" s="1"/>
      <c r="F63" s="1"/>
      <c r="H63" s="2">
        <v>9800.0</v>
      </c>
    </row>
    <row r="64" ht="15.75" customHeight="1">
      <c r="A64" s="1"/>
      <c r="B64" s="4" t="s">
        <v>3779</v>
      </c>
      <c r="C64" s="15"/>
      <c r="D64" s="1"/>
      <c r="E64" s="1"/>
      <c r="F64" s="1"/>
      <c r="H64" s="2">
        <v>30000.0</v>
      </c>
    </row>
    <row r="65" ht="15.75" customHeight="1">
      <c r="A65" s="1"/>
      <c r="B65" s="4" t="s">
        <v>3780</v>
      </c>
      <c r="C65" s="15"/>
      <c r="D65" s="1"/>
      <c r="E65" s="1"/>
      <c r="F65" s="1"/>
      <c r="H65" s="2">
        <v>10000.0</v>
      </c>
    </row>
    <row r="66" ht="15.75" customHeight="1">
      <c r="A66" s="1"/>
      <c r="B66" s="4" t="s">
        <v>3781</v>
      </c>
      <c r="C66" s="15"/>
      <c r="D66" s="1"/>
      <c r="E66" s="1"/>
      <c r="F66" s="1"/>
      <c r="H66" s="2">
        <v>2000.0</v>
      </c>
    </row>
    <row r="67" ht="15.75" customHeight="1">
      <c r="A67" s="1"/>
      <c r="B67" s="4" t="s">
        <v>3782</v>
      </c>
      <c r="C67" s="15"/>
      <c r="D67" s="1"/>
      <c r="E67" s="1"/>
      <c r="F67" s="1"/>
      <c r="H67" s="2">
        <v>100000.0</v>
      </c>
    </row>
    <row r="68" ht="15.75" customHeight="1">
      <c r="A68" s="1"/>
      <c r="B68" s="4" t="s">
        <v>3783</v>
      </c>
      <c r="C68" s="15"/>
      <c r="D68" s="1"/>
      <c r="E68" s="1"/>
      <c r="F68" s="1"/>
      <c r="H68" s="2">
        <v>7500.0</v>
      </c>
    </row>
    <row r="69" ht="15.75" customHeight="1">
      <c r="A69" s="1"/>
      <c r="B69" s="4" t="s">
        <v>3784</v>
      </c>
      <c r="C69" s="15"/>
      <c r="D69" s="1"/>
      <c r="E69" s="1"/>
      <c r="F69" s="1"/>
      <c r="H69" s="2">
        <v>450000.0</v>
      </c>
    </row>
    <row r="70" ht="15.75" customHeight="1">
      <c r="A70" s="1"/>
      <c r="B70" s="4" t="s">
        <v>3785</v>
      </c>
      <c r="C70" s="15"/>
      <c r="D70" s="1"/>
      <c r="E70" s="1"/>
      <c r="F70" s="1"/>
      <c r="H70" s="2">
        <v>16000.0</v>
      </c>
    </row>
    <row r="71" ht="15.75" customHeight="1">
      <c r="A71" s="1"/>
      <c r="B71" s="4" t="s">
        <v>3786</v>
      </c>
      <c r="C71" s="15"/>
      <c r="D71" s="1"/>
      <c r="E71" s="1"/>
      <c r="F71" s="1"/>
      <c r="H71" s="2">
        <v>35200.0</v>
      </c>
    </row>
    <row r="72" ht="15.75" customHeight="1">
      <c r="A72" s="1"/>
      <c r="B72" s="4" t="s">
        <v>3787</v>
      </c>
      <c r="C72" s="15"/>
      <c r="D72" s="1"/>
      <c r="E72" s="1"/>
      <c r="F72" s="1"/>
      <c r="H72" s="2">
        <v>20000.0</v>
      </c>
    </row>
    <row r="73" ht="15.75" customHeight="1">
      <c r="A73" s="1"/>
      <c r="B73" s="4" t="s">
        <v>3788</v>
      </c>
      <c r="C73" s="15"/>
      <c r="D73" s="1"/>
      <c r="E73" s="1"/>
      <c r="F73" s="1"/>
      <c r="H73" s="2">
        <v>4500.0</v>
      </c>
    </row>
    <row r="74" ht="15.75" customHeight="1">
      <c r="A74" s="1"/>
      <c r="B74" s="93" t="s">
        <v>3789</v>
      </c>
      <c r="C74" s="93"/>
      <c r="D74" s="93"/>
      <c r="E74" s="93"/>
      <c r="F74" s="1"/>
      <c r="H74" s="13">
        <v>750000.0</v>
      </c>
    </row>
    <row r="75" ht="15.75" customHeight="1">
      <c r="A75" s="1"/>
      <c r="B75" s="4" t="s">
        <v>3790</v>
      </c>
      <c r="C75" s="15"/>
      <c r="D75" s="1"/>
      <c r="E75" s="1"/>
      <c r="F75" s="1"/>
      <c r="H75" s="2">
        <v>124300.0</v>
      </c>
    </row>
    <row r="76" ht="15.75" customHeight="1">
      <c r="A76" s="1"/>
      <c r="B76" s="4" t="s">
        <v>3791</v>
      </c>
      <c r="C76" s="15"/>
      <c r="D76" s="1"/>
      <c r="E76" s="1"/>
      <c r="F76" s="1"/>
      <c r="H76" s="2">
        <v>2000.0</v>
      </c>
    </row>
    <row r="77" ht="15.75" customHeight="1">
      <c r="A77" s="1"/>
      <c r="B77" s="4" t="s">
        <v>3792</v>
      </c>
      <c r="C77" s="15"/>
      <c r="D77" s="1"/>
      <c r="E77" s="1"/>
      <c r="F77" s="1"/>
      <c r="H77" s="2">
        <v>15000.0</v>
      </c>
    </row>
    <row r="78" ht="15.75" customHeight="1">
      <c r="A78" s="1"/>
      <c r="B78" s="4" t="s">
        <v>3793</v>
      </c>
      <c r="C78" s="15"/>
      <c r="D78" s="1"/>
      <c r="E78" s="1"/>
      <c r="F78" s="1"/>
      <c r="H78" s="2">
        <v>85000.0</v>
      </c>
    </row>
    <row r="79" ht="15.75" customHeight="1">
      <c r="A79" s="1"/>
      <c r="B79" s="4" t="s">
        <v>3794</v>
      </c>
      <c r="C79" s="15"/>
      <c r="D79" s="1"/>
      <c r="E79" s="1"/>
      <c r="F79" s="1"/>
      <c r="H79" s="2">
        <v>6200.0</v>
      </c>
    </row>
    <row r="80" ht="15.75" customHeight="1">
      <c r="A80" s="1"/>
      <c r="B80" s="4" t="s">
        <v>3795</v>
      </c>
      <c r="C80" s="15"/>
      <c r="D80" s="1"/>
      <c r="E80" s="1"/>
      <c r="F80" s="1"/>
      <c r="H80" s="2">
        <v>100000.0</v>
      </c>
    </row>
    <row r="81" ht="15.75" customHeight="1">
      <c r="A81" s="1"/>
      <c r="B81" s="4" t="s">
        <v>3796</v>
      </c>
      <c r="C81" s="15"/>
      <c r="D81" s="1"/>
      <c r="E81" s="1"/>
      <c r="F81" s="1"/>
      <c r="H81" s="2">
        <v>6400.0</v>
      </c>
    </row>
    <row r="82" ht="15.75" customHeight="1">
      <c r="A82" s="1"/>
      <c r="B82" s="4" t="s">
        <v>3797</v>
      </c>
      <c r="C82" s="15"/>
      <c r="D82" s="1"/>
      <c r="E82" s="1"/>
      <c r="F82" s="1"/>
      <c r="H82" s="2">
        <v>2500.0</v>
      </c>
    </row>
    <row r="83" ht="15.75" customHeight="1">
      <c r="A83" s="1"/>
      <c r="B83" s="4" t="s">
        <v>3798</v>
      </c>
      <c r="C83" s="15"/>
      <c r="D83" s="1"/>
      <c r="E83" s="1"/>
      <c r="F83" s="1"/>
      <c r="H83" s="2">
        <v>12000.0</v>
      </c>
    </row>
    <row r="84" ht="15.75" customHeight="1">
      <c r="A84" s="1"/>
      <c r="B84" s="4" t="s">
        <v>3799</v>
      </c>
      <c r="C84" s="15"/>
      <c r="D84" s="1"/>
      <c r="E84" s="1"/>
      <c r="F84" s="1"/>
      <c r="H84" s="2">
        <v>2500.0</v>
      </c>
    </row>
    <row r="85" ht="15.75" customHeight="1">
      <c r="A85" s="1"/>
      <c r="B85" s="4" t="s">
        <v>3800</v>
      </c>
      <c r="C85" s="15"/>
      <c r="D85" s="1"/>
      <c r="E85" s="1"/>
      <c r="F85" s="1"/>
      <c r="H85" s="2">
        <v>10000.0</v>
      </c>
    </row>
    <row r="86" ht="15.75" customHeight="1">
      <c r="A86" s="1"/>
      <c r="B86" s="4" t="s">
        <v>3801</v>
      </c>
      <c r="C86" s="15"/>
      <c r="D86" s="1"/>
      <c r="E86" s="1"/>
      <c r="F86" s="1"/>
      <c r="H86" s="2">
        <v>7000.0</v>
      </c>
    </row>
    <row r="87" ht="15.75" customHeight="1">
      <c r="A87" s="1"/>
      <c r="B87" s="1" t="s">
        <v>3802</v>
      </c>
      <c r="C87" s="1"/>
      <c r="D87" s="1"/>
      <c r="E87" s="1"/>
      <c r="F87" s="1"/>
      <c r="H87" s="13">
        <v>9000.0</v>
      </c>
    </row>
    <row r="88" ht="15.75" customHeight="1">
      <c r="A88" s="1"/>
      <c r="B88" s="93" t="s">
        <v>3803</v>
      </c>
      <c r="C88" s="93"/>
      <c r="D88" s="93"/>
      <c r="E88" s="93"/>
      <c r="F88" s="1"/>
      <c r="H88" s="13">
        <v>308100.0</v>
      </c>
    </row>
    <row r="89" ht="15.75" customHeight="1">
      <c r="A89" s="1"/>
      <c r="B89" s="1" t="s">
        <v>3804</v>
      </c>
      <c r="C89" s="1"/>
      <c r="D89" s="1"/>
      <c r="E89" s="1"/>
      <c r="F89" s="1"/>
      <c r="H89" s="13">
        <v>60000.0</v>
      </c>
    </row>
    <row r="90" ht="15.75" customHeight="1">
      <c r="A90" s="1"/>
      <c r="B90" s="1" t="s">
        <v>3805</v>
      </c>
      <c r="C90" s="1"/>
      <c r="D90" s="1"/>
      <c r="E90" s="1"/>
      <c r="F90" s="1"/>
      <c r="H90" s="13">
        <v>10000.0</v>
      </c>
    </row>
    <row r="91" ht="15.75" customHeight="1">
      <c r="A91" s="1"/>
      <c r="B91" s="93" t="s">
        <v>3806</v>
      </c>
      <c r="C91" s="93"/>
      <c r="D91" s="93"/>
      <c r="E91" s="93"/>
      <c r="F91" s="1"/>
      <c r="H91" s="13">
        <v>1400.0</v>
      </c>
    </row>
    <row r="92" ht="15.75" customHeight="1">
      <c r="A92" s="1"/>
      <c r="B92" s="93" t="s">
        <v>3807</v>
      </c>
      <c r="C92" s="93"/>
      <c r="D92" s="93"/>
      <c r="E92" s="93"/>
      <c r="F92" s="1"/>
      <c r="H92" s="13">
        <v>3000.0</v>
      </c>
    </row>
    <row r="93" ht="15.75" customHeight="1">
      <c r="A93" s="1"/>
      <c r="B93" s="93" t="s">
        <v>3808</v>
      </c>
      <c r="C93" s="93"/>
      <c r="D93" s="93"/>
      <c r="E93" s="93"/>
      <c r="F93" s="1"/>
      <c r="H93" s="13">
        <v>5000.0</v>
      </c>
    </row>
    <row r="94" ht="15.75" customHeight="1">
      <c r="A94" s="1"/>
      <c r="B94" s="93" t="s">
        <v>3809</v>
      </c>
      <c r="C94" s="93"/>
      <c r="D94" s="93"/>
      <c r="E94" s="93"/>
      <c r="F94" s="1"/>
      <c r="H94" s="13">
        <v>24500.0</v>
      </c>
    </row>
    <row r="95" ht="15.75" customHeight="1">
      <c r="A95" s="1"/>
      <c r="B95" s="93" t="s">
        <v>3810</v>
      </c>
      <c r="C95" s="93"/>
      <c r="D95" s="93"/>
      <c r="E95" s="93"/>
      <c r="F95" s="1"/>
      <c r="H95" s="13">
        <v>17000.0</v>
      </c>
    </row>
    <row r="96" ht="15.75" customHeight="1">
      <c r="A96" s="1"/>
      <c r="B96" s="93" t="s">
        <v>3811</v>
      </c>
      <c r="C96" s="93"/>
      <c r="D96" s="93"/>
      <c r="E96" s="93"/>
      <c r="F96" s="1"/>
      <c r="H96" s="13">
        <v>215350.0</v>
      </c>
    </row>
    <row r="97" ht="15.75" customHeight="1">
      <c r="A97" s="1"/>
      <c r="B97" s="93" t="s">
        <v>3812</v>
      </c>
      <c r="C97" s="93"/>
      <c r="D97" s="93"/>
      <c r="E97" s="93"/>
      <c r="F97" s="1"/>
      <c r="H97" s="13">
        <v>12000.0</v>
      </c>
    </row>
    <row r="98" ht="15.75" customHeight="1">
      <c r="A98" s="1"/>
      <c r="B98" s="93" t="s">
        <v>3813</v>
      </c>
      <c r="C98" s="93"/>
      <c r="D98" s="93"/>
      <c r="E98" s="93"/>
      <c r="F98" s="1"/>
      <c r="H98" s="13">
        <v>2500.0</v>
      </c>
    </row>
    <row r="99" ht="15.75" customHeight="1">
      <c r="A99" s="1"/>
      <c r="B99" s="93" t="s">
        <v>3814</v>
      </c>
      <c r="C99" s="93"/>
      <c r="D99" s="93"/>
      <c r="E99" s="93"/>
      <c r="F99" s="1"/>
      <c r="H99" s="13">
        <v>205550.0</v>
      </c>
    </row>
    <row r="100" ht="15.75" customHeight="1">
      <c r="A100" s="1"/>
      <c r="B100" s="93" t="s">
        <v>3815</v>
      </c>
      <c r="C100" s="93"/>
      <c r="D100" s="93"/>
      <c r="E100" s="93"/>
      <c r="F100" s="1"/>
      <c r="H100" s="13">
        <v>2200.0</v>
      </c>
    </row>
    <row r="101" ht="15.75" customHeight="1">
      <c r="A101" s="1"/>
      <c r="B101" s="93" t="s">
        <v>3816</v>
      </c>
      <c r="C101" s="93"/>
      <c r="D101" s="93"/>
      <c r="E101" s="93"/>
      <c r="F101" s="1"/>
      <c r="H101" s="13">
        <v>34800.0</v>
      </c>
    </row>
    <row r="102" ht="15.75" customHeight="1">
      <c r="A102" s="1"/>
      <c r="B102" s="93" t="s">
        <v>3817</v>
      </c>
      <c r="C102" s="93"/>
      <c r="D102" s="93"/>
      <c r="E102" s="93"/>
      <c r="F102" s="1"/>
      <c r="H102" s="13">
        <v>5200.0</v>
      </c>
    </row>
    <row r="103" ht="15.75" customHeight="1">
      <c r="A103" s="1"/>
      <c r="B103" s="93" t="s">
        <v>3818</v>
      </c>
      <c r="C103" s="93"/>
      <c r="D103" s="93"/>
      <c r="E103" s="93"/>
      <c r="F103" s="1"/>
      <c r="H103" s="13">
        <v>30000.0</v>
      </c>
    </row>
    <row r="104" ht="15.75" customHeight="1">
      <c r="A104" s="1"/>
      <c r="B104" s="93" t="s">
        <v>3819</v>
      </c>
      <c r="C104" s="93"/>
      <c r="D104" s="93"/>
      <c r="E104" s="93"/>
      <c r="F104" s="1"/>
      <c r="H104" s="13">
        <v>20000.0</v>
      </c>
    </row>
    <row r="105" ht="15.75" customHeight="1">
      <c r="A105" s="1"/>
      <c r="B105" s="93" t="s">
        <v>3820</v>
      </c>
      <c r="C105" s="93"/>
      <c r="D105" s="93"/>
      <c r="E105" s="93"/>
      <c r="F105" s="1"/>
      <c r="H105" s="13">
        <v>185000.0</v>
      </c>
    </row>
    <row r="106" ht="15.75" customHeight="1">
      <c r="A106" s="1"/>
      <c r="B106" s="93" t="s">
        <v>3821</v>
      </c>
      <c r="C106" s="93"/>
      <c r="D106" s="93"/>
      <c r="E106" s="93"/>
      <c r="F106" s="1"/>
      <c r="H106" s="13">
        <v>67500.0</v>
      </c>
    </row>
    <row r="107" ht="15.75" customHeight="1">
      <c r="A107" s="1"/>
      <c r="B107" s="93" t="s">
        <v>3822</v>
      </c>
      <c r="C107" s="93"/>
      <c r="D107" s="93"/>
      <c r="E107" s="93"/>
      <c r="F107" s="1"/>
      <c r="H107" s="13">
        <v>9600.0</v>
      </c>
    </row>
    <row r="108" ht="15.75" customHeight="1">
      <c r="A108" s="1"/>
      <c r="B108" s="93" t="s">
        <v>3823</v>
      </c>
      <c r="C108" s="93"/>
      <c r="D108" s="93"/>
      <c r="E108" s="93"/>
      <c r="F108" s="1"/>
      <c r="H108" s="13">
        <v>8000.0</v>
      </c>
    </row>
    <row r="109" ht="15.75" customHeight="1">
      <c r="A109" s="1"/>
      <c r="B109" s="93" t="s">
        <v>3824</v>
      </c>
      <c r="C109" s="93"/>
      <c r="D109" s="93"/>
      <c r="E109" s="93"/>
      <c r="F109" s="1"/>
      <c r="H109" s="13">
        <v>40000.0</v>
      </c>
    </row>
    <row r="110" ht="15.75" customHeight="1">
      <c r="A110" s="1"/>
      <c r="B110" s="93" t="s">
        <v>3825</v>
      </c>
      <c r="C110" s="93"/>
      <c r="D110" s="93"/>
      <c r="E110" s="93"/>
      <c r="F110" s="1"/>
      <c r="H110" s="13">
        <v>16000.0</v>
      </c>
    </row>
    <row r="111" ht="15.75" customHeight="1">
      <c r="A111" s="1"/>
      <c r="B111" s="93" t="s">
        <v>3826</v>
      </c>
      <c r="C111" s="93"/>
      <c r="D111" s="93"/>
      <c r="E111" s="93"/>
      <c r="F111" s="1"/>
      <c r="H111" s="13">
        <v>23230.0</v>
      </c>
    </row>
    <row r="112" ht="15.75" customHeight="1">
      <c r="A112" s="1"/>
      <c r="B112" s="93" t="s">
        <v>3827</v>
      </c>
      <c r="C112" s="93"/>
      <c r="D112" s="93"/>
      <c r="E112" s="93"/>
      <c r="F112" s="1"/>
      <c r="H112" s="13">
        <v>10000.0</v>
      </c>
    </row>
    <row r="113" ht="15.75" customHeight="1">
      <c r="A113" s="1"/>
      <c r="B113" s="93" t="s">
        <v>3828</v>
      </c>
      <c r="C113" s="93"/>
      <c r="D113" s="93"/>
      <c r="E113" s="93"/>
      <c r="F113" s="1"/>
      <c r="H113" s="13">
        <v>2500.0</v>
      </c>
    </row>
    <row r="114" ht="15.75" customHeight="1">
      <c r="A114" s="1"/>
      <c r="B114" s="93" t="s">
        <v>3829</v>
      </c>
      <c r="C114" s="93"/>
      <c r="D114" s="93"/>
      <c r="E114" s="93"/>
      <c r="F114" s="1"/>
      <c r="H114" s="13">
        <v>34500.0</v>
      </c>
    </row>
    <row r="115" ht="15.75" customHeight="1">
      <c r="A115" s="1"/>
      <c r="B115" s="93" t="s">
        <v>3830</v>
      </c>
      <c r="C115" s="93"/>
      <c r="D115" s="93"/>
      <c r="E115" s="93"/>
      <c r="F115" s="1"/>
      <c r="H115" s="13">
        <v>50000.0</v>
      </c>
    </row>
    <row r="116" ht="15.75" customHeight="1">
      <c r="A116" s="1"/>
      <c r="B116" s="93" t="s">
        <v>3831</v>
      </c>
      <c r="C116" s="93"/>
      <c r="D116" s="93"/>
      <c r="E116" s="93"/>
      <c r="F116" s="1"/>
      <c r="H116" s="13">
        <v>50000.0</v>
      </c>
    </row>
    <row r="117" ht="15.75" customHeight="1">
      <c r="A117" s="1"/>
      <c r="B117" s="93" t="s">
        <v>3832</v>
      </c>
      <c r="C117" s="93"/>
      <c r="D117" s="93"/>
      <c r="E117" s="93"/>
      <c r="F117" s="1"/>
      <c r="H117" s="13">
        <v>3000.0</v>
      </c>
    </row>
    <row r="118" ht="15.75" customHeight="1">
      <c r="A118" s="1"/>
      <c r="B118" s="93" t="s">
        <v>3833</v>
      </c>
      <c r="C118" s="93"/>
      <c r="D118" s="93"/>
      <c r="E118" s="93"/>
      <c r="F118" s="1"/>
      <c r="H118" s="13">
        <v>3600.0</v>
      </c>
    </row>
    <row r="119" ht="15.75" customHeight="1">
      <c r="A119" s="1"/>
      <c r="B119" s="93" t="s">
        <v>3834</v>
      </c>
      <c r="C119" s="93"/>
      <c r="D119" s="93"/>
      <c r="E119" s="93"/>
      <c r="F119" s="1"/>
      <c r="H119" s="13">
        <v>30000.0</v>
      </c>
    </row>
    <row r="120" ht="15.75" customHeight="1">
      <c r="A120" s="1"/>
      <c r="B120" s="93" t="s">
        <v>3835</v>
      </c>
      <c r="C120" s="93"/>
      <c r="D120" s="93"/>
      <c r="E120" s="93"/>
      <c r="F120" s="1"/>
      <c r="H120" s="13">
        <v>1000.0</v>
      </c>
    </row>
    <row r="121" ht="15.75" customHeight="1">
      <c r="A121" s="1"/>
      <c r="B121" s="93" t="s">
        <v>3836</v>
      </c>
      <c r="C121" s="93"/>
      <c r="D121" s="93"/>
      <c r="E121" s="93"/>
      <c r="F121" s="1"/>
      <c r="H121" s="13">
        <v>100000.0</v>
      </c>
    </row>
    <row r="122" ht="15.75" customHeight="1">
      <c r="A122" s="1"/>
      <c r="B122" s="93" t="s">
        <v>3837</v>
      </c>
      <c r="C122" s="93"/>
      <c r="D122" s="93"/>
      <c r="E122" s="93"/>
      <c r="F122" s="1"/>
      <c r="H122" s="13">
        <v>150000.0</v>
      </c>
    </row>
    <row r="123" ht="15.75" customHeight="1">
      <c r="A123" s="1"/>
      <c r="B123" s="93" t="s">
        <v>3396</v>
      </c>
      <c r="C123" s="93"/>
      <c r="D123" s="93"/>
      <c r="E123" s="93"/>
      <c r="F123" s="1"/>
      <c r="H123" s="13">
        <v>18000.0</v>
      </c>
    </row>
    <row r="124" ht="15.75" customHeight="1">
      <c r="A124" s="1"/>
      <c r="B124" s="93" t="s">
        <v>3838</v>
      </c>
      <c r="C124" s="93"/>
      <c r="D124" s="93"/>
      <c r="E124" s="93"/>
      <c r="F124" s="1"/>
      <c r="H124" s="13">
        <v>50000.0</v>
      </c>
    </row>
    <row r="125" ht="15.75" customHeight="1">
      <c r="A125" s="1"/>
      <c r="B125" s="93" t="s">
        <v>3839</v>
      </c>
      <c r="C125" s="93"/>
      <c r="D125" s="93"/>
      <c r="E125" s="93"/>
      <c r="F125" s="1"/>
      <c r="H125" s="13">
        <v>8478.0</v>
      </c>
    </row>
    <row r="126" ht="15.75" customHeight="1">
      <c r="A126" s="1"/>
      <c r="B126" s="93" t="s">
        <v>3840</v>
      </c>
      <c r="C126" s="93"/>
      <c r="D126" s="93"/>
      <c r="E126" s="93"/>
      <c r="F126" s="1"/>
      <c r="H126" s="13">
        <v>150000.0</v>
      </c>
    </row>
    <row r="127" ht="15.75" customHeight="1">
      <c r="A127" s="1"/>
      <c r="B127" s="3" t="s">
        <v>43</v>
      </c>
      <c r="C127" s="1"/>
      <c r="D127" s="1"/>
      <c r="E127" s="1"/>
      <c r="F127" s="1"/>
      <c r="G127" s="54">
        <f>SUM(H23:H126)</f>
        <v>5505541</v>
      </c>
    </row>
    <row r="128" ht="15.75" customHeight="1">
      <c r="A128" s="1"/>
      <c r="B128" s="19" t="s">
        <v>45</v>
      </c>
      <c r="C128" s="20"/>
      <c r="D128" s="20"/>
      <c r="E128" s="20"/>
      <c r="F128" s="20"/>
      <c r="G128" s="102">
        <f>G21+G127</f>
        <v>6725541</v>
      </c>
      <c r="H128" s="53"/>
    </row>
    <row r="129" ht="15.75" customHeight="1">
      <c r="A129" s="35" t="s">
        <v>3130</v>
      </c>
      <c r="B129" s="36" t="s">
        <v>3301</v>
      </c>
      <c r="C129" s="37"/>
      <c r="D129" s="82"/>
      <c r="E129" s="37"/>
      <c r="F129" s="37"/>
      <c r="G129" s="103">
        <f>G10-G128</f>
        <v>4633009</v>
      </c>
      <c r="H129" s="53"/>
    </row>
    <row r="130" ht="15.75" customHeight="1">
      <c r="A130" s="22" t="s">
        <v>254</v>
      </c>
      <c r="B130" s="43" t="s">
        <v>255</v>
      </c>
      <c r="C130" s="1"/>
      <c r="D130" s="1"/>
      <c r="E130" s="1"/>
      <c r="F130" s="1"/>
      <c r="H130" s="2"/>
    </row>
    <row r="131" ht="15.75" customHeight="1">
      <c r="B131" s="4" t="s">
        <v>3609</v>
      </c>
      <c r="C131" s="15"/>
      <c r="D131" s="1"/>
      <c r="E131" s="1"/>
      <c r="F131" s="1"/>
      <c r="H131" s="117">
        <v>1386500.0</v>
      </c>
    </row>
    <row r="132" ht="15.75" customHeight="1">
      <c r="A132" s="22"/>
      <c r="B132" s="72" t="s">
        <v>51</v>
      </c>
      <c r="C132" s="27"/>
      <c r="D132" s="27"/>
      <c r="E132" s="27"/>
      <c r="F132" s="27"/>
      <c r="G132" s="104">
        <f>H131</f>
        <v>1386500</v>
      </c>
      <c r="H132" s="53"/>
    </row>
    <row r="133" ht="24.0" customHeight="1">
      <c r="A133" s="22"/>
      <c r="B133" s="91" t="s">
        <v>3841</v>
      </c>
      <c r="C133" s="45"/>
      <c r="D133" s="45"/>
      <c r="E133" s="46"/>
      <c r="F133" s="46"/>
      <c r="G133" s="105">
        <f>G2+G129-G132</f>
        <v>29115358</v>
      </c>
      <c r="H133" s="53"/>
    </row>
    <row r="134" ht="15.75" customHeight="1">
      <c r="A134" s="22"/>
      <c r="B134" s="32" t="s">
        <v>3365</v>
      </c>
    </row>
    <row r="135" ht="15.75" customHeight="1">
      <c r="A135" s="22"/>
      <c r="B135" s="1"/>
      <c r="C135" s="1" t="s">
        <v>3137</v>
      </c>
      <c r="D135" s="1"/>
      <c r="E135" s="1"/>
      <c r="F135" s="1"/>
      <c r="H135" s="38">
        <v>1591650.0</v>
      </c>
    </row>
    <row r="136" ht="15.75" customHeight="1">
      <c r="A136" s="22"/>
      <c r="B136" s="1"/>
      <c r="C136" s="1" t="s">
        <v>3218</v>
      </c>
      <c r="D136" s="1"/>
      <c r="E136" s="1"/>
      <c r="F136" s="1"/>
      <c r="H136" s="38">
        <v>44200.0</v>
      </c>
    </row>
    <row r="137" ht="18.0" customHeight="1">
      <c r="A137" s="44"/>
      <c r="B137" s="1"/>
      <c r="C137" s="43" t="s">
        <v>115</v>
      </c>
      <c r="D137" s="1"/>
      <c r="E137" s="1"/>
      <c r="F137" s="1"/>
      <c r="H137" s="38">
        <f>SUM(H135:H136)</f>
        <v>1635850</v>
      </c>
    </row>
    <row r="138" ht="16.5" customHeight="1">
      <c r="A138" s="44"/>
      <c r="B138" s="43"/>
      <c r="C138" s="43"/>
      <c r="D138" s="1"/>
      <c r="E138" s="1"/>
      <c r="F138" s="1"/>
      <c r="G138" s="1"/>
    </row>
    <row r="139" ht="15.75" customHeight="1">
      <c r="A139" s="1"/>
      <c r="B139" s="33"/>
      <c r="C139" s="1"/>
      <c r="D139" s="1"/>
      <c r="E139" s="1"/>
      <c r="F139" s="1"/>
      <c r="G139" s="2"/>
    </row>
    <row r="140" ht="15.75" customHeight="1">
      <c r="A140" s="43" t="s">
        <v>3420</v>
      </c>
      <c r="B140" s="56"/>
      <c r="C140" s="56"/>
      <c r="D140" s="56"/>
      <c r="F140" s="93"/>
      <c r="G140" s="55"/>
    </row>
    <row r="141" ht="15.75" customHeight="1">
      <c r="A141" s="43" t="s">
        <v>3842</v>
      </c>
      <c r="B141" s="56"/>
      <c r="C141" s="56"/>
      <c r="D141" s="56"/>
      <c r="F141" s="93"/>
      <c r="G141" s="55"/>
    </row>
    <row r="142" ht="15.75" customHeight="1">
      <c r="A142" s="43" t="s">
        <v>3843</v>
      </c>
      <c r="B142" s="55"/>
      <c r="C142" s="55"/>
      <c r="D142" s="55"/>
      <c r="G142" s="55"/>
    </row>
    <row r="143" ht="15.75" customHeight="1">
      <c r="A143" s="43" t="s">
        <v>3735</v>
      </c>
      <c r="B143" s="107"/>
      <c r="C143" s="107"/>
      <c r="D143" s="55"/>
      <c r="G143" s="77"/>
    </row>
    <row r="144" ht="15.75" customHeight="1">
      <c r="A144" s="106" t="s">
        <v>3844</v>
      </c>
      <c r="B144" s="108"/>
      <c r="C144" s="109"/>
      <c r="D144" s="109"/>
      <c r="E144" s="109"/>
      <c r="F144" s="108" t="s">
        <v>3227</v>
      </c>
      <c r="G144" s="109"/>
      <c r="H144" s="109"/>
    </row>
    <row r="145" ht="15.75" customHeight="1">
      <c r="A145" s="107" t="s">
        <v>3054</v>
      </c>
      <c r="B145" s="109"/>
      <c r="C145" s="109"/>
      <c r="D145" s="109"/>
      <c r="E145" s="109"/>
      <c r="F145" s="108" t="s">
        <v>3311</v>
      </c>
      <c r="G145" s="109"/>
      <c r="H145" s="109"/>
    </row>
    <row r="146" ht="15.75" customHeight="1">
      <c r="A146" s="107" t="s">
        <v>3055</v>
      </c>
      <c r="B146" s="109"/>
      <c r="C146" s="109"/>
      <c r="D146" s="109"/>
      <c r="E146" s="109"/>
      <c r="F146" s="108" t="s">
        <v>3618</v>
      </c>
      <c r="G146" s="109"/>
      <c r="H146" s="109"/>
    </row>
    <row r="147" ht="15.75" customHeight="1">
      <c r="A147" s="107" t="s">
        <v>3224</v>
      </c>
      <c r="B147" s="109"/>
      <c r="C147" s="109"/>
      <c r="D147" s="109"/>
      <c r="E147" s="109"/>
      <c r="F147" s="109" t="s">
        <v>3619</v>
      </c>
      <c r="G147" s="109"/>
      <c r="H147" s="109"/>
    </row>
    <row r="148" ht="15.75" customHeight="1">
      <c r="A148" s="107" t="s">
        <v>3057</v>
      </c>
      <c r="B148" s="109"/>
      <c r="C148" s="109"/>
      <c r="D148" s="109"/>
      <c r="E148" s="109"/>
      <c r="F148" s="109"/>
      <c r="G148" s="109"/>
      <c r="H148" s="109"/>
    </row>
    <row r="149" ht="15.75" customHeight="1">
      <c r="A149" s="108" t="s">
        <v>3313</v>
      </c>
    </row>
    <row r="150" ht="15.75" customHeight="1">
      <c r="A150" s="55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128:H128"/>
    <mergeCell ref="G129:H129"/>
    <mergeCell ref="G132:H132"/>
    <mergeCell ref="G133:H133"/>
    <mergeCell ref="B134:G134"/>
    <mergeCell ref="A2:F2"/>
    <mergeCell ref="G2:H2"/>
    <mergeCell ref="A9:B9"/>
    <mergeCell ref="B10:F10"/>
    <mergeCell ref="G10:H10"/>
    <mergeCell ref="G21:H21"/>
    <mergeCell ref="G127:H127"/>
  </mergeCells>
  <printOptions/>
  <pageMargins bottom="0.75" footer="0.0" header="0.0" left="0.7" right="0.7" top="0.75"/>
  <pageSetup paperSize="9" orientation="portrait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9.14"/>
    <col customWidth="1" min="9" max="26" width="10.71"/>
  </cols>
  <sheetData>
    <row r="1" ht="24.75" customHeight="1">
      <c r="A1" s="1" t="s">
        <v>721</v>
      </c>
      <c r="B1" s="3" t="s">
        <v>3845</v>
      </c>
      <c r="C1" s="3"/>
      <c r="D1" s="3"/>
      <c r="E1" s="3"/>
      <c r="F1" s="3"/>
      <c r="G1" s="3"/>
    </row>
    <row r="2" ht="18.75" customHeight="1">
      <c r="A2" s="75" t="s">
        <v>3846</v>
      </c>
      <c r="G2" s="87">
        <v>2.9085358E7</v>
      </c>
      <c r="H2" s="53"/>
    </row>
    <row r="3">
      <c r="A3" s="6" t="s">
        <v>3847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167500.0</v>
      </c>
      <c r="E4" s="2">
        <v>120000.0</v>
      </c>
      <c r="F4" s="2">
        <v>317500.0</v>
      </c>
      <c r="G4" s="7">
        <v>1938350.0</v>
      </c>
      <c r="H4" s="60">
        <v>111000.0</v>
      </c>
    </row>
    <row r="5">
      <c r="A5" s="1"/>
      <c r="B5" s="4" t="s">
        <v>64</v>
      </c>
      <c r="C5" s="1"/>
      <c r="D5" s="2">
        <v>265500.0</v>
      </c>
      <c r="E5" s="2">
        <v>146000.0</v>
      </c>
      <c r="F5" s="2">
        <v>212500.0</v>
      </c>
      <c r="G5" s="7">
        <v>1707850.0</v>
      </c>
      <c r="H5" s="2">
        <v>170000.0</v>
      </c>
    </row>
    <row r="6">
      <c r="A6" s="1"/>
      <c r="B6" s="4" t="s">
        <v>65</v>
      </c>
      <c r="C6" s="1"/>
      <c r="D6" s="2">
        <v>194500.0</v>
      </c>
      <c r="E6" s="2">
        <v>85000.0</v>
      </c>
      <c r="F6" s="2">
        <v>205000.0</v>
      </c>
      <c r="G6" s="7">
        <v>2185400.0</v>
      </c>
      <c r="H6" s="2">
        <v>205000.0</v>
      </c>
    </row>
    <row r="7">
      <c r="A7" s="1"/>
      <c r="B7" s="4" t="s">
        <v>3623</v>
      </c>
      <c r="C7" s="1"/>
      <c r="D7" s="2">
        <v>167000.0</v>
      </c>
      <c r="E7" s="2">
        <v>123000.0</v>
      </c>
      <c r="F7" s="2">
        <v>140000.0</v>
      </c>
      <c r="G7" s="76">
        <v>1194200.0</v>
      </c>
      <c r="H7" s="2">
        <v>165000.0</v>
      </c>
      <c r="J7" s="2"/>
    </row>
    <row r="8">
      <c r="A8" s="50" t="s">
        <v>405</v>
      </c>
      <c r="D8" s="60">
        <f t="shared" ref="D8:H8" si="1">SUM(D4:D7)</f>
        <v>794500</v>
      </c>
      <c r="E8" s="60">
        <f t="shared" si="1"/>
        <v>474000</v>
      </c>
      <c r="F8" s="60">
        <f t="shared" si="1"/>
        <v>875000</v>
      </c>
      <c r="G8" s="60">
        <f t="shared" si="1"/>
        <v>7025800</v>
      </c>
      <c r="H8" s="60">
        <f t="shared" si="1"/>
        <v>651000</v>
      </c>
    </row>
    <row r="9">
      <c r="A9" s="1"/>
      <c r="B9" s="51" t="s">
        <v>9</v>
      </c>
      <c r="C9" s="52"/>
      <c r="D9" s="52"/>
      <c r="E9" s="52"/>
      <c r="F9" s="53"/>
      <c r="G9" s="100">
        <f>SUM(A8:H8)</f>
        <v>9820300</v>
      </c>
      <c r="H9" s="53"/>
    </row>
    <row r="10">
      <c r="A10" s="6" t="s">
        <v>3848</v>
      </c>
      <c r="B10" s="1"/>
      <c r="C10" s="1"/>
      <c r="D10" s="1"/>
      <c r="E10" s="1"/>
      <c r="F10" s="1"/>
      <c r="G10" s="2" t="s">
        <v>480</v>
      </c>
    </row>
    <row r="11">
      <c r="A11" s="1"/>
      <c r="B11" s="12" t="s">
        <v>3373</v>
      </c>
      <c r="C11" s="1"/>
      <c r="D11" s="1"/>
      <c r="E11" s="1"/>
      <c r="F11" s="1"/>
      <c r="G11" s="2"/>
    </row>
    <row r="12">
      <c r="A12" s="1"/>
      <c r="B12" s="4" t="s">
        <v>3494</v>
      </c>
      <c r="C12" s="1"/>
      <c r="D12" s="1"/>
      <c r="E12" s="1"/>
      <c r="F12" s="1"/>
      <c r="H12" s="77">
        <v>170000.0</v>
      </c>
    </row>
    <row r="13">
      <c r="A13" s="1"/>
      <c r="B13" s="4" t="s">
        <v>3234</v>
      </c>
      <c r="C13" s="1"/>
      <c r="D13" s="1"/>
      <c r="E13" s="1"/>
      <c r="F13" s="1"/>
      <c r="H13" s="77">
        <v>250000.0</v>
      </c>
      <c r="M13" s="67" t="s">
        <v>2139</v>
      </c>
    </row>
    <row r="14">
      <c r="A14" s="1"/>
      <c r="B14" s="4" t="s">
        <v>3318</v>
      </c>
      <c r="C14" s="1"/>
      <c r="D14" s="1"/>
      <c r="E14" s="1"/>
      <c r="F14" s="1"/>
      <c r="H14" s="77">
        <v>100000.0</v>
      </c>
      <c r="L14" s="67" t="s">
        <v>3543</v>
      </c>
    </row>
    <row r="15">
      <c r="A15" s="1"/>
      <c r="B15" s="4" t="s">
        <v>3150</v>
      </c>
      <c r="C15" s="1"/>
      <c r="D15" s="1"/>
      <c r="E15" s="1"/>
      <c r="F15" s="1"/>
      <c r="H15" s="77">
        <v>80000.0</v>
      </c>
      <c r="L15" s="67" t="s">
        <v>1585</v>
      </c>
    </row>
    <row r="16">
      <c r="A16" s="1"/>
      <c r="B16" s="4" t="s">
        <v>3236</v>
      </c>
      <c r="C16" s="1"/>
      <c r="D16" s="1"/>
      <c r="E16" s="1"/>
      <c r="F16" s="1"/>
      <c r="H16" s="77">
        <v>100000.0</v>
      </c>
    </row>
    <row r="17">
      <c r="A17" s="1"/>
      <c r="B17" s="4" t="s">
        <v>3237</v>
      </c>
      <c r="C17" s="1"/>
      <c r="D17" s="1"/>
      <c r="E17" s="1"/>
      <c r="F17" s="1"/>
      <c r="H17" s="77">
        <v>150000.0</v>
      </c>
    </row>
    <row r="18">
      <c r="A18" s="1"/>
      <c r="B18" s="4" t="s">
        <v>3238</v>
      </c>
      <c r="C18" s="1"/>
      <c r="D18" s="1"/>
      <c r="E18" s="1"/>
      <c r="F18" s="1"/>
      <c r="H18" s="77">
        <v>150000.0</v>
      </c>
    </row>
    <row r="19">
      <c r="A19" s="1"/>
      <c r="B19" s="4" t="s">
        <v>3431</v>
      </c>
      <c r="C19" s="1"/>
      <c r="D19" s="1"/>
      <c r="E19" s="1"/>
      <c r="F19" s="1"/>
      <c r="H19" s="77">
        <v>40000.0</v>
      </c>
    </row>
    <row r="20">
      <c r="A20" s="1"/>
      <c r="B20" s="9" t="s">
        <v>3432</v>
      </c>
      <c r="C20" s="10"/>
      <c r="D20" s="10"/>
      <c r="E20" s="10"/>
      <c r="F20" s="10"/>
      <c r="G20" s="101">
        <f>SUM(H12:H19)</f>
        <v>1040000</v>
      </c>
      <c r="H20" s="53"/>
    </row>
    <row r="21" ht="15.75" customHeight="1">
      <c r="A21" s="1"/>
      <c r="B21" s="12" t="s">
        <v>19</v>
      </c>
      <c r="C21" s="15"/>
      <c r="D21" s="1"/>
      <c r="E21" s="1"/>
      <c r="F21" s="1"/>
    </row>
    <row r="22" ht="15.75" customHeight="1">
      <c r="A22" s="1"/>
      <c r="B22" s="4" t="s">
        <v>3849</v>
      </c>
      <c r="C22" s="15"/>
      <c r="D22" s="1"/>
      <c r="E22" s="1"/>
      <c r="F22" s="1"/>
      <c r="G22" s="67">
        <v>12935.0</v>
      </c>
      <c r="H22" s="2"/>
    </row>
    <row r="23" ht="15.75" customHeight="1">
      <c r="A23" s="1"/>
      <c r="B23" s="4" t="s">
        <v>3850</v>
      </c>
      <c r="C23" s="15"/>
      <c r="D23" s="1"/>
      <c r="E23" s="1"/>
      <c r="F23" s="1"/>
      <c r="G23" s="67">
        <v>303000.0</v>
      </c>
      <c r="H23" s="2"/>
    </row>
    <row r="24" ht="15.75" customHeight="1">
      <c r="A24" s="1"/>
      <c r="B24" s="4" t="s">
        <v>3851</v>
      </c>
      <c r="C24" s="15"/>
      <c r="D24" s="1"/>
      <c r="E24" s="1"/>
      <c r="F24" s="1"/>
      <c r="G24" s="67">
        <v>10000.0</v>
      </c>
      <c r="H24" s="2"/>
    </row>
    <row r="25" ht="15.75" customHeight="1">
      <c r="A25" s="1"/>
      <c r="B25" s="4" t="s">
        <v>3852</v>
      </c>
      <c r="C25" s="15"/>
      <c r="D25" s="1"/>
      <c r="E25" s="1"/>
      <c r="F25" s="1"/>
      <c r="G25" s="67">
        <v>65250.0</v>
      </c>
      <c r="H25" s="2"/>
    </row>
    <row r="26" ht="15.75" customHeight="1">
      <c r="A26" s="1"/>
      <c r="B26" s="4" t="s">
        <v>3853</v>
      </c>
      <c r="C26" s="15"/>
      <c r="D26" s="1"/>
      <c r="E26" s="1"/>
      <c r="F26" s="1"/>
      <c r="G26" s="67">
        <v>29440.0</v>
      </c>
      <c r="H26" s="2"/>
    </row>
    <row r="27" ht="15.75" customHeight="1">
      <c r="A27" s="1"/>
      <c r="B27" s="4" t="s">
        <v>3854</v>
      </c>
      <c r="C27" s="15"/>
      <c r="D27" s="1"/>
      <c r="E27" s="1"/>
      <c r="F27" s="1"/>
      <c r="G27" s="67">
        <v>3200.0</v>
      </c>
      <c r="H27" s="2"/>
    </row>
    <row r="28" ht="15.75" customHeight="1">
      <c r="A28" s="1"/>
      <c r="B28" s="4" t="s">
        <v>3855</v>
      </c>
      <c r="C28" s="15"/>
      <c r="D28" s="1"/>
      <c r="E28" s="1"/>
      <c r="F28" s="1"/>
      <c r="G28" s="67">
        <v>2800.0</v>
      </c>
      <c r="H28" s="2"/>
    </row>
    <row r="29" ht="15.75" customHeight="1">
      <c r="A29" s="1"/>
      <c r="B29" s="4" t="s">
        <v>3856</v>
      </c>
      <c r="C29" s="15"/>
      <c r="D29" s="1"/>
      <c r="E29" s="1"/>
      <c r="F29" s="1"/>
      <c r="G29" s="67">
        <v>60000.0</v>
      </c>
      <c r="H29" s="2"/>
    </row>
    <row r="30" ht="15.75" customHeight="1">
      <c r="A30" s="1"/>
      <c r="B30" s="4" t="s">
        <v>3857</v>
      </c>
      <c r="C30" s="15"/>
      <c r="D30" s="1"/>
      <c r="E30" s="1"/>
      <c r="F30" s="1"/>
      <c r="G30" s="67">
        <v>17500.0</v>
      </c>
      <c r="H30" s="2"/>
    </row>
    <row r="31" ht="15.75" customHeight="1">
      <c r="A31" s="1"/>
      <c r="B31" s="4" t="s">
        <v>3858</v>
      </c>
      <c r="C31" s="15"/>
      <c r="D31" s="1"/>
      <c r="E31" s="1"/>
      <c r="F31" s="1"/>
      <c r="G31" s="67">
        <v>2500.0</v>
      </c>
      <c r="H31" s="2"/>
    </row>
    <row r="32" ht="15.75" customHeight="1">
      <c r="A32" s="1"/>
      <c r="B32" s="4" t="s">
        <v>3859</v>
      </c>
      <c r="C32" s="15"/>
      <c r="D32" s="1"/>
      <c r="E32" s="1"/>
      <c r="F32" s="1"/>
      <c r="G32" s="67">
        <v>189078.0</v>
      </c>
      <c r="H32" s="2"/>
    </row>
    <row r="33" ht="15.75" customHeight="1">
      <c r="A33" s="1"/>
      <c r="B33" s="4" t="s">
        <v>3860</v>
      </c>
      <c r="C33" s="15"/>
      <c r="D33" s="1"/>
      <c r="E33" s="1"/>
      <c r="F33" s="1"/>
      <c r="G33" s="67">
        <v>125000.0</v>
      </c>
      <c r="H33" s="2"/>
    </row>
    <row r="34" ht="15.75" customHeight="1">
      <c r="A34" s="1"/>
      <c r="B34" s="4" t="s">
        <v>3861</v>
      </c>
      <c r="C34" s="15"/>
      <c r="D34" s="1"/>
      <c r="E34" s="1"/>
      <c r="F34" s="1"/>
      <c r="G34" s="67">
        <v>65250.0</v>
      </c>
      <c r="H34" s="2"/>
    </row>
    <row r="35" ht="15.75" customHeight="1">
      <c r="A35" s="1"/>
      <c r="B35" s="4" t="s">
        <v>3862</v>
      </c>
      <c r="C35" s="15"/>
      <c r="D35" s="1"/>
      <c r="E35" s="1"/>
      <c r="F35" s="1"/>
      <c r="G35" s="67">
        <v>40400.0</v>
      </c>
      <c r="H35" s="2"/>
    </row>
    <row r="36" ht="15.75" customHeight="1">
      <c r="A36" s="1"/>
      <c r="B36" s="4" t="s">
        <v>3863</v>
      </c>
      <c r="C36" s="15"/>
      <c r="D36" s="1"/>
      <c r="E36" s="1"/>
      <c r="F36" s="1"/>
      <c r="G36" s="67">
        <v>2000.0</v>
      </c>
      <c r="H36" s="2"/>
    </row>
    <row r="37" ht="15.75" customHeight="1">
      <c r="A37" s="1"/>
      <c r="B37" s="4" t="s">
        <v>3864</v>
      </c>
      <c r="C37" s="15"/>
      <c r="D37" s="1"/>
      <c r="E37" s="1"/>
      <c r="F37" s="1"/>
      <c r="G37" s="67">
        <v>52000.0</v>
      </c>
      <c r="H37" s="2"/>
    </row>
    <row r="38" ht="15.75" customHeight="1">
      <c r="A38" s="1"/>
      <c r="B38" s="4" t="s">
        <v>3865</v>
      </c>
      <c r="C38" s="15"/>
      <c r="D38" s="1"/>
      <c r="E38" s="1"/>
      <c r="F38" s="1"/>
      <c r="G38" s="67">
        <v>223000.0</v>
      </c>
      <c r="H38" s="2"/>
    </row>
    <row r="39" ht="15.75" customHeight="1">
      <c r="A39" s="1"/>
      <c r="B39" s="4" t="s">
        <v>3866</v>
      </c>
      <c r="C39" s="15"/>
      <c r="D39" s="1"/>
      <c r="E39" s="1"/>
      <c r="F39" s="1"/>
      <c r="G39" s="67">
        <v>8100.0</v>
      </c>
      <c r="H39" s="2"/>
    </row>
    <row r="40" ht="15.75" customHeight="1">
      <c r="A40" s="1"/>
      <c r="B40" s="4" t="s">
        <v>3754</v>
      </c>
      <c r="C40" s="15"/>
      <c r="D40" s="1"/>
      <c r="E40" s="1"/>
      <c r="F40" s="1"/>
      <c r="G40" s="67">
        <v>20000.0</v>
      </c>
      <c r="H40" s="2"/>
    </row>
    <row r="41" ht="15.75" customHeight="1">
      <c r="A41" s="1"/>
      <c r="B41" s="4" t="s">
        <v>3867</v>
      </c>
      <c r="C41" s="15"/>
      <c r="D41" s="1"/>
      <c r="E41" s="1"/>
      <c r="F41" s="1"/>
      <c r="G41" s="67">
        <v>4000.0</v>
      </c>
      <c r="H41" s="2"/>
    </row>
    <row r="42" ht="15.75" customHeight="1">
      <c r="A42" s="1"/>
      <c r="B42" s="4" t="s">
        <v>3868</v>
      </c>
      <c r="C42" s="15"/>
      <c r="D42" s="1"/>
      <c r="E42" s="1"/>
      <c r="F42" s="1"/>
      <c r="G42" s="67">
        <v>360000.0</v>
      </c>
      <c r="H42" s="2"/>
    </row>
    <row r="43" ht="17.25" customHeight="1">
      <c r="A43" s="1"/>
      <c r="B43" s="4" t="s">
        <v>3869</v>
      </c>
      <c r="C43" s="15"/>
      <c r="D43" s="1"/>
      <c r="E43" s="1"/>
      <c r="F43" s="1"/>
      <c r="G43" s="67">
        <v>5000.0</v>
      </c>
      <c r="H43" s="2"/>
    </row>
    <row r="44" ht="15.75" customHeight="1">
      <c r="A44" s="1"/>
      <c r="B44" s="4" t="s">
        <v>3870</v>
      </c>
      <c r="C44" s="15"/>
      <c r="D44" s="1"/>
      <c r="E44" s="1"/>
      <c r="F44" s="1"/>
      <c r="G44" s="67">
        <v>190000.0</v>
      </c>
      <c r="H44" s="2"/>
    </row>
    <row r="45" ht="15.75" customHeight="1">
      <c r="A45" s="1"/>
      <c r="B45" s="4" t="s">
        <v>3871</v>
      </c>
      <c r="G45" s="67">
        <v>3000.0</v>
      </c>
      <c r="H45" s="2"/>
    </row>
    <row r="46" ht="15.75" customHeight="1">
      <c r="A46" s="1"/>
      <c r="B46" s="4" t="s">
        <v>3872</v>
      </c>
      <c r="G46" s="67">
        <v>35000.0</v>
      </c>
      <c r="H46" s="2"/>
    </row>
    <row r="47" ht="15.75" customHeight="1">
      <c r="A47" s="1"/>
      <c r="B47" s="4" t="s">
        <v>3873</v>
      </c>
      <c r="G47" s="67">
        <v>145000.0</v>
      </c>
      <c r="H47" s="2"/>
    </row>
    <row r="48" ht="15.75" customHeight="1">
      <c r="A48" s="1"/>
      <c r="B48" s="4" t="s">
        <v>3874</v>
      </c>
      <c r="G48" s="67">
        <v>25000.0</v>
      </c>
      <c r="H48" s="2"/>
    </row>
    <row r="49" ht="15.75" customHeight="1">
      <c r="A49" s="1"/>
      <c r="B49" s="4" t="s">
        <v>3875</v>
      </c>
      <c r="G49" s="67">
        <v>35000.0</v>
      </c>
      <c r="H49" s="2"/>
    </row>
    <row r="50" ht="15.75" customHeight="1">
      <c r="A50" s="1"/>
      <c r="B50" s="4" t="s">
        <v>3876</v>
      </c>
      <c r="G50" s="67">
        <v>5000.0</v>
      </c>
      <c r="H50" s="2"/>
    </row>
    <row r="51" ht="15.75" customHeight="1">
      <c r="A51" s="1"/>
      <c r="B51" s="4" t="s">
        <v>3877</v>
      </c>
      <c r="G51" s="67">
        <v>4000.0</v>
      </c>
      <c r="H51" s="2"/>
    </row>
    <row r="52" ht="15.75" customHeight="1">
      <c r="A52" s="1"/>
      <c r="B52" s="4" t="s">
        <v>3878</v>
      </c>
      <c r="G52" s="67">
        <v>41713.0</v>
      </c>
      <c r="H52" s="2"/>
    </row>
    <row r="53" ht="15.75" customHeight="1">
      <c r="A53" s="1"/>
      <c r="B53" s="4" t="s">
        <v>3879</v>
      </c>
      <c r="G53" s="67">
        <v>34000.0</v>
      </c>
      <c r="H53" s="2"/>
    </row>
    <row r="54" ht="15.75" customHeight="1">
      <c r="A54" s="1"/>
      <c r="B54" s="4" t="s">
        <v>3880</v>
      </c>
      <c r="C54" s="15"/>
      <c r="D54" s="1"/>
      <c r="E54" s="1"/>
      <c r="F54" s="1"/>
      <c r="G54" s="67">
        <v>90000.0</v>
      </c>
      <c r="H54" s="2"/>
    </row>
    <row r="55" ht="15.75" customHeight="1">
      <c r="A55" s="1"/>
      <c r="B55" s="4" t="s">
        <v>3881</v>
      </c>
      <c r="C55" s="15"/>
      <c r="D55" s="1"/>
      <c r="E55" s="1"/>
      <c r="F55" s="1"/>
      <c r="G55" s="67">
        <v>80000.0</v>
      </c>
      <c r="H55" s="2"/>
    </row>
    <row r="56" ht="15.75" customHeight="1">
      <c r="A56" s="1"/>
      <c r="B56" s="4" t="s">
        <v>3882</v>
      </c>
      <c r="C56" s="15"/>
      <c r="D56" s="1"/>
      <c r="E56" s="1"/>
      <c r="F56" s="1"/>
      <c r="G56" s="67">
        <v>275000.0</v>
      </c>
      <c r="H56" s="2"/>
    </row>
    <row r="57" ht="15.75" customHeight="1">
      <c r="A57" s="1"/>
      <c r="B57" s="4" t="s">
        <v>3883</v>
      </c>
      <c r="C57" s="15"/>
      <c r="D57" s="1"/>
      <c r="E57" s="1"/>
      <c r="F57" s="1"/>
      <c r="G57" s="67">
        <v>16722.0</v>
      </c>
      <c r="H57" s="2"/>
    </row>
    <row r="58" ht="15.75" customHeight="1">
      <c r="A58" s="1"/>
      <c r="B58" s="4" t="s">
        <v>3884</v>
      </c>
      <c r="C58" s="15"/>
      <c r="D58" s="1"/>
      <c r="E58" s="1"/>
      <c r="F58" s="1"/>
      <c r="G58" s="67">
        <v>6250.0</v>
      </c>
      <c r="H58" s="2"/>
    </row>
    <row r="59" ht="15.75" customHeight="1">
      <c r="A59" s="1"/>
      <c r="B59" s="4" t="s">
        <v>3754</v>
      </c>
      <c r="C59" s="15"/>
      <c r="D59" s="1"/>
      <c r="E59" s="1"/>
      <c r="F59" s="1"/>
      <c r="G59" s="67">
        <v>20000.0</v>
      </c>
      <c r="H59" s="2"/>
    </row>
    <row r="60" ht="15.75" customHeight="1">
      <c r="A60" s="1"/>
      <c r="B60" s="4" t="s">
        <v>3885</v>
      </c>
      <c r="C60" s="15"/>
      <c r="D60" s="1"/>
      <c r="E60" s="1"/>
      <c r="F60" s="1"/>
      <c r="G60" s="67">
        <v>5922.0</v>
      </c>
      <c r="H60" s="2"/>
    </row>
    <row r="61" ht="15.75" customHeight="1">
      <c r="A61" s="1"/>
      <c r="B61" s="93" t="s">
        <v>3886</v>
      </c>
      <c r="C61" s="93"/>
      <c r="D61" s="93"/>
      <c r="E61" s="93"/>
      <c r="F61" s="1"/>
      <c r="G61" s="67">
        <v>15000.0</v>
      </c>
      <c r="H61" s="13"/>
    </row>
    <row r="62" ht="15.75" customHeight="1">
      <c r="A62" s="1"/>
      <c r="B62" s="93" t="s">
        <v>3887</v>
      </c>
      <c r="C62" s="93"/>
      <c r="D62" s="93"/>
      <c r="E62" s="93"/>
      <c r="F62" s="1"/>
      <c r="G62" s="67">
        <v>10000.0</v>
      </c>
      <c r="H62" s="13"/>
    </row>
    <row r="63" ht="15.75" customHeight="1">
      <c r="A63" s="1"/>
      <c r="B63" s="93" t="s">
        <v>3888</v>
      </c>
      <c r="C63" s="93"/>
      <c r="D63" s="93"/>
      <c r="E63" s="93"/>
      <c r="F63" s="1"/>
      <c r="G63" s="67">
        <v>20500.0</v>
      </c>
      <c r="H63" s="13"/>
    </row>
    <row r="64" ht="15.75" customHeight="1">
      <c r="A64" s="1"/>
      <c r="B64" s="4" t="s">
        <v>3261</v>
      </c>
      <c r="C64" s="15"/>
      <c r="D64" s="1"/>
      <c r="E64" s="1"/>
      <c r="F64" s="1"/>
      <c r="G64" s="67">
        <v>3200.0</v>
      </c>
      <c r="H64" s="2"/>
    </row>
    <row r="65" ht="15.75" customHeight="1">
      <c r="A65" s="1"/>
      <c r="B65" s="4" t="s">
        <v>3889</v>
      </c>
      <c r="C65" s="15"/>
      <c r="D65" s="1"/>
      <c r="E65" s="1"/>
      <c r="F65" s="1"/>
      <c r="G65" s="67">
        <v>1000.0</v>
      </c>
      <c r="H65" s="2"/>
    </row>
    <row r="66" ht="15.75" customHeight="1">
      <c r="A66" s="1"/>
      <c r="B66" s="4" t="s">
        <v>3890</v>
      </c>
      <c r="C66" s="15"/>
      <c r="D66" s="1"/>
      <c r="E66" s="1"/>
      <c r="F66" s="1"/>
      <c r="G66" s="67">
        <v>117000.0</v>
      </c>
      <c r="H66" s="2"/>
    </row>
    <row r="67" ht="15.75" customHeight="1">
      <c r="A67" s="1"/>
      <c r="B67" s="4" t="s">
        <v>3891</v>
      </c>
      <c r="C67" s="15"/>
      <c r="D67" s="1"/>
      <c r="E67" s="1"/>
      <c r="F67" s="1"/>
      <c r="G67" s="67">
        <v>20000.0</v>
      </c>
      <c r="H67" s="2"/>
    </row>
    <row r="68" ht="15.75" customHeight="1">
      <c r="A68" s="1"/>
      <c r="B68" s="4" t="s">
        <v>3892</v>
      </c>
      <c r="G68" s="67">
        <v>50000.0</v>
      </c>
      <c r="H68" s="2"/>
    </row>
    <row r="69" ht="15.75" customHeight="1">
      <c r="A69" s="1"/>
      <c r="B69" s="4" t="s">
        <v>3893</v>
      </c>
      <c r="G69" s="67">
        <v>50000.0</v>
      </c>
      <c r="H69" s="2"/>
    </row>
    <row r="70" ht="15.75" customHeight="1">
      <c r="A70" s="1"/>
      <c r="B70" s="3" t="s">
        <v>43</v>
      </c>
      <c r="C70" s="43"/>
      <c r="D70" s="43"/>
      <c r="E70" s="43"/>
      <c r="F70" s="43"/>
      <c r="G70" s="118">
        <f>SUM(G22:G69)</f>
        <v>2898760</v>
      </c>
    </row>
    <row r="71" ht="15.75" customHeight="1">
      <c r="A71" s="1"/>
      <c r="B71" s="19" t="s">
        <v>45</v>
      </c>
      <c r="C71" s="20"/>
      <c r="D71" s="20"/>
      <c r="E71" s="20"/>
      <c r="F71" s="20"/>
      <c r="G71" s="102">
        <f>SUM(G20+G70)</f>
        <v>3938760</v>
      </c>
      <c r="H71" s="53"/>
    </row>
    <row r="72" ht="15.75" customHeight="1">
      <c r="A72" s="35" t="s">
        <v>3130</v>
      </c>
      <c r="B72" s="36" t="s">
        <v>3301</v>
      </c>
      <c r="C72" s="37"/>
      <c r="D72" s="82"/>
      <c r="E72" s="37"/>
      <c r="F72" s="37"/>
      <c r="G72" s="103">
        <f>SUM(G9-G71)</f>
        <v>5881540</v>
      </c>
      <c r="H72" s="53"/>
    </row>
    <row r="73" ht="15.75" customHeight="1">
      <c r="B73" s="119" t="s">
        <v>3894</v>
      </c>
      <c r="C73" s="120"/>
      <c r="D73" s="43"/>
      <c r="E73" s="43"/>
      <c r="F73" s="43"/>
      <c r="G73" s="121">
        <v>9686700.0</v>
      </c>
      <c r="H73" s="122"/>
    </row>
    <row r="74" ht="15.75" customHeight="1">
      <c r="A74" s="22"/>
      <c r="B74" s="72" t="s">
        <v>51</v>
      </c>
      <c r="C74" s="27"/>
      <c r="D74" s="27"/>
      <c r="E74" s="27"/>
      <c r="F74" s="27"/>
      <c r="G74" s="104">
        <v>9686700.0</v>
      </c>
      <c r="H74" s="53"/>
    </row>
    <row r="75" ht="15.75" customHeight="1">
      <c r="A75" s="22"/>
      <c r="B75" s="123" t="s">
        <v>3895</v>
      </c>
      <c r="C75" s="45"/>
      <c r="D75" s="45"/>
      <c r="E75" s="46"/>
      <c r="F75" s="46"/>
      <c r="G75" s="105">
        <f>G2+G72-G74</f>
        <v>25280198</v>
      </c>
      <c r="H75" s="53"/>
    </row>
    <row r="76" ht="15.75" customHeight="1">
      <c r="A76" s="22"/>
      <c r="B76" s="32" t="s">
        <v>3365</v>
      </c>
    </row>
    <row r="77" ht="15.75" customHeight="1">
      <c r="A77" s="22"/>
      <c r="B77" s="1"/>
      <c r="C77" s="1" t="s">
        <v>3137</v>
      </c>
      <c r="D77" s="1"/>
      <c r="E77" s="1"/>
      <c r="F77" s="1"/>
      <c r="H77" s="38">
        <v>5000.0</v>
      </c>
    </row>
    <row r="78" ht="15.75" customHeight="1">
      <c r="A78" s="22"/>
      <c r="B78" s="1"/>
      <c r="C78" s="1" t="s">
        <v>3218</v>
      </c>
      <c r="D78" s="1"/>
      <c r="E78" s="1"/>
      <c r="F78" s="1"/>
      <c r="H78" s="38">
        <v>1273800.0</v>
      </c>
    </row>
    <row r="79" ht="18.0" customHeight="1">
      <c r="A79" s="44"/>
      <c r="B79" s="1"/>
      <c r="C79" s="43" t="s">
        <v>115</v>
      </c>
      <c r="D79" s="1"/>
      <c r="E79" s="1"/>
      <c r="F79" s="1"/>
      <c r="H79" s="38">
        <f>SUM(H77:H78)</f>
        <v>1278800</v>
      </c>
    </row>
    <row r="80" ht="15.75" customHeight="1">
      <c r="A80" s="43" t="s">
        <v>3420</v>
      </c>
      <c r="B80" s="56"/>
      <c r="C80" s="56"/>
      <c r="D80" s="56"/>
      <c r="F80" s="93"/>
      <c r="G80" s="55"/>
    </row>
    <row r="81" ht="15.75" customHeight="1">
      <c r="A81" s="124" t="s">
        <v>3842</v>
      </c>
      <c r="B81" s="56"/>
      <c r="C81" s="56"/>
      <c r="D81" s="56"/>
      <c r="F81" s="93"/>
      <c r="G81" s="55"/>
    </row>
    <row r="82" ht="15.75" customHeight="1">
      <c r="A82" s="43" t="s">
        <v>3422</v>
      </c>
      <c r="B82" s="55"/>
      <c r="C82" s="55"/>
      <c r="D82" s="55"/>
      <c r="G82" s="55"/>
    </row>
    <row r="83" ht="15.75" customHeight="1">
      <c r="A83" s="43" t="s">
        <v>3309</v>
      </c>
      <c r="B83" s="107"/>
      <c r="C83" s="107"/>
      <c r="D83" s="55"/>
      <c r="G83" s="77"/>
    </row>
    <row r="84" ht="15.75" customHeight="1">
      <c r="A84" s="106" t="s">
        <v>3896</v>
      </c>
      <c r="B84" s="108"/>
      <c r="C84" s="109"/>
      <c r="D84" s="109"/>
      <c r="E84" s="109"/>
    </row>
    <row r="85" ht="15.75" customHeight="1">
      <c r="A85" s="107" t="s">
        <v>3054</v>
      </c>
      <c r="B85" s="109"/>
      <c r="C85" s="109"/>
      <c r="D85" s="109"/>
      <c r="E85" s="109"/>
      <c r="F85" s="108" t="s">
        <v>3227</v>
      </c>
      <c r="G85" s="109"/>
      <c r="H85" s="109"/>
    </row>
    <row r="86" ht="15.75" customHeight="1">
      <c r="A86" s="107" t="s">
        <v>3055</v>
      </c>
      <c r="B86" s="109"/>
      <c r="C86" s="109"/>
      <c r="D86" s="109"/>
      <c r="E86" s="109"/>
      <c r="F86" s="108" t="s">
        <v>3311</v>
      </c>
      <c r="G86" s="109"/>
      <c r="H86" s="109"/>
    </row>
    <row r="87" ht="15.75" customHeight="1">
      <c r="A87" s="107" t="s">
        <v>3224</v>
      </c>
      <c r="B87" s="109"/>
      <c r="C87" s="109"/>
      <c r="D87" s="109"/>
      <c r="E87" s="109"/>
      <c r="F87" s="108" t="s">
        <v>3618</v>
      </c>
      <c r="G87" s="109"/>
      <c r="H87" s="109"/>
    </row>
    <row r="88" ht="15.75" customHeight="1">
      <c r="A88" s="107" t="s">
        <v>3057</v>
      </c>
      <c r="B88" s="109"/>
      <c r="C88" s="109"/>
      <c r="D88" s="109"/>
      <c r="E88" s="109"/>
      <c r="F88" s="109" t="s">
        <v>3619</v>
      </c>
      <c r="G88" s="109"/>
      <c r="H88" s="109"/>
    </row>
    <row r="89" ht="15.75" customHeight="1">
      <c r="A89" s="108" t="s">
        <v>3313</v>
      </c>
    </row>
    <row r="90" ht="15.75" customHeight="1">
      <c r="A90" s="55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71:H71"/>
    <mergeCell ref="G72:H72"/>
    <mergeCell ref="G74:H74"/>
    <mergeCell ref="G75:H75"/>
    <mergeCell ref="B76:G76"/>
    <mergeCell ref="A2:F2"/>
    <mergeCell ref="G2:H2"/>
    <mergeCell ref="A8:B8"/>
    <mergeCell ref="B9:F9"/>
    <mergeCell ref="G9:H9"/>
    <mergeCell ref="G20:H20"/>
    <mergeCell ref="G70:H70"/>
  </mergeCells>
  <printOptions/>
  <pageMargins bottom="0.75" footer="0.0" header="0.0" left="0.7" right="0.7" top="0.75"/>
  <pageSetup paperSize="9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11.57"/>
    <col customWidth="1" min="9" max="26" width="10.71"/>
  </cols>
  <sheetData>
    <row r="1" ht="24.75" customHeight="1">
      <c r="A1" s="1" t="s">
        <v>721</v>
      </c>
      <c r="B1" s="3" t="s">
        <v>3897</v>
      </c>
      <c r="C1" s="3"/>
      <c r="D1" s="3"/>
      <c r="E1" s="3"/>
      <c r="F1" s="3"/>
      <c r="G1" s="3"/>
    </row>
    <row r="2" ht="18.75" customHeight="1">
      <c r="A2" s="75" t="s">
        <v>3898</v>
      </c>
      <c r="G2" s="87">
        <v>2.5280198E7</v>
      </c>
      <c r="H2" s="53"/>
    </row>
    <row r="3">
      <c r="A3" s="6" t="s">
        <v>3899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142500.0</v>
      </c>
      <c r="E4" s="2">
        <v>122000.0</v>
      </c>
      <c r="F4" s="2">
        <v>180000.0</v>
      </c>
      <c r="G4" s="7">
        <v>1708400.0</v>
      </c>
      <c r="H4" s="60">
        <v>165000.0</v>
      </c>
    </row>
    <row r="5">
      <c r="A5" s="1"/>
      <c r="B5" s="4" t="s">
        <v>64</v>
      </c>
      <c r="C5" s="1"/>
      <c r="D5" s="2">
        <v>273000.0</v>
      </c>
      <c r="E5" s="2">
        <v>148000.0</v>
      </c>
      <c r="F5" s="2">
        <v>227500.0</v>
      </c>
      <c r="G5" s="7">
        <v>1606350.0</v>
      </c>
      <c r="H5" s="2">
        <v>205000.0</v>
      </c>
    </row>
    <row r="6">
      <c r="A6" s="1"/>
      <c r="B6" s="4" t="s">
        <v>65</v>
      </c>
      <c r="C6" s="1"/>
      <c r="D6" s="2">
        <v>202000.0</v>
      </c>
      <c r="E6" s="2">
        <v>109000.0</v>
      </c>
      <c r="F6" s="2">
        <v>132500.0</v>
      </c>
      <c r="G6" s="7">
        <v>1305900.0</v>
      </c>
      <c r="H6" s="2">
        <v>87000.0</v>
      </c>
    </row>
    <row r="7">
      <c r="A7" s="1"/>
      <c r="B7" s="4" t="s">
        <v>3900</v>
      </c>
      <c r="C7" s="1"/>
      <c r="D7" s="2">
        <v>63500.0</v>
      </c>
      <c r="E7" s="2">
        <v>133000.0</v>
      </c>
      <c r="F7" s="2">
        <v>112500.0</v>
      </c>
      <c r="G7" s="76">
        <v>928100.0</v>
      </c>
      <c r="H7" s="2">
        <v>159000.0</v>
      </c>
      <c r="J7" s="2"/>
    </row>
    <row r="8">
      <c r="A8" s="1"/>
      <c r="B8" s="4" t="s">
        <v>3623</v>
      </c>
      <c r="C8" s="1"/>
      <c r="D8" s="2">
        <v>160500.0</v>
      </c>
      <c r="E8" s="2">
        <v>93000.0</v>
      </c>
      <c r="F8" s="2">
        <v>172500.0</v>
      </c>
      <c r="G8" s="76">
        <v>1192300.0</v>
      </c>
      <c r="H8" s="2">
        <v>51000.0</v>
      </c>
      <c r="J8" s="2"/>
    </row>
    <row r="9">
      <c r="A9" s="50" t="s">
        <v>405</v>
      </c>
      <c r="D9" s="60">
        <f t="shared" ref="D9:H9" si="1">SUM(D4:D8)</f>
        <v>841500</v>
      </c>
      <c r="E9" s="60">
        <f t="shared" si="1"/>
        <v>605000</v>
      </c>
      <c r="F9" s="60">
        <f t="shared" si="1"/>
        <v>825000</v>
      </c>
      <c r="G9" s="60">
        <f t="shared" si="1"/>
        <v>6741050</v>
      </c>
      <c r="H9" s="60">
        <f t="shared" si="1"/>
        <v>667000</v>
      </c>
    </row>
    <row r="10">
      <c r="A10" s="1"/>
      <c r="B10" s="51" t="s">
        <v>9</v>
      </c>
      <c r="C10" s="52"/>
      <c r="D10" s="52"/>
      <c r="E10" s="52"/>
      <c r="F10" s="53"/>
      <c r="G10" s="100">
        <f>SUM(D9:H9)</f>
        <v>9679550</v>
      </c>
      <c r="H10" s="53"/>
    </row>
    <row r="11">
      <c r="A11" s="6" t="s">
        <v>3901</v>
      </c>
      <c r="B11" s="1"/>
      <c r="C11" s="1"/>
      <c r="D11" s="1"/>
      <c r="E11" s="1"/>
      <c r="F11" s="1"/>
      <c r="G11" s="2" t="s">
        <v>480</v>
      </c>
    </row>
    <row r="12">
      <c r="A12" s="1"/>
      <c r="B12" s="12" t="s">
        <v>3373</v>
      </c>
      <c r="C12" s="1"/>
      <c r="D12" s="1"/>
      <c r="E12" s="1"/>
      <c r="F12" s="1"/>
      <c r="G12" s="2"/>
    </row>
    <row r="13">
      <c r="A13" s="1"/>
      <c r="B13" s="4" t="s">
        <v>3494</v>
      </c>
      <c r="C13" s="1"/>
      <c r="D13" s="1"/>
      <c r="E13" s="1"/>
      <c r="F13" s="1"/>
      <c r="H13" s="77">
        <v>80000.0</v>
      </c>
    </row>
    <row r="14">
      <c r="A14" s="1"/>
      <c r="B14" s="4" t="s">
        <v>3234</v>
      </c>
      <c r="C14" s="1"/>
      <c r="D14" s="1"/>
      <c r="E14" s="1"/>
      <c r="F14" s="1"/>
      <c r="H14" s="77">
        <v>250000.0</v>
      </c>
      <c r="M14" s="67" t="s">
        <v>2139</v>
      </c>
    </row>
    <row r="15">
      <c r="A15" s="1"/>
      <c r="B15" s="4" t="s">
        <v>3318</v>
      </c>
      <c r="C15" s="1"/>
      <c r="D15" s="1"/>
      <c r="E15" s="1"/>
      <c r="F15" s="1"/>
      <c r="H15" s="77">
        <v>100000.0</v>
      </c>
      <c r="L15" s="67" t="s">
        <v>3543</v>
      </c>
    </row>
    <row r="16">
      <c r="A16" s="1"/>
      <c r="B16" s="4" t="s">
        <v>3150</v>
      </c>
      <c r="C16" s="1"/>
      <c r="D16" s="1"/>
      <c r="E16" s="1"/>
      <c r="F16" s="1"/>
      <c r="H16" s="77">
        <v>80000.0</v>
      </c>
      <c r="L16" s="67" t="s">
        <v>1585</v>
      </c>
    </row>
    <row r="17">
      <c r="A17" s="1"/>
      <c r="B17" s="4" t="s">
        <v>3236</v>
      </c>
      <c r="C17" s="1"/>
      <c r="D17" s="1"/>
      <c r="E17" s="1"/>
      <c r="F17" s="1"/>
      <c r="H17" s="77">
        <v>100000.0</v>
      </c>
    </row>
    <row r="18">
      <c r="A18" s="1"/>
      <c r="B18" s="4" t="s">
        <v>3237</v>
      </c>
      <c r="C18" s="1"/>
      <c r="D18" s="1"/>
      <c r="E18" s="1"/>
      <c r="F18" s="1"/>
      <c r="H18" s="77">
        <v>150000.0</v>
      </c>
    </row>
    <row r="19">
      <c r="A19" s="1"/>
      <c r="B19" s="4" t="s">
        <v>3238</v>
      </c>
      <c r="C19" s="1"/>
      <c r="D19" s="1"/>
      <c r="E19" s="1"/>
      <c r="F19" s="1"/>
      <c r="H19" s="77">
        <v>150000.0</v>
      </c>
    </row>
    <row r="20">
      <c r="A20" s="1"/>
      <c r="B20" s="4" t="s">
        <v>3431</v>
      </c>
      <c r="C20" s="1"/>
      <c r="D20" s="1"/>
      <c r="E20" s="1"/>
      <c r="F20" s="1"/>
      <c r="H20" s="77">
        <v>30000.0</v>
      </c>
    </row>
    <row r="21" ht="15.75" customHeight="1">
      <c r="A21" s="1"/>
      <c r="B21" s="9" t="s">
        <v>3432</v>
      </c>
      <c r="C21" s="10"/>
      <c r="D21" s="10"/>
      <c r="E21" s="10"/>
      <c r="F21" s="10"/>
      <c r="G21" s="101">
        <f>SUM(H13:H20)</f>
        <v>940000</v>
      </c>
      <c r="H21" s="53"/>
    </row>
    <row r="22" ht="15.75" customHeight="1">
      <c r="A22" s="1"/>
      <c r="B22" s="12" t="s">
        <v>19</v>
      </c>
      <c r="C22" s="15"/>
      <c r="D22" s="1"/>
      <c r="E22" s="1"/>
      <c r="F22" s="1"/>
    </row>
    <row r="23" ht="15.75" customHeight="1">
      <c r="A23" s="1"/>
      <c r="B23" s="97" t="s">
        <v>3902</v>
      </c>
      <c r="C23" s="15"/>
      <c r="D23" s="1"/>
      <c r="E23" s="1"/>
      <c r="F23" s="1"/>
      <c r="G23" s="67">
        <v>60000.0</v>
      </c>
      <c r="H23" s="2"/>
    </row>
    <row r="24" ht="15.75" customHeight="1">
      <c r="A24" s="1"/>
      <c r="B24" s="97" t="s">
        <v>3903</v>
      </c>
      <c r="C24" s="15"/>
      <c r="D24" s="1"/>
      <c r="E24" s="1"/>
      <c r="F24" s="1"/>
      <c r="G24" s="67">
        <v>30000.0</v>
      </c>
      <c r="H24" s="2"/>
    </row>
    <row r="25" ht="15.75" customHeight="1">
      <c r="A25" s="1"/>
      <c r="B25" s="4" t="s">
        <v>3904</v>
      </c>
      <c r="C25" s="15"/>
      <c r="D25" s="1"/>
      <c r="E25" s="1"/>
      <c r="F25" s="1"/>
      <c r="G25" s="67">
        <v>65250.0</v>
      </c>
      <c r="H25" s="2"/>
    </row>
    <row r="26" ht="15.75" customHeight="1">
      <c r="A26" s="1"/>
      <c r="B26" s="4" t="s">
        <v>3905</v>
      </c>
      <c r="C26" s="15"/>
      <c r="D26" s="1"/>
      <c r="E26" s="1"/>
      <c r="F26" s="1"/>
      <c r="G26" s="67">
        <v>3000.0</v>
      </c>
      <c r="H26" s="2"/>
    </row>
    <row r="27" ht="15.75" customHeight="1">
      <c r="A27" s="1"/>
      <c r="B27" s="4" t="s">
        <v>3906</v>
      </c>
      <c r="C27" s="15"/>
      <c r="D27" s="1"/>
      <c r="E27" s="1"/>
      <c r="F27" s="1"/>
      <c r="G27" s="67">
        <v>55550.0</v>
      </c>
      <c r="H27" s="2"/>
    </row>
    <row r="28" ht="15.75" customHeight="1">
      <c r="A28" s="1"/>
      <c r="B28" s="4" t="s">
        <v>3907</v>
      </c>
      <c r="C28" s="15"/>
      <c r="D28" s="1"/>
      <c r="E28" s="1"/>
      <c r="F28" s="1"/>
      <c r="G28" s="67">
        <v>20990.0</v>
      </c>
      <c r="H28" s="2"/>
    </row>
    <row r="29" ht="15.75" customHeight="1">
      <c r="A29" s="1"/>
      <c r="B29" s="4" t="s">
        <v>3908</v>
      </c>
      <c r="C29" s="15"/>
      <c r="D29" s="1"/>
      <c r="E29" s="1"/>
      <c r="F29" s="1"/>
      <c r="G29" s="67">
        <v>3750.0</v>
      </c>
      <c r="H29" s="2"/>
    </row>
    <row r="30" ht="15.75" customHeight="1">
      <c r="A30" s="1"/>
      <c r="B30" s="4" t="s">
        <v>3909</v>
      </c>
      <c r="C30" s="15"/>
      <c r="D30" s="1"/>
      <c r="E30" s="1"/>
      <c r="F30" s="1"/>
      <c r="G30" s="67">
        <v>250000.0</v>
      </c>
      <c r="H30" s="2"/>
    </row>
    <row r="31" ht="15.75" customHeight="1">
      <c r="A31" s="1"/>
      <c r="B31" s="4" t="s">
        <v>3910</v>
      </c>
      <c r="C31" s="15"/>
      <c r="D31" s="1"/>
      <c r="E31" s="1"/>
      <c r="F31" s="1"/>
      <c r="G31" s="67">
        <v>2000.0</v>
      </c>
      <c r="H31" s="2"/>
    </row>
    <row r="32" ht="15.75" customHeight="1">
      <c r="A32" s="1"/>
      <c r="B32" s="4" t="s">
        <v>3911</v>
      </c>
      <c r="C32" s="15"/>
      <c r="D32" s="1"/>
      <c r="E32" s="1"/>
      <c r="F32" s="1"/>
      <c r="G32" s="67">
        <v>1500.0</v>
      </c>
      <c r="H32" s="2"/>
    </row>
    <row r="33" ht="15.75" customHeight="1">
      <c r="A33" s="1"/>
      <c r="B33" s="4" t="s">
        <v>3912</v>
      </c>
      <c r="C33" s="15"/>
      <c r="D33" s="1"/>
      <c r="E33" s="1"/>
      <c r="F33" s="1"/>
      <c r="G33" s="67">
        <v>1500.0</v>
      </c>
      <c r="H33" s="2"/>
    </row>
    <row r="34" ht="15.75" customHeight="1">
      <c r="A34" s="1"/>
      <c r="B34" s="4" t="s">
        <v>3913</v>
      </c>
      <c r="C34" s="15"/>
      <c r="D34" s="1"/>
      <c r="E34" s="1"/>
      <c r="F34" s="1"/>
      <c r="G34" s="67">
        <v>16000.0</v>
      </c>
      <c r="H34" s="2"/>
    </row>
    <row r="35" ht="15.75" customHeight="1">
      <c r="A35" s="1"/>
      <c r="B35" s="4" t="s">
        <v>3380</v>
      </c>
      <c r="C35" s="15"/>
      <c r="D35" s="1"/>
      <c r="E35" s="1"/>
      <c r="F35" s="1"/>
      <c r="G35" s="67">
        <v>7500.0</v>
      </c>
      <c r="H35" s="2"/>
    </row>
    <row r="36" ht="15.75" customHeight="1">
      <c r="A36" s="1"/>
      <c r="B36" s="4" t="s">
        <v>3914</v>
      </c>
      <c r="C36" s="15"/>
      <c r="D36" s="1"/>
      <c r="E36" s="1"/>
      <c r="F36" s="1"/>
      <c r="G36" s="67">
        <v>45000.0</v>
      </c>
      <c r="H36" s="2"/>
    </row>
    <row r="37" ht="15.75" customHeight="1">
      <c r="A37" s="1"/>
      <c r="B37" s="4" t="s">
        <v>3915</v>
      </c>
      <c r="C37" s="15"/>
      <c r="D37" s="1"/>
      <c r="E37" s="1"/>
      <c r="F37" s="1"/>
      <c r="G37" s="67">
        <v>100000.0</v>
      </c>
      <c r="H37" s="2"/>
    </row>
    <row r="38" ht="15.75" customHeight="1">
      <c r="A38" s="1"/>
      <c r="B38" s="4" t="s">
        <v>3916</v>
      </c>
      <c r="C38" s="15"/>
      <c r="D38" s="1"/>
      <c r="E38" s="1"/>
      <c r="F38" s="1"/>
      <c r="G38" s="67">
        <v>61590.0</v>
      </c>
      <c r="H38" s="2"/>
    </row>
    <row r="39" ht="15.75" customHeight="1">
      <c r="A39" s="1"/>
      <c r="B39" s="4" t="s">
        <v>3917</v>
      </c>
      <c r="C39" s="15"/>
      <c r="D39" s="1"/>
      <c r="E39" s="1"/>
      <c r="F39" s="1"/>
      <c r="G39" s="67">
        <v>1058500.0</v>
      </c>
      <c r="H39" s="2"/>
    </row>
    <row r="40" ht="15.75" customHeight="1">
      <c r="A40" s="1"/>
      <c r="B40" s="4" t="s">
        <v>3918</v>
      </c>
      <c r="C40" s="15"/>
      <c r="D40" s="1"/>
      <c r="E40" s="1"/>
      <c r="F40" s="1"/>
      <c r="G40" s="67">
        <v>18000.0</v>
      </c>
      <c r="H40" s="2"/>
    </row>
    <row r="41" ht="15.75" customHeight="1">
      <c r="A41" s="1"/>
      <c r="B41" s="4" t="s">
        <v>3919</v>
      </c>
      <c r="C41" s="15"/>
      <c r="D41" s="1"/>
      <c r="E41" s="1"/>
      <c r="F41" s="1"/>
      <c r="G41" s="67">
        <v>1500.0</v>
      </c>
      <c r="H41" s="2"/>
    </row>
    <row r="42" ht="15.75" customHeight="1">
      <c r="A42" s="1"/>
      <c r="B42" s="4" t="s">
        <v>3920</v>
      </c>
      <c r="C42" s="15"/>
      <c r="D42" s="1"/>
      <c r="E42" s="1"/>
      <c r="F42" s="1"/>
      <c r="G42" s="67">
        <v>5000.0</v>
      </c>
      <c r="H42" s="2"/>
    </row>
    <row r="43" ht="15.75" customHeight="1">
      <c r="A43" s="1"/>
      <c r="B43" s="4" t="s">
        <v>3921</v>
      </c>
      <c r="C43" s="15"/>
      <c r="D43" s="1"/>
      <c r="E43" s="1"/>
      <c r="F43" s="1"/>
      <c r="G43" s="67">
        <v>3500.0</v>
      </c>
      <c r="H43" s="2"/>
    </row>
    <row r="44" ht="15.75" customHeight="1">
      <c r="A44" s="1"/>
      <c r="B44" s="4" t="s">
        <v>3922</v>
      </c>
      <c r="C44" s="15"/>
      <c r="D44" s="1"/>
      <c r="E44" s="1"/>
      <c r="F44" s="1"/>
      <c r="G44" s="67">
        <v>187500.0</v>
      </c>
      <c r="H44" s="2"/>
    </row>
    <row r="45" ht="15.75" customHeight="1">
      <c r="A45" s="1"/>
      <c r="B45" s="4" t="s">
        <v>3923</v>
      </c>
      <c r="C45" s="15"/>
      <c r="D45" s="1"/>
      <c r="E45" s="1"/>
      <c r="F45" s="1"/>
      <c r="G45" s="67">
        <v>27000.0</v>
      </c>
      <c r="H45" s="2"/>
    </row>
    <row r="46" ht="15.75" customHeight="1">
      <c r="A46" s="1"/>
      <c r="B46" s="4" t="s">
        <v>3924</v>
      </c>
      <c r="C46" s="15"/>
      <c r="D46" s="1"/>
      <c r="E46" s="1"/>
      <c r="F46" s="1"/>
      <c r="G46" s="67">
        <v>10000.0</v>
      </c>
      <c r="H46" s="2"/>
    </row>
    <row r="47" ht="15.75" customHeight="1">
      <c r="A47" s="1"/>
      <c r="B47" s="4" t="s">
        <v>3925</v>
      </c>
      <c r="C47" s="15"/>
      <c r="D47" s="1"/>
      <c r="E47" s="1"/>
      <c r="F47" s="1"/>
      <c r="G47" s="67">
        <v>3000.0</v>
      </c>
      <c r="H47" s="2"/>
    </row>
    <row r="48" ht="15.75" customHeight="1">
      <c r="A48" s="1"/>
      <c r="B48" s="4" t="s">
        <v>3926</v>
      </c>
      <c r="C48" s="15"/>
      <c r="D48" s="1"/>
      <c r="E48" s="1"/>
      <c r="F48" s="1"/>
      <c r="G48" s="67">
        <v>204000.0</v>
      </c>
      <c r="H48" s="2"/>
    </row>
    <row r="49" ht="15.75" customHeight="1">
      <c r="A49" s="1"/>
      <c r="B49" s="4" t="s">
        <v>3927</v>
      </c>
      <c r="C49" s="15"/>
      <c r="D49" s="1"/>
      <c r="E49" s="1"/>
      <c r="F49" s="1"/>
      <c r="G49" s="67">
        <v>10000.0</v>
      </c>
      <c r="H49" s="2"/>
    </row>
    <row r="50" ht="17.25" customHeight="1">
      <c r="A50" s="1"/>
      <c r="B50" s="4" t="s">
        <v>3928</v>
      </c>
      <c r="C50" s="15"/>
      <c r="D50" s="1"/>
      <c r="E50" s="1"/>
      <c r="F50" s="1"/>
      <c r="G50" s="67">
        <v>2200.0</v>
      </c>
      <c r="H50" s="2"/>
    </row>
    <row r="51" ht="15.75" customHeight="1">
      <c r="A51" s="1"/>
      <c r="B51" s="4" t="s">
        <v>3929</v>
      </c>
      <c r="C51" s="15"/>
      <c r="D51" s="1"/>
      <c r="E51" s="1"/>
      <c r="F51" s="1"/>
      <c r="G51" s="67">
        <v>2000.0</v>
      </c>
      <c r="H51" s="2"/>
    </row>
    <row r="52" ht="15.75" customHeight="1">
      <c r="A52" s="1"/>
      <c r="B52" s="4" t="s">
        <v>3930</v>
      </c>
      <c r="G52" s="67">
        <v>3000.0</v>
      </c>
      <c r="H52" s="2"/>
    </row>
    <row r="53" ht="15.75" customHeight="1">
      <c r="A53" s="1"/>
      <c r="B53" s="4" t="s">
        <v>3931</v>
      </c>
      <c r="G53" s="67">
        <v>146000.0</v>
      </c>
      <c r="H53" s="2"/>
    </row>
    <row r="54" ht="15.75" customHeight="1">
      <c r="A54" s="1"/>
      <c r="B54" s="4" t="s">
        <v>3932</v>
      </c>
      <c r="G54" s="67">
        <v>30000.0</v>
      </c>
      <c r="H54" s="2"/>
    </row>
    <row r="55" ht="15.75" customHeight="1">
      <c r="A55" s="1"/>
      <c r="B55" s="4" t="s">
        <v>3933</v>
      </c>
      <c r="G55" s="67">
        <v>119500.0</v>
      </c>
      <c r="H55" s="2"/>
    </row>
    <row r="56" ht="15.75" customHeight="1">
      <c r="A56" s="1"/>
      <c r="B56" s="4" t="s">
        <v>3934</v>
      </c>
      <c r="G56" s="67">
        <v>13000.0</v>
      </c>
      <c r="H56" s="2"/>
    </row>
    <row r="57" ht="15.75" customHeight="1">
      <c r="A57" s="1"/>
      <c r="B57" s="4" t="s">
        <v>3935</v>
      </c>
      <c r="G57" s="67">
        <v>20000.0</v>
      </c>
      <c r="H57" s="2"/>
    </row>
    <row r="58" ht="15.75" customHeight="1">
      <c r="A58" s="1"/>
      <c r="B58" s="4" t="s">
        <v>3936</v>
      </c>
      <c r="G58" s="67">
        <v>146200.0</v>
      </c>
      <c r="H58" s="2"/>
    </row>
    <row r="59" ht="15.75" customHeight="1">
      <c r="A59" s="1"/>
      <c r="B59" s="4" t="s">
        <v>3937</v>
      </c>
      <c r="G59" s="67">
        <v>1000.0</v>
      </c>
      <c r="H59" s="2"/>
    </row>
    <row r="60" ht="15.75" customHeight="1">
      <c r="A60" s="1"/>
      <c r="B60" s="4" t="s">
        <v>3938</v>
      </c>
      <c r="G60" s="67">
        <v>167000.0</v>
      </c>
      <c r="H60" s="2"/>
    </row>
    <row r="61" ht="15.75" customHeight="1">
      <c r="A61" s="1"/>
      <c r="B61" s="4" t="s">
        <v>3939</v>
      </c>
      <c r="G61" s="67">
        <v>46500.0</v>
      </c>
      <c r="H61" s="2"/>
    </row>
    <row r="62" ht="15.75" customHeight="1">
      <c r="A62" s="1"/>
      <c r="B62" s="4" t="s">
        <v>3940</v>
      </c>
      <c r="G62" s="67">
        <v>362500.0</v>
      </c>
      <c r="H62" s="2"/>
    </row>
    <row r="63" ht="15.75" customHeight="1">
      <c r="A63" s="1"/>
      <c r="B63" s="4" t="s">
        <v>3941</v>
      </c>
      <c r="C63" s="15"/>
      <c r="D63" s="1"/>
      <c r="E63" s="1"/>
      <c r="F63" s="1"/>
      <c r="G63" s="67">
        <v>3200.0</v>
      </c>
      <c r="H63" s="2"/>
    </row>
    <row r="64" ht="15.75" customHeight="1">
      <c r="A64" s="1"/>
      <c r="B64" s="4" t="s">
        <v>3942</v>
      </c>
      <c r="C64" s="15"/>
      <c r="D64" s="1"/>
      <c r="E64" s="1"/>
      <c r="F64" s="1"/>
      <c r="G64" s="67">
        <v>150000.0</v>
      </c>
      <c r="H64" s="2"/>
    </row>
    <row r="65" ht="15.75" customHeight="1">
      <c r="A65" s="1"/>
      <c r="B65" s="4" t="s">
        <v>3943</v>
      </c>
      <c r="C65" s="15"/>
      <c r="D65" s="1"/>
      <c r="E65" s="1"/>
      <c r="F65" s="1"/>
      <c r="G65" s="67">
        <v>362500.0</v>
      </c>
      <c r="H65" s="2"/>
    </row>
    <row r="66" ht="15.75" customHeight="1">
      <c r="A66" s="1"/>
      <c r="B66" s="4" t="s">
        <v>3944</v>
      </c>
      <c r="C66" s="15"/>
      <c r="D66" s="1"/>
      <c r="E66" s="1"/>
      <c r="F66" s="1"/>
      <c r="G66" s="67">
        <v>14000.0</v>
      </c>
      <c r="H66" s="2"/>
    </row>
    <row r="67" ht="15.75" customHeight="1">
      <c r="A67" s="1"/>
      <c r="B67" s="4" t="s">
        <v>3945</v>
      </c>
      <c r="C67" s="15"/>
      <c r="D67" s="1"/>
      <c r="E67" s="1"/>
      <c r="F67" s="1"/>
      <c r="G67" s="67">
        <v>2000.0</v>
      </c>
      <c r="H67" s="2"/>
    </row>
    <row r="68" ht="15.75" customHeight="1">
      <c r="A68" s="1"/>
      <c r="B68" s="4" t="s">
        <v>3946</v>
      </c>
      <c r="C68" s="15"/>
      <c r="D68" s="1"/>
      <c r="E68" s="1"/>
      <c r="F68" s="1"/>
      <c r="G68" s="67">
        <v>55298.0</v>
      </c>
      <c r="H68" s="2"/>
    </row>
    <row r="69" ht="15.75" customHeight="1">
      <c r="A69" s="1"/>
      <c r="B69" s="4" t="s">
        <v>3947</v>
      </c>
      <c r="C69" s="15"/>
      <c r="D69" s="1"/>
      <c r="E69" s="1"/>
      <c r="F69" s="1"/>
      <c r="G69" s="67">
        <v>115000.0</v>
      </c>
      <c r="H69" s="2"/>
    </row>
    <row r="70" ht="15.75" customHeight="1">
      <c r="A70" s="1"/>
      <c r="B70" s="4" t="s">
        <v>3948</v>
      </c>
      <c r="C70" s="15"/>
      <c r="D70" s="1"/>
      <c r="E70" s="1"/>
      <c r="F70" s="1"/>
      <c r="G70" s="67">
        <v>67950.0</v>
      </c>
      <c r="H70" s="2"/>
    </row>
    <row r="71" ht="15.75" customHeight="1">
      <c r="A71" s="1"/>
      <c r="B71" s="4" t="s">
        <v>3949</v>
      </c>
      <c r="C71" s="15"/>
      <c r="D71" s="1"/>
      <c r="E71" s="1"/>
      <c r="F71" s="1"/>
      <c r="G71" s="67">
        <v>7500.0</v>
      </c>
      <c r="H71" s="2"/>
    </row>
    <row r="72" ht="15.75" customHeight="1">
      <c r="A72" s="1"/>
      <c r="B72" s="4" t="s">
        <v>3950</v>
      </c>
      <c r="C72" s="15"/>
      <c r="D72" s="1"/>
      <c r="E72" s="1"/>
      <c r="F72" s="1"/>
      <c r="G72" s="67">
        <v>15000.0</v>
      </c>
      <c r="H72" s="2"/>
    </row>
    <row r="73" ht="15.75" customHeight="1">
      <c r="A73" s="1"/>
      <c r="B73" s="4" t="s">
        <v>3951</v>
      </c>
      <c r="C73" s="15"/>
      <c r="D73" s="1"/>
      <c r="E73" s="1"/>
      <c r="F73" s="1"/>
      <c r="G73" s="67">
        <v>25000.0</v>
      </c>
      <c r="H73" s="2"/>
    </row>
    <row r="74" ht="15.75" customHeight="1">
      <c r="A74" s="1"/>
      <c r="B74" s="93" t="s">
        <v>3952</v>
      </c>
      <c r="C74" s="93"/>
      <c r="D74" s="93"/>
      <c r="E74" s="93"/>
      <c r="F74" s="1"/>
      <c r="G74" s="67">
        <v>18000.0</v>
      </c>
      <c r="H74" s="13"/>
    </row>
    <row r="75" ht="15.75" customHeight="1">
      <c r="A75" s="1"/>
      <c r="B75" s="93" t="s">
        <v>3953</v>
      </c>
      <c r="C75" s="93"/>
      <c r="D75" s="93"/>
      <c r="E75" s="93"/>
      <c r="F75" s="1"/>
      <c r="G75" s="67">
        <v>5650.0</v>
      </c>
      <c r="H75" s="13"/>
    </row>
    <row r="76" ht="15.75" customHeight="1">
      <c r="A76" s="1"/>
      <c r="B76" s="4" t="s">
        <v>3954</v>
      </c>
      <c r="C76" s="15"/>
      <c r="D76" s="1"/>
      <c r="E76" s="1"/>
      <c r="F76" s="1"/>
      <c r="G76" s="67">
        <v>50000.0</v>
      </c>
      <c r="H76" s="2"/>
    </row>
    <row r="77" ht="15.75" customHeight="1">
      <c r="A77" s="1"/>
      <c r="B77" s="4" t="s">
        <v>3955</v>
      </c>
      <c r="C77" s="15"/>
      <c r="D77" s="1"/>
      <c r="E77" s="1"/>
      <c r="F77" s="1"/>
      <c r="G77" s="67">
        <v>50000.0</v>
      </c>
      <c r="H77" s="2"/>
    </row>
    <row r="78" ht="15.75" customHeight="1">
      <c r="A78" s="1"/>
      <c r="B78" s="3" t="s">
        <v>43</v>
      </c>
      <c r="C78" s="1"/>
      <c r="D78" s="1"/>
      <c r="E78" s="1"/>
      <c r="F78" s="1"/>
      <c r="G78" s="54">
        <f>SUM(G23:G77)</f>
        <v>4251628</v>
      </c>
    </row>
    <row r="79" ht="15.75" customHeight="1">
      <c r="A79" s="1"/>
      <c r="B79" s="19" t="s">
        <v>45</v>
      </c>
      <c r="C79" s="20"/>
      <c r="D79" s="20"/>
      <c r="E79" s="20"/>
      <c r="F79" s="20"/>
      <c r="G79" s="102">
        <f>G21+G78</f>
        <v>5191628</v>
      </c>
      <c r="H79" s="53"/>
    </row>
    <row r="80" ht="15.75" customHeight="1">
      <c r="A80" s="35" t="s">
        <v>3130</v>
      </c>
      <c r="B80" s="36" t="s">
        <v>3301</v>
      </c>
      <c r="C80" s="37"/>
      <c r="D80" s="82"/>
      <c r="E80" s="37"/>
      <c r="F80" s="37"/>
      <c r="G80" s="103">
        <f>SUM(G10-G79)</f>
        <v>4487922</v>
      </c>
      <c r="H80" s="53"/>
    </row>
    <row r="81" ht="15.75" customHeight="1">
      <c r="A81" s="22" t="s">
        <v>254</v>
      </c>
      <c r="B81" s="43" t="s">
        <v>255</v>
      </c>
      <c r="C81" s="1"/>
      <c r="D81" s="1"/>
      <c r="E81" s="1"/>
      <c r="F81" s="1"/>
      <c r="H81" s="2"/>
    </row>
    <row r="82" ht="15.75" customHeight="1">
      <c r="B82" s="43"/>
      <c r="C82" s="1"/>
      <c r="D82" s="1"/>
      <c r="E82" s="1"/>
      <c r="F82" s="1"/>
      <c r="H82" s="2"/>
    </row>
    <row r="83" ht="15.75" customHeight="1">
      <c r="A83" s="22"/>
      <c r="B83" s="72" t="s">
        <v>51</v>
      </c>
      <c r="C83" s="27"/>
      <c r="D83" s="27"/>
      <c r="E83" s="27"/>
      <c r="F83" s="27"/>
      <c r="G83" s="104">
        <f>SUM(H82)</f>
        <v>0</v>
      </c>
      <c r="H83" s="53"/>
    </row>
    <row r="84" ht="15.75" customHeight="1">
      <c r="A84" s="22"/>
      <c r="B84" s="123" t="s">
        <v>3956</v>
      </c>
      <c r="C84" s="45"/>
      <c r="D84" s="45"/>
      <c r="E84" s="46"/>
      <c r="F84" s="46"/>
      <c r="G84" s="105">
        <f>G2+G80-G83</f>
        <v>29768120</v>
      </c>
      <c r="H84" s="53"/>
    </row>
    <row r="85" ht="15.75" customHeight="1">
      <c r="A85" s="22"/>
      <c r="B85" s="32" t="s">
        <v>3365</v>
      </c>
    </row>
    <row r="86" ht="15.75" customHeight="1">
      <c r="A86" s="22"/>
      <c r="B86" s="1"/>
      <c r="C86" s="1" t="s">
        <v>3137</v>
      </c>
      <c r="D86" s="1"/>
      <c r="E86" s="1"/>
      <c r="F86" s="1"/>
      <c r="H86" s="38">
        <v>8900.0</v>
      </c>
    </row>
    <row r="87" ht="15.75" customHeight="1">
      <c r="A87" s="22"/>
      <c r="B87" s="1"/>
      <c r="C87" s="1" t="s">
        <v>3218</v>
      </c>
      <c r="D87" s="1"/>
      <c r="E87" s="1"/>
      <c r="F87" s="1"/>
      <c r="H87" s="38">
        <v>1296350.0</v>
      </c>
    </row>
    <row r="88" ht="18.0" customHeight="1">
      <c r="A88" s="44"/>
      <c r="B88" s="1"/>
      <c r="C88" s="43" t="s">
        <v>115</v>
      </c>
      <c r="D88" s="1"/>
      <c r="E88" s="1"/>
      <c r="F88" s="1"/>
      <c r="H88" s="38">
        <f>SUM(H86:H87)</f>
        <v>1305250</v>
      </c>
    </row>
    <row r="89" ht="15.75" customHeight="1">
      <c r="A89" s="43" t="s">
        <v>3420</v>
      </c>
      <c r="B89" s="56"/>
      <c r="C89" s="56"/>
      <c r="D89" s="56"/>
      <c r="F89" s="93"/>
      <c r="G89" s="55"/>
    </row>
    <row r="90" ht="15.75" customHeight="1">
      <c r="A90" s="124" t="s">
        <v>3957</v>
      </c>
      <c r="B90" s="56"/>
      <c r="C90" s="56"/>
      <c r="D90" s="56"/>
      <c r="F90" s="93"/>
      <c r="G90" s="55"/>
    </row>
    <row r="91" ht="15.75" customHeight="1">
      <c r="A91" s="43" t="s">
        <v>3958</v>
      </c>
      <c r="B91" s="55"/>
      <c r="C91" s="55"/>
      <c r="D91" s="55"/>
      <c r="G91" s="55"/>
    </row>
    <row r="92" ht="15.75" customHeight="1">
      <c r="A92" s="43" t="s">
        <v>3309</v>
      </c>
      <c r="B92" s="107"/>
      <c r="C92" s="107"/>
      <c r="D92" s="55"/>
      <c r="G92" s="77"/>
    </row>
    <row r="93" ht="15.75" customHeight="1">
      <c r="A93" s="106" t="s">
        <v>3959</v>
      </c>
      <c r="B93" s="108"/>
      <c r="C93" s="109"/>
      <c r="D93" s="109"/>
      <c r="E93" s="109"/>
    </row>
    <row r="94" ht="15.75" customHeight="1">
      <c r="A94" s="107" t="s">
        <v>3054</v>
      </c>
      <c r="B94" s="109"/>
      <c r="C94" s="109"/>
      <c r="D94" s="109"/>
      <c r="E94" s="109"/>
      <c r="F94" s="108" t="s">
        <v>3227</v>
      </c>
      <c r="G94" s="109"/>
      <c r="H94" s="109"/>
    </row>
    <row r="95" ht="15.75" customHeight="1">
      <c r="A95" s="107" t="s">
        <v>3055</v>
      </c>
      <c r="B95" s="109"/>
      <c r="C95" s="109"/>
      <c r="D95" s="109"/>
      <c r="E95" s="109"/>
      <c r="F95" s="108" t="s">
        <v>3311</v>
      </c>
      <c r="G95" s="109"/>
      <c r="H95" s="109"/>
    </row>
    <row r="96" ht="15.75" customHeight="1">
      <c r="A96" s="107" t="s">
        <v>3224</v>
      </c>
      <c r="B96" s="109"/>
      <c r="C96" s="109"/>
      <c r="D96" s="109"/>
      <c r="E96" s="109"/>
      <c r="F96" s="125" t="s">
        <v>3312</v>
      </c>
      <c r="G96" s="109"/>
      <c r="H96" s="109"/>
    </row>
    <row r="97" ht="15.75" customHeight="1">
      <c r="A97" s="107" t="s">
        <v>3057</v>
      </c>
      <c r="B97" s="109"/>
      <c r="C97" s="109"/>
      <c r="D97" s="109"/>
      <c r="E97" s="109"/>
      <c r="F97" s="126" t="s">
        <v>3228</v>
      </c>
      <c r="G97" s="109"/>
      <c r="H97" s="109"/>
    </row>
    <row r="98" ht="15.75" customHeight="1">
      <c r="A98" s="108" t="s">
        <v>3313</v>
      </c>
    </row>
    <row r="99" ht="15.75" customHeight="1">
      <c r="A99" s="55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G79:H79"/>
    <mergeCell ref="G80:H80"/>
    <mergeCell ref="G83:H83"/>
    <mergeCell ref="G84:H84"/>
    <mergeCell ref="B85:G85"/>
    <mergeCell ref="A2:F2"/>
    <mergeCell ref="G2:H2"/>
    <mergeCell ref="A9:B9"/>
    <mergeCell ref="B10:F10"/>
    <mergeCell ref="G10:H10"/>
    <mergeCell ref="G21:H21"/>
    <mergeCell ref="G78:H78"/>
  </mergeCells>
  <printOptions/>
  <pageMargins bottom="0.75" footer="0.0" header="0.0" left="0.7" right="0.7" top="0.75"/>
  <pageSetup paperSize="9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9.14"/>
    <col customWidth="1" min="9" max="26" width="10.71"/>
  </cols>
  <sheetData>
    <row r="1" ht="24.75" customHeight="1">
      <c r="A1" s="1" t="s">
        <v>721</v>
      </c>
      <c r="B1" s="3" t="s">
        <v>3960</v>
      </c>
      <c r="C1" s="3"/>
      <c r="D1" s="3"/>
      <c r="E1" s="3"/>
      <c r="F1" s="3"/>
      <c r="G1" s="3"/>
    </row>
    <row r="2" ht="18.75" customHeight="1">
      <c r="A2" s="75" t="s">
        <v>3961</v>
      </c>
      <c r="G2" s="87">
        <v>2.976812E7</v>
      </c>
      <c r="H2" s="53"/>
    </row>
    <row r="3">
      <c r="A3" s="6" t="s">
        <v>3962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/>
      <c r="E4" s="2">
        <v>35000.0</v>
      </c>
      <c r="F4" s="2">
        <v>20000.0</v>
      </c>
      <c r="G4" s="7">
        <v>233900.0</v>
      </c>
      <c r="H4" s="60">
        <v>30000.0</v>
      </c>
    </row>
    <row r="5">
      <c r="A5" s="1"/>
      <c r="B5" s="4" t="s">
        <v>64</v>
      </c>
      <c r="C5" s="1"/>
      <c r="D5" s="2">
        <v>239000.0</v>
      </c>
      <c r="E5" s="2">
        <v>125000.0</v>
      </c>
      <c r="F5" s="2">
        <v>192500.0</v>
      </c>
      <c r="G5" s="7">
        <v>1512500.0</v>
      </c>
      <c r="H5" s="2">
        <v>140000.0</v>
      </c>
    </row>
    <row r="6">
      <c r="A6" s="1"/>
      <c r="B6" s="4" t="s">
        <v>65</v>
      </c>
      <c r="C6" s="1"/>
      <c r="D6" s="2">
        <v>81500.0</v>
      </c>
      <c r="E6" s="2">
        <v>129000.0</v>
      </c>
      <c r="F6" s="2">
        <v>125000.0</v>
      </c>
      <c r="G6" s="7">
        <v>1417450.0</v>
      </c>
      <c r="H6" s="2">
        <v>156000.0</v>
      </c>
    </row>
    <row r="7">
      <c r="A7" s="1"/>
      <c r="B7" s="4" t="s">
        <v>66</v>
      </c>
      <c r="C7" s="1"/>
      <c r="D7" s="2">
        <v>99500.0</v>
      </c>
      <c r="E7" s="2">
        <v>104000.0</v>
      </c>
      <c r="F7" s="2">
        <v>110000.0</v>
      </c>
      <c r="G7" s="76">
        <v>975800.0</v>
      </c>
      <c r="H7" s="2">
        <v>124000.0</v>
      </c>
      <c r="J7" s="2"/>
    </row>
    <row r="8">
      <c r="A8" s="1"/>
      <c r="B8" s="4" t="s">
        <v>3963</v>
      </c>
      <c r="C8" s="1"/>
      <c r="D8" s="2">
        <v>206000.0</v>
      </c>
      <c r="E8" s="2">
        <v>145000.0</v>
      </c>
      <c r="F8" s="2">
        <v>147500.0</v>
      </c>
      <c r="G8" s="76">
        <v>1652000.0</v>
      </c>
      <c r="H8" s="2">
        <v>211000.0</v>
      </c>
      <c r="J8" s="2"/>
    </row>
    <row r="9">
      <c r="A9" s="50" t="s">
        <v>405</v>
      </c>
      <c r="D9" s="60">
        <f>SUM(D5:D8)</f>
        <v>626000</v>
      </c>
      <c r="E9" s="60">
        <f t="shared" ref="E9:H9" si="1">SUM(E4:E8)</f>
        <v>538000</v>
      </c>
      <c r="F9" s="60">
        <f t="shared" si="1"/>
        <v>595000</v>
      </c>
      <c r="G9" s="60">
        <f t="shared" si="1"/>
        <v>5791650</v>
      </c>
      <c r="H9" s="60">
        <f t="shared" si="1"/>
        <v>661000</v>
      </c>
    </row>
    <row r="10">
      <c r="A10" s="1"/>
      <c r="B10" s="51" t="s">
        <v>9</v>
      </c>
      <c r="C10" s="52"/>
      <c r="D10" s="52"/>
      <c r="E10" s="52"/>
      <c r="F10" s="53"/>
      <c r="G10" s="100">
        <f>SUM(D9:H9)</f>
        <v>8211650</v>
      </c>
      <c r="H10" s="53"/>
    </row>
    <row r="11">
      <c r="A11" s="6" t="s">
        <v>3964</v>
      </c>
      <c r="B11" s="1"/>
      <c r="C11" s="1"/>
      <c r="D11" s="1"/>
      <c r="E11" s="1"/>
      <c r="F11" s="1"/>
      <c r="G11" s="2" t="s">
        <v>480</v>
      </c>
    </row>
    <row r="12">
      <c r="A12" s="1"/>
      <c r="B12" s="12" t="s">
        <v>3373</v>
      </c>
      <c r="C12" s="1"/>
      <c r="D12" s="1"/>
      <c r="E12" s="1"/>
      <c r="F12" s="1"/>
      <c r="G12" s="2"/>
    </row>
    <row r="13">
      <c r="A13" s="1"/>
      <c r="B13" s="4" t="s">
        <v>3494</v>
      </c>
      <c r="C13" s="1"/>
      <c r="D13" s="1"/>
      <c r="E13" s="1"/>
      <c r="F13" s="1"/>
      <c r="G13" s="67">
        <v>70000.0</v>
      </c>
      <c r="H13" s="77"/>
    </row>
    <row r="14">
      <c r="A14" s="1"/>
      <c r="B14" s="4" t="s">
        <v>3234</v>
      </c>
      <c r="C14" s="1"/>
      <c r="D14" s="1"/>
      <c r="E14" s="1"/>
      <c r="F14" s="1"/>
      <c r="G14" s="67">
        <v>250000.0</v>
      </c>
      <c r="H14" s="77"/>
      <c r="M14" s="67" t="s">
        <v>2139</v>
      </c>
    </row>
    <row r="15">
      <c r="A15" s="1"/>
      <c r="B15" s="4" t="s">
        <v>3318</v>
      </c>
      <c r="C15" s="1"/>
      <c r="D15" s="1"/>
      <c r="E15" s="1"/>
      <c r="F15" s="1"/>
      <c r="G15" s="67">
        <v>100000.0</v>
      </c>
      <c r="H15" s="77"/>
      <c r="L15" s="67" t="s">
        <v>3543</v>
      </c>
    </row>
    <row r="16">
      <c r="A16" s="1"/>
      <c r="B16" s="4" t="s">
        <v>3150</v>
      </c>
      <c r="C16" s="1"/>
      <c r="D16" s="1"/>
      <c r="E16" s="1"/>
      <c r="F16" s="1"/>
      <c r="G16" s="67">
        <v>80000.0</v>
      </c>
      <c r="H16" s="77"/>
      <c r="L16" s="67" t="s">
        <v>1585</v>
      </c>
    </row>
    <row r="17">
      <c r="A17" s="1"/>
      <c r="B17" s="4" t="s">
        <v>3236</v>
      </c>
      <c r="C17" s="1"/>
      <c r="D17" s="1"/>
      <c r="E17" s="1"/>
      <c r="F17" s="1"/>
      <c r="G17" s="67">
        <v>100000.0</v>
      </c>
      <c r="H17" s="77"/>
    </row>
    <row r="18">
      <c r="A18" s="1"/>
      <c r="B18" s="4" t="s">
        <v>3237</v>
      </c>
      <c r="C18" s="1"/>
      <c r="D18" s="1"/>
      <c r="E18" s="1"/>
      <c r="F18" s="1"/>
      <c r="G18" s="67">
        <v>175000.0</v>
      </c>
      <c r="H18" s="77"/>
    </row>
    <row r="19">
      <c r="A19" s="1"/>
      <c r="B19" s="4" t="s">
        <v>3965</v>
      </c>
      <c r="C19" s="1"/>
      <c r="D19" s="1"/>
      <c r="E19" s="1"/>
      <c r="F19" s="1"/>
      <c r="G19" s="67">
        <v>80000.0</v>
      </c>
      <c r="H19" s="77"/>
    </row>
    <row r="20">
      <c r="A20" s="1"/>
      <c r="B20" s="4" t="s">
        <v>3238</v>
      </c>
      <c r="C20" s="1"/>
      <c r="D20" s="1"/>
      <c r="E20" s="1"/>
      <c r="F20" s="1"/>
      <c r="G20" s="67">
        <v>175000.0</v>
      </c>
      <c r="H20" s="77"/>
    </row>
    <row r="21" ht="15.75" customHeight="1">
      <c r="A21" s="1"/>
      <c r="B21" s="4" t="s">
        <v>3966</v>
      </c>
      <c r="C21" s="1"/>
      <c r="D21" s="1"/>
      <c r="E21" s="1"/>
      <c r="F21" s="1"/>
      <c r="G21" s="67">
        <v>150000.0</v>
      </c>
      <c r="H21" s="77"/>
    </row>
    <row r="22" ht="15.75" customHeight="1">
      <c r="A22" s="1"/>
      <c r="B22" s="4" t="s">
        <v>3431</v>
      </c>
      <c r="C22" s="1"/>
      <c r="D22" s="1"/>
      <c r="E22" s="1"/>
      <c r="F22" s="1"/>
      <c r="G22" s="67">
        <v>140000.0</v>
      </c>
      <c r="H22" s="77"/>
    </row>
    <row r="23" ht="15.75" customHeight="1">
      <c r="A23" s="1"/>
      <c r="B23" s="9" t="s">
        <v>3432</v>
      </c>
      <c r="C23" s="10"/>
      <c r="D23" s="10"/>
      <c r="E23" s="10"/>
      <c r="F23" s="10"/>
      <c r="G23" s="101">
        <f>SUM(G13:G22)</f>
        <v>1320000</v>
      </c>
      <c r="H23" s="53"/>
    </row>
    <row r="24" ht="15.75" customHeight="1">
      <c r="A24" s="1"/>
      <c r="B24" s="12" t="s">
        <v>19</v>
      </c>
      <c r="C24" s="15"/>
      <c r="D24" s="1"/>
      <c r="E24" s="1"/>
      <c r="F24" s="1"/>
    </row>
    <row r="25" ht="15.75" customHeight="1">
      <c r="A25" s="1"/>
      <c r="B25" s="4" t="s">
        <v>3967</v>
      </c>
      <c r="C25" s="15"/>
      <c r="D25" s="1"/>
      <c r="E25" s="1"/>
      <c r="F25" s="1"/>
      <c r="G25" s="67">
        <v>1000.0</v>
      </c>
    </row>
    <row r="26" ht="15.75" customHeight="1">
      <c r="A26" s="1"/>
      <c r="B26" s="4" t="s">
        <v>3968</v>
      </c>
      <c r="C26" s="15"/>
      <c r="D26" s="1"/>
      <c r="E26" s="1"/>
      <c r="F26" s="1"/>
      <c r="G26" s="67">
        <v>5200.0</v>
      </c>
    </row>
    <row r="27" ht="15.75" customHeight="1">
      <c r="A27" s="1"/>
      <c r="B27" s="4" t="s">
        <v>3969</v>
      </c>
      <c r="C27" s="15"/>
      <c r="D27" s="1"/>
      <c r="E27" s="1"/>
      <c r="F27" s="1"/>
      <c r="G27" s="67">
        <v>84000.0</v>
      </c>
      <c r="H27" s="2"/>
    </row>
    <row r="28" ht="15.75" customHeight="1">
      <c r="A28" s="1"/>
      <c r="B28" s="4" t="s">
        <v>3970</v>
      </c>
      <c r="C28" s="15"/>
      <c r="D28" s="1"/>
      <c r="E28" s="1"/>
      <c r="F28" s="1"/>
      <c r="G28" s="67">
        <v>10000.0</v>
      </c>
      <c r="H28" s="2"/>
    </row>
    <row r="29" ht="15.75" customHeight="1">
      <c r="A29" s="1"/>
      <c r="B29" s="4" t="s">
        <v>3971</v>
      </c>
      <c r="C29" s="15"/>
      <c r="D29" s="1"/>
      <c r="E29" s="1"/>
      <c r="F29" s="1"/>
      <c r="G29" s="67">
        <v>12000.0</v>
      </c>
      <c r="H29" s="2"/>
    </row>
    <row r="30" ht="15.75" customHeight="1">
      <c r="A30" s="1"/>
      <c r="B30" s="4" t="s">
        <v>3972</v>
      </c>
      <c r="C30" s="15"/>
      <c r="D30" s="1"/>
      <c r="E30" s="1"/>
      <c r="F30" s="1"/>
      <c r="G30" s="67">
        <v>12115.0</v>
      </c>
      <c r="H30" s="2"/>
    </row>
    <row r="31" ht="15.75" customHeight="1">
      <c r="A31" s="1"/>
      <c r="B31" s="4" t="s">
        <v>3973</v>
      </c>
      <c r="C31" s="15"/>
      <c r="D31" s="1"/>
      <c r="E31" s="1"/>
      <c r="F31" s="1"/>
      <c r="G31" s="67">
        <v>32030.0</v>
      </c>
      <c r="H31" s="2"/>
    </row>
    <row r="32" ht="15.75" customHeight="1">
      <c r="A32" s="1"/>
      <c r="B32" s="4" t="s">
        <v>3974</v>
      </c>
      <c r="C32" s="15"/>
      <c r="D32" s="1"/>
      <c r="E32" s="1"/>
      <c r="F32" s="1"/>
      <c r="G32" s="67">
        <v>220000.0</v>
      </c>
      <c r="H32" s="2"/>
    </row>
    <row r="33" ht="15.75" customHeight="1">
      <c r="A33" s="1"/>
      <c r="B33" s="4" t="s">
        <v>3975</v>
      </c>
      <c r="C33" s="15"/>
      <c r="D33" s="1" t="s">
        <v>480</v>
      </c>
      <c r="E33" s="1"/>
      <c r="F33" s="1"/>
      <c r="G33" s="67">
        <v>3350.0</v>
      </c>
      <c r="H33" s="2"/>
    </row>
    <row r="34" ht="15.75" customHeight="1">
      <c r="A34" s="1"/>
      <c r="B34" s="4" t="s">
        <v>3976</v>
      </c>
      <c r="C34" s="15"/>
      <c r="D34" s="1"/>
      <c r="E34" s="1"/>
      <c r="F34" s="1"/>
      <c r="G34" s="67">
        <v>14600.0</v>
      </c>
      <c r="H34" s="2"/>
    </row>
    <row r="35" ht="15.75" customHeight="1">
      <c r="A35" s="1"/>
      <c r="B35" s="4" t="s">
        <v>3977</v>
      </c>
      <c r="C35" s="15"/>
      <c r="D35" s="1"/>
      <c r="E35" s="1"/>
      <c r="F35" s="1"/>
      <c r="G35" s="67">
        <v>1825.0</v>
      </c>
      <c r="H35" s="2"/>
    </row>
    <row r="36" ht="15.75" customHeight="1">
      <c r="A36" s="1"/>
      <c r="B36" s="4" t="s">
        <v>3978</v>
      </c>
      <c r="C36" s="15"/>
      <c r="D36" s="1"/>
      <c r="E36" s="1"/>
      <c r="F36" s="1"/>
      <c r="G36" s="67">
        <v>1000.0</v>
      </c>
      <c r="H36" s="2"/>
    </row>
    <row r="37" ht="15.75" customHeight="1">
      <c r="A37" s="1"/>
      <c r="B37" s="4" t="s">
        <v>3979</v>
      </c>
      <c r="C37" s="15"/>
      <c r="D37" s="1"/>
      <c r="E37" s="1"/>
      <c r="F37" s="1"/>
      <c r="G37" s="67">
        <v>49500.0</v>
      </c>
      <c r="H37" s="2"/>
    </row>
    <row r="38" ht="15.75" customHeight="1">
      <c r="A38" s="1"/>
      <c r="B38" s="4" t="s">
        <v>3980</v>
      </c>
      <c r="C38" s="15"/>
      <c r="D38" s="1" t="s">
        <v>480</v>
      </c>
      <c r="E38" s="1"/>
      <c r="F38" s="1"/>
      <c r="G38" s="67">
        <v>11075.0</v>
      </c>
      <c r="H38" s="2"/>
    </row>
    <row r="39" ht="15.75" customHeight="1">
      <c r="A39" s="1"/>
      <c r="B39" s="4" t="s">
        <v>3981</v>
      </c>
      <c r="C39" s="15"/>
      <c r="D39" s="1"/>
      <c r="E39" s="1"/>
      <c r="F39" s="1"/>
      <c r="G39" s="67">
        <v>4800.0</v>
      </c>
      <c r="H39" s="2"/>
    </row>
    <row r="40" ht="15.75" customHeight="1">
      <c r="A40" s="1"/>
      <c r="B40" s="4" t="s">
        <v>3982</v>
      </c>
      <c r="C40" s="15"/>
      <c r="D40" s="1" t="s">
        <v>480</v>
      </c>
      <c r="E40" s="1"/>
      <c r="F40" s="1"/>
      <c r="G40" s="67">
        <v>6000.0</v>
      </c>
      <c r="H40" s="2"/>
    </row>
    <row r="41" ht="15.75" customHeight="1">
      <c r="A41" s="1"/>
      <c r="B41" s="4" t="s">
        <v>3983</v>
      </c>
      <c r="C41" s="15"/>
      <c r="D41" s="1"/>
      <c r="E41" s="1"/>
      <c r="F41" s="1"/>
      <c r="G41" s="67">
        <v>67950.0</v>
      </c>
      <c r="H41" s="2"/>
    </row>
    <row r="42" ht="15.75" customHeight="1">
      <c r="A42" s="1"/>
      <c r="B42" s="4" t="s">
        <v>3984</v>
      </c>
      <c r="C42" s="15"/>
      <c r="D42" s="1"/>
      <c r="E42" s="1"/>
      <c r="F42" s="1"/>
      <c r="G42" s="67">
        <v>60000.0</v>
      </c>
      <c r="H42" s="2"/>
    </row>
    <row r="43" ht="15.75" customHeight="1">
      <c r="A43" s="1"/>
      <c r="B43" s="4" t="s">
        <v>3985</v>
      </c>
      <c r="C43" s="15"/>
      <c r="D43" s="1"/>
      <c r="E43" s="1"/>
      <c r="F43" s="1"/>
      <c r="G43" s="67">
        <v>300000.0</v>
      </c>
      <c r="H43" s="2"/>
    </row>
    <row r="44" ht="15.75" customHeight="1">
      <c r="A44" s="1"/>
      <c r="B44" s="4" t="s">
        <v>3986</v>
      </c>
      <c r="C44" s="15"/>
      <c r="D44" s="1"/>
      <c r="E44" s="1"/>
      <c r="F44" s="1"/>
      <c r="G44" s="67">
        <v>4800.0</v>
      </c>
      <c r="H44" s="2"/>
    </row>
    <row r="45" ht="15.75" customHeight="1">
      <c r="A45" s="1"/>
      <c r="B45" s="4" t="s">
        <v>3987</v>
      </c>
      <c r="C45" s="15"/>
      <c r="D45" s="1"/>
      <c r="E45" s="1"/>
      <c r="F45" s="1"/>
      <c r="G45" s="67">
        <v>9000.0</v>
      </c>
      <c r="H45" s="2"/>
    </row>
    <row r="46" ht="15.75" customHeight="1">
      <c r="A46" s="1"/>
      <c r="B46" s="4" t="s">
        <v>3988</v>
      </c>
      <c r="C46" s="15"/>
      <c r="D46" s="1"/>
      <c r="E46" s="1"/>
      <c r="F46" s="1"/>
      <c r="G46" s="67">
        <v>195000.0</v>
      </c>
      <c r="H46" s="2"/>
    </row>
    <row r="47" ht="15.75" customHeight="1">
      <c r="A47" s="1"/>
      <c r="B47" s="4" t="s">
        <v>3989</v>
      </c>
      <c r="C47" s="15"/>
      <c r="D47" s="1"/>
      <c r="E47" s="1"/>
      <c r="F47" s="1"/>
      <c r="G47" s="67">
        <v>15000.0</v>
      </c>
      <c r="H47" s="2"/>
    </row>
    <row r="48" ht="15.75" customHeight="1">
      <c r="A48" s="1"/>
      <c r="B48" s="4" t="s">
        <v>3990</v>
      </c>
      <c r="C48" s="15"/>
      <c r="D48" s="1"/>
      <c r="E48" s="1"/>
      <c r="F48" s="1" t="s">
        <v>480</v>
      </c>
      <c r="G48" s="67">
        <v>40000.0</v>
      </c>
      <c r="H48" s="2"/>
    </row>
    <row r="49" ht="15.75" customHeight="1">
      <c r="A49" s="1"/>
      <c r="B49" s="4" t="s">
        <v>3991</v>
      </c>
      <c r="C49" s="15"/>
      <c r="D49" s="1" t="s">
        <v>480</v>
      </c>
      <c r="E49" s="1"/>
      <c r="F49" s="1"/>
      <c r="G49" s="67">
        <v>1000.0</v>
      </c>
      <c r="H49" s="2"/>
    </row>
    <row r="50" ht="15.75" customHeight="1">
      <c r="A50" s="1"/>
      <c r="B50" s="4" t="s">
        <v>3992</v>
      </c>
      <c r="C50" s="15"/>
      <c r="D50" s="1"/>
      <c r="E50" s="1"/>
      <c r="F50" s="1"/>
      <c r="G50" s="67">
        <v>12500.0</v>
      </c>
      <c r="H50" s="2"/>
    </row>
    <row r="51" ht="15.75" customHeight="1">
      <c r="A51" s="1"/>
      <c r="B51" s="4" t="s">
        <v>3993</v>
      </c>
      <c r="C51" s="15"/>
      <c r="D51" s="1"/>
      <c r="E51" s="1"/>
      <c r="F51" s="1"/>
      <c r="G51" s="67">
        <v>115000.0</v>
      </c>
      <c r="H51" s="2"/>
    </row>
    <row r="52" ht="15.75" customHeight="1">
      <c r="A52" s="1"/>
      <c r="B52" s="4" t="s">
        <v>3994</v>
      </c>
      <c r="C52" s="15"/>
      <c r="D52" s="1"/>
      <c r="E52" s="1"/>
      <c r="F52" s="1"/>
      <c r="G52" s="67">
        <v>2000.0</v>
      </c>
      <c r="H52" s="2"/>
    </row>
    <row r="53" ht="15.75" customHeight="1">
      <c r="A53" s="1"/>
      <c r="B53" s="4" t="s">
        <v>3995</v>
      </c>
      <c r="C53" s="15"/>
      <c r="D53" s="1"/>
      <c r="E53" s="1"/>
      <c r="F53" s="1"/>
      <c r="G53" s="67">
        <v>6250.0</v>
      </c>
      <c r="H53" s="2"/>
    </row>
    <row r="54" ht="15.75" customHeight="1">
      <c r="A54" s="1"/>
      <c r="B54" s="4" t="s">
        <v>3996</v>
      </c>
      <c r="C54" s="15"/>
      <c r="D54" s="1"/>
      <c r="E54" s="1"/>
      <c r="F54" s="1"/>
      <c r="G54" s="67">
        <v>12000.0</v>
      </c>
      <c r="H54" s="2"/>
    </row>
    <row r="55" ht="15.75" customHeight="1">
      <c r="A55" s="1"/>
      <c r="B55" s="4" t="s">
        <v>3997</v>
      </c>
      <c r="C55" s="15"/>
      <c r="D55" s="1"/>
      <c r="E55" s="1"/>
      <c r="F55" s="1"/>
      <c r="G55" s="67">
        <v>4500.0</v>
      </c>
      <c r="H55" s="2"/>
    </row>
    <row r="56" ht="15.75" customHeight="1">
      <c r="A56" s="1"/>
      <c r="B56" s="4" t="s">
        <v>3998</v>
      </c>
      <c r="C56" s="15"/>
      <c r="D56" s="1"/>
      <c r="E56" s="1"/>
      <c r="F56" s="1"/>
      <c r="G56" s="67">
        <v>15000.0</v>
      </c>
      <c r="H56" s="2"/>
    </row>
    <row r="57" ht="15.75" customHeight="1">
      <c r="A57" s="1"/>
      <c r="B57" s="4" t="s">
        <v>3999</v>
      </c>
      <c r="C57" s="15"/>
      <c r="D57" s="1"/>
      <c r="E57" s="1"/>
      <c r="F57" s="1"/>
      <c r="G57" s="67">
        <v>7500.0</v>
      </c>
      <c r="H57" s="2"/>
    </row>
    <row r="58" ht="15.75" customHeight="1">
      <c r="A58" s="1"/>
      <c r="B58" s="4" t="s">
        <v>3399</v>
      </c>
      <c r="C58" s="15"/>
      <c r="D58" s="1"/>
      <c r="E58" s="1"/>
      <c r="F58" s="1"/>
      <c r="G58" s="67">
        <v>18000.0</v>
      </c>
      <c r="H58" s="2"/>
    </row>
    <row r="59" ht="15.75" customHeight="1">
      <c r="A59" s="1"/>
      <c r="B59" s="4" t="s">
        <v>3337</v>
      </c>
      <c r="C59" s="15"/>
      <c r="D59" s="1"/>
      <c r="E59" s="1"/>
      <c r="F59" s="1"/>
      <c r="G59" s="67">
        <v>195000.0</v>
      </c>
      <c r="H59" s="2"/>
    </row>
    <row r="60" ht="15.75" customHeight="1">
      <c r="A60" s="1"/>
      <c r="B60" s="4" t="s">
        <v>4000</v>
      </c>
      <c r="C60" s="15"/>
      <c r="D60" s="1"/>
      <c r="E60" s="1"/>
      <c r="F60" s="1"/>
      <c r="G60" s="67">
        <v>12500.0</v>
      </c>
      <c r="H60" s="2"/>
    </row>
    <row r="61" ht="15.75" customHeight="1">
      <c r="A61" s="1"/>
      <c r="B61" s="4" t="s">
        <v>4001</v>
      </c>
      <c r="C61" s="15"/>
      <c r="D61" s="1"/>
      <c r="E61" s="1"/>
      <c r="F61" s="1"/>
      <c r="G61" s="67">
        <v>10000.0</v>
      </c>
      <c r="H61" s="2"/>
    </row>
    <row r="62" ht="15.75" customHeight="1">
      <c r="A62" s="1"/>
      <c r="B62" s="4" t="s">
        <v>4002</v>
      </c>
      <c r="C62" s="15"/>
      <c r="D62" s="1"/>
      <c r="E62" s="1"/>
      <c r="F62" s="1"/>
      <c r="G62" s="67">
        <v>47672.0</v>
      </c>
      <c r="H62" s="2"/>
    </row>
    <row r="63" ht="15.75" customHeight="1">
      <c r="A63" s="1"/>
      <c r="B63" s="4" t="s">
        <v>4003</v>
      </c>
      <c r="C63" s="15"/>
      <c r="D63" s="1"/>
      <c r="E63" s="1"/>
      <c r="F63" s="1"/>
      <c r="G63" s="67">
        <v>1000.0</v>
      </c>
      <c r="H63" s="2"/>
    </row>
    <row r="64" ht="17.25" customHeight="1">
      <c r="A64" s="1"/>
      <c r="B64" s="4" t="s">
        <v>4004</v>
      </c>
      <c r="C64" s="15"/>
      <c r="D64" s="1"/>
      <c r="E64" s="1"/>
      <c r="F64" s="1"/>
      <c r="G64" s="67">
        <v>350000.0</v>
      </c>
      <c r="H64" s="2"/>
    </row>
    <row r="65" ht="15.75" customHeight="1">
      <c r="A65" s="1"/>
      <c r="B65" s="4" t="s">
        <v>4005</v>
      </c>
      <c r="C65" s="15"/>
      <c r="D65" s="1"/>
      <c r="E65" s="1"/>
      <c r="F65" s="1"/>
      <c r="G65" s="67">
        <v>35000.0</v>
      </c>
      <c r="H65" s="2"/>
    </row>
    <row r="66" ht="15.75" customHeight="1">
      <c r="A66" s="1"/>
      <c r="B66" s="4" t="s">
        <v>4006</v>
      </c>
      <c r="G66" s="67">
        <v>187500.0</v>
      </c>
      <c r="H66" s="2"/>
    </row>
    <row r="67" ht="15.75" customHeight="1">
      <c r="A67" s="1"/>
      <c r="B67" s="4" t="s">
        <v>4007</v>
      </c>
      <c r="G67" s="67">
        <v>25000.0</v>
      </c>
      <c r="H67" s="2"/>
    </row>
    <row r="68" ht="15.75" customHeight="1">
      <c r="A68" s="1"/>
      <c r="B68" s="4" t="s">
        <v>4008</v>
      </c>
      <c r="G68" s="67">
        <v>25000.0</v>
      </c>
      <c r="H68" s="2"/>
    </row>
    <row r="69" ht="15.75" customHeight="1">
      <c r="A69" s="1"/>
      <c r="B69" s="4" t="s">
        <v>4009</v>
      </c>
      <c r="G69" s="67">
        <v>6500.0</v>
      </c>
      <c r="H69" s="2"/>
    </row>
    <row r="70" ht="15.75" customHeight="1">
      <c r="A70" s="1"/>
      <c r="B70" s="4" t="s">
        <v>4010</v>
      </c>
      <c r="G70" s="67">
        <v>140000.0</v>
      </c>
      <c r="H70" s="2"/>
    </row>
    <row r="71" ht="15.75" customHeight="1">
      <c r="A71" s="1"/>
      <c r="B71" s="4" t="s">
        <v>4011</v>
      </c>
      <c r="G71" s="67">
        <v>128250.0</v>
      </c>
      <c r="H71" s="2"/>
    </row>
    <row r="72" ht="15.75" customHeight="1">
      <c r="A72" s="1"/>
      <c r="B72" s="4" t="s">
        <v>4012</v>
      </c>
      <c r="G72" s="67">
        <v>35000.0</v>
      </c>
      <c r="H72" s="2"/>
    </row>
    <row r="73" ht="15.75" customHeight="1">
      <c r="A73" s="1"/>
      <c r="B73" s="4" t="s">
        <v>4013</v>
      </c>
      <c r="G73" s="67">
        <v>45000.0</v>
      </c>
      <c r="H73" s="2"/>
    </row>
    <row r="74" ht="15.75" customHeight="1">
      <c r="A74" s="1"/>
      <c r="B74" s="4" t="s">
        <v>4014</v>
      </c>
      <c r="G74" s="67">
        <v>1000.0</v>
      </c>
      <c r="H74" s="2"/>
    </row>
    <row r="75" ht="15.75" customHeight="1">
      <c r="A75" s="1"/>
      <c r="B75" s="4" t="s">
        <v>4015</v>
      </c>
      <c r="G75" s="67">
        <v>1725000.0</v>
      </c>
      <c r="H75" s="2"/>
    </row>
    <row r="76" ht="15.75" customHeight="1">
      <c r="A76" s="1"/>
      <c r="B76" s="4" t="s">
        <v>4016</v>
      </c>
      <c r="G76" s="67">
        <v>10000.0</v>
      </c>
      <c r="H76" s="2"/>
    </row>
    <row r="77" ht="15.75" customHeight="1">
      <c r="A77" s="1"/>
      <c r="B77" s="4" t="s">
        <v>4017</v>
      </c>
      <c r="G77" s="67">
        <v>6600.0</v>
      </c>
      <c r="H77" s="2"/>
    </row>
    <row r="78" ht="15.75" customHeight="1">
      <c r="A78" s="1"/>
      <c r="B78" s="4" t="s">
        <v>4018</v>
      </c>
      <c r="G78" s="67">
        <v>362500.0</v>
      </c>
      <c r="H78" s="2"/>
    </row>
    <row r="79" ht="15.75" customHeight="1">
      <c r="A79" s="1"/>
      <c r="B79" s="3" t="s">
        <v>43</v>
      </c>
      <c r="C79" s="1"/>
      <c r="D79" s="1"/>
      <c r="E79" s="1"/>
      <c r="F79" s="1"/>
      <c r="G79" s="54">
        <f>SUM(G25:G78)</f>
        <v>4702517</v>
      </c>
    </row>
    <row r="80" ht="15.75" customHeight="1">
      <c r="A80" s="1"/>
      <c r="B80" s="19" t="s">
        <v>45</v>
      </c>
      <c r="C80" s="20"/>
      <c r="D80" s="20"/>
      <c r="E80" s="20"/>
      <c r="F80" s="20"/>
      <c r="G80" s="102">
        <f>SUM(G23+G79)</f>
        <v>6022517</v>
      </c>
      <c r="H80" s="53"/>
    </row>
    <row r="81" ht="15.75" customHeight="1">
      <c r="A81" s="35" t="s">
        <v>3130</v>
      </c>
      <c r="B81" s="36" t="s">
        <v>3301</v>
      </c>
      <c r="C81" s="37"/>
      <c r="D81" s="82"/>
      <c r="E81" s="37"/>
      <c r="F81" s="37"/>
      <c r="G81" s="103">
        <f>SUM(G10-G80)</f>
        <v>2189133</v>
      </c>
      <c r="H81" s="53"/>
    </row>
    <row r="82" ht="15.75" customHeight="1">
      <c r="A82" s="22" t="s">
        <v>254</v>
      </c>
      <c r="B82" s="43" t="s">
        <v>255</v>
      </c>
      <c r="C82" s="1"/>
      <c r="D82" s="1"/>
      <c r="E82" s="1"/>
      <c r="F82" s="1"/>
      <c r="H82" s="2"/>
    </row>
    <row r="83" ht="15.75" customHeight="1">
      <c r="B83" s="4" t="s">
        <v>4019</v>
      </c>
      <c r="C83" s="15"/>
      <c r="D83" s="1"/>
      <c r="E83" s="1"/>
      <c r="F83" s="1"/>
      <c r="G83" s="127">
        <v>3256050.0</v>
      </c>
      <c r="H83" s="112"/>
    </row>
    <row r="84" ht="15.75" customHeight="1">
      <c r="B84" s="43" t="s">
        <v>4020</v>
      </c>
      <c r="C84" s="1"/>
      <c r="D84" s="1"/>
      <c r="E84" s="1"/>
      <c r="F84" s="1"/>
      <c r="G84" s="99">
        <v>13400.0</v>
      </c>
      <c r="H84" s="2"/>
    </row>
    <row r="85" ht="15.75" customHeight="1">
      <c r="A85" s="22"/>
      <c r="B85" s="72" t="s">
        <v>51</v>
      </c>
      <c r="C85" s="27"/>
      <c r="D85" s="27"/>
      <c r="E85" s="27"/>
      <c r="F85" s="27"/>
      <c r="G85" s="104">
        <f>G83+G84</f>
        <v>3269450</v>
      </c>
      <c r="H85" s="53"/>
    </row>
    <row r="86" ht="15.75" customHeight="1">
      <c r="A86" s="22"/>
      <c r="B86" s="91" t="s">
        <v>3216</v>
      </c>
      <c r="C86" s="45"/>
      <c r="D86" s="45"/>
      <c r="E86" s="46"/>
      <c r="F86" s="46"/>
      <c r="G86" s="105">
        <f>G2+G81-G85</f>
        <v>28687803</v>
      </c>
      <c r="H86" s="53"/>
    </row>
    <row r="87" ht="15.75" customHeight="1">
      <c r="A87" s="22"/>
      <c r="B87" s="32" t="s">
        <v>3365</v>
      </c>
    </row>
    <row r="88" ht="15.75" customHeight="1">
      <c r="A88" s="22"/>
      <c r="B88" s="1"/>
      <c r="C88" s="1" t="s">
        <v>3137</v>
      </c>
      <c r="D88" s="1"/>
      <c r="E88" s="1"/>
      <c r="F88" s="1"/>
      <c r="H88" s="38">
        <v>12100.0</v>
      </c>
    </row>
    <row r="89" ht="15.75" customHeight="1">
      <c r="A89" s="22"/>
      <c r="B89" s="1"/>
      <c r="C89" s="1" t="s">
        <v>3218</v>
      </c>
      <c r="D89" s="1"/>
      <c r="E89" s="1"/>
      <c r="F89" s="1"/>
      <c r="H89" s="38">
        <v>927350.0</v>
      </c>
    </row>
    <row r="90" ht="18.0" customHeight="1">
      <c r="A90" s="44"/>
      <c r="B90" s="1"/>
      <c r="C90" s="43" t="s">
        <v>115</v>
      </c>
      <c r="D90" s="1"/>
      <c r="E90" s="1"/>
      <c r="F90" s="1"/>
      <c r="H90" s="38">
        <f>SUM(H88:H89)</f>
        <v>939450</v>
      </c>
    </row>
    <row r="91" ht="16.5" customHeight="1">
      <c r="A91" s="44"/>
      <c r="B91" s="43"/>
      <c r="C91" s="43"/>
      <c r="D91" s="1"/>
      <c r="E91" s="1"/>
      <c r="F91" s="1"/>
      <c r="G91" s="1"/>
    </row>
    <row r="92" ht="15.75" customHeight="1">
      <c r="A92" s="1"/>
      <c r="B92" s="33"/>
      <c r="C92" s="1"/>
      <c r="D92" s="1"/>
      <c r="E92" s="1"/>
      <c r="F92" s="1"/>
      <c r="G92" s="2"/>
    </row>
    <row r="93" ht="15.75" customHeight="1">
      <c r="A93" s="43" t="s">
        <v>3420</v>
      </c>
      <c r="B93" s="56"/>
      <c r="C93" s="56"/>
      <c r="D93" s="56"/>
      <c r="F93" s="93"/>
      <c r="G93" s="55"/>
    </row>
    <row r="94" ht="15.75" customHeight="1">
      <c r="A94" s="128" t="s">
        <v>4021</v>
      </c>
      <c r="B94" s="129"/>
      <c r="C94" s="129"/>
      <c r="D94" s="129"/>
      <c r="E94" s="130"/>
      <c r="F94" s="131"/>
      <c r="G94" s="132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ht="15.75" customHeight="1">
      <c r="A95" s="43" t="s">
        <v>4022</v>
      </c>
      <c r="B95" s="107"/>
      <c r="C95" s="107"/>
      <c r="D95" s="55"/>
      <c r="G95" s="77"/>
    </row>
    <row r="96" ht="15.75" customHeight="1">
      <c r="A96" s="106" t="s">
        <v>4023</v>
      </c>
      <c r="B96" s="108"/>
      <c r="C96" s="109"/>
      <c r="D96" s="109"/>
      <c r="E96" s="109"/>
    </row>
    <row r="97" ht="15.75" customHeight="1">
      <c r="A97" s="107" t="s">
        <v>3054</v>
      </c>
      <c r="B97" s="109"/>
      <c r="C97" s="109"/>
      <c r="D97" s="109"/>
      <c r="E97" s="109"/>
      <c r="F97" s="108" t="s">
        <v>3227</v>
      </c>
      <c r="G97" s="109"/>
      <c r="H97" s="109"/>
    </row>
    <row r="98" ht="15.75" customHeight="1">
      <c r="A98" s="107" t="s">
        <v>3055</v>
      </c>
      <c r="B98" s="109"/>
      <c r="C98" s="109"/>
      <c r="D98" s="109"/>
      <c r="E98" s="109"/>
      <c r="F98" s="108" t="s">
        <v>3311</v>
      </c>
      <c r="G98" s="109"/>
      <c r="H98" s="109"/>
    </row>
    <row r="99" ht="15.75" customHeight="1">
      <c r="A99" s="107" t="s">
        <v>3224</v>
      </c>
      <c r="B99" s="109"/>
      <c r="C99" s="109"/>
      <c r="D99" s="109"/>
      <c r="E99" s="109"/>
      <c r="F99" s="125" t="s">
        <v>3312</v>
      </c>
      <c r="G99" s="109"/>
      <c r="H99" s="109"/>
    </row>
    <row r="100" ht="15.75" customHeight="1">
      <c r="A100" s="107" t="s">
        <v>3057</v>
      </c>
      <c r="B100" s="109"/>
      <c r="C100" s="109"/>
      <c r="D100" s="109"/>
      <c r="E100" s="109"/>
      <c r="F100" s="126" t="s">
        <v>4024</v>
      </c>
      <c r="G100" s="109"/>
      <c r="H100" s="109"/>
    </row>
    <row r="101" ht="15.75" customHeight="1">
      <c r="A101" s="108" t="s">
        <v>3313</v>
      </c>
    </row>
    <row r="102" ht="15.75" customHeight="1">
      <c r="A102" s="55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80:H80"/>
    <mergeCell ref="G81:H81"/>
    <mergeCell ref="G85:H85"/>
    <mergeCell ref="G86:H86"/>
    <mergeCell ref="B87:G87"/>
    <mergeCell ref="A2:F2"/>
    <mergeCell ref="G2:H2"/>
    <mergeCell ref="A9:B9"/>
    <mergeCell ref="B10:F10"/>
    <mergeCell ref="G10:H10"/>
    <mergeCell ref="G23:H23"/>
    <mergeCell ref="G79:H79"/>
  </mergeCells>
  <printOptions/>
  <pageMargins bottom="0.75" footer="0.0" header="0.0" left="0.7" right="0.7" top="0.75"/>
  <pageSetup paperSize="9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9.14"/>
    <col customWidth="1" min="9" max="33" width="10.71"/>
  </cols>
  <sheetData>
    <row r="1" ht="24.75" customHeight="1">
      <c r="A1" s="1" t="s">
        <v>721</v>
      </c>
      <c r="B1" s="3" t="s">
        <v>4025</v>
      </c>
      <c r="C1" s="3"/>
      <c r="D1" s="3"/>
      <c r="E1" s="3"/>
      <c r="F1" s="3"/>
      <c r="G1" s="3"/>
    </row>
    <row r="2" ht="18.75" customHeight="1">
      <c r="A2" s="75" t="s">
        <v>4026</v>
      </c>
      <c r="G2" s="87">
        <v>2.8687803E7</v>
      </c>
      <c r="H2" s="53"/>
    </row>
    <row r="3">
      <c r="A3" s="6" t="s">
        <v>4027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152000.0</v>
      </c>
      <c r="E4" s="2">
        <v>117000.0</v>
      </c>
      <c r="F4" s="2">
        <v>167500.0</v>
      </c>
      <c r="G4" s="7">
        <v>2122600.0</v>
      </c>
      <c r="H4" s="60">
        <v>110000.0</v>
      </c>
    </row>
    <row r="5">
      <c r="A5" s="1"/>
      <c r="B5" s="4" t="s">
        <v>64</v>
      </c>
      <c r="C5" s="1"/>
      <c r="D5" s="2">
        <v>95500.0</v>
      </c>
      <c r="E5" s="2">
        <v>138000.0</v>
      </c>
      <c r="F5" s="2">
        <v>290000.0</v>
      </c>
      <c r="G5" s="7">
        <v>2009000.0</v>
      </c>
      <c r="H5" s="2">
        <v>186000.0</v>
      </c>
    </row>
    <row r="6">
      <c r="A6" s="1"/>
      <c r="B6" s="4" t="s">
        <v>65</v>
      </c>
      <c r="C6" s="1"/>
      <c r="D6" s="2">
        <v>286500.0</v>
      </c>
      <c r="E6" s="2">
        <v>92000.0</v>
      </c>
      <c r="F6" s="2">
        <v>330000.0</v>
      </c>
      <c r="G6" s="7">
        <v>1945350.0</v>
      </c>
      <c r="H6" s="2">
        <v>104000.0</v>
      </c>
    </row>
    <row r="7">
      <c r="A7" s="1"/>
      <c r="B7" s="4" t="s">
        <v>3963</v>
      </c>
      <c r="C7" s="1"/>
      <c r="D7" s="2">
        <v>160000.0</v>
      </c>
      <c r="E7" s="2">
        <v>129000.0</v>
      </c>
      <c r="F7" s="2">
        <v>210000.0</v>
      </c>
      <c r="G7" s="76">
        <v>1266300.0</v>
      </c>
      <c r="H7" s="2">
        <v>140000.0</v>
      </c>
      <c r="J7" s="2"/>
    </row>
    <row r="8">
      <c r="A8" s="50" t="s">
        <v>405</v>
      </c>
      <c r="D8" s="60">
        <f t="shared" ref="D8:H8" si="1">SUM(D4:D7)</f>
        <v>694000</v>
      </c>
      <c r="E8" s="60">
        <f t="shared" si="1"/>
        <v>476000</v>
      </c>
      <c r="F8" s="60">
        <f t="shared" si="1"/>
        <v>997500</v>
      </c>
      <c r="G8" s="60">
        <f t="shared" si="1"/>
        <v>7343250</v>
      </c>
      <c r="H8" s="60">
        <f t="shared" si="1"/>
        <v>540000</v>
      </c>
    </row>
    <row r="9">
      <c r="A9" s="1"/>
      <c r="B9" s="51" t="s">
        <v>9</v>
      </c>
      <c r="C9" s="52"/>
      <c r="D9" s="52"/>
      <c r="E9" s="52"/>
      <c r="F9" s="53"/>
      <c r="G9" s="100">
        <f>SUM(D8:H8)</f>
        <v>10050750</v>
      </c>
      <c r="H9" s="53"/>
    </row>
    <row r="10">
      <c r="A10" s="6" t="s">
        <v>4028</v>
      </c>
      <c r="B10" s="1"/>
      <c r="C10" s="1"/>
      <c r="D10" s="1"/>
      <c r="E10" s="1"/>
      <c r="F10" s="1"/>
      <c r="G10" s="2" t="s">
        <v>480</v>
      </c>
    </row>
    <row r="11">
      <c r="A11" s="1"/>
      <c r="B11" s="12" t="s">
        <v>3373</v>
      </c>
      <c r="C11" s="1"/>
      <c r="D11" s="1"/>
      <c r="E11" s="1"/>
      <c r="F11" s="1"/>
      <c r="G11" s="2"/>
    </row>
    <row r="12">
      <c r="A12" s="1"/>
      <c r="B12" s="4" t="s">
        <v>3494</v>
      </c>
      <c r="C12" s="1"/>
      <c r="D12" s="1"/>
      <c r="E12" s="1"/>
      <c r="F12" s="1"/>
      <c r="G12" s="67">
        <v>90000.0</v>
      </c>
      <c r="H12" s="77"/>
    </row>
    <row r="13">
      <c r="A13" s="1"/>
      <c r="B13" s="4" t="s">
        <v>3234</v>
      </c>
      <c r="C13" s="1"/>
      <c r="D13" s="1"/>
      <c r="E13" s="1"/>
      <c r="F13" s="1"/>
      <c r="G13" s="67">
        <v>250000.0</v>
      </c>
      <c r="H13" s="77"/>
      <c r="M13" s="67" t="s">
        <v>2139</v>
      </c>
    </row>
    <row r="14">
      <c r="A14" s="1"/>
      <c r="B14" s="4" t="s">
        <v>3318</v>
      </c>
      <c r="C14" s="1"/>
      <c r="D14" s="1"/>
      <c r="E14" s="1"/>
      <c r="F14" s="1"/>
      <c r="G14" s="67">
        <v>100000.0</v>
      </c>
      <c r="H14" s="77"/>
    </row>
    <row r="15">
      <c r="A15" s="1"/>
      <c r="B15" s="4" t="s">
        <v>3150</v>
      </c>
      <c r="C15" s="1"/>
      <c r="D15" s="1"/>
      <c r="E15" s="1"/>
      <c r="F15" s="1"/>
      <c r="G15" s="67">
        <v>80000.0</v>
      </c>
      <c r="H15" s="77"/>
      <c r="L15" s="67" t="s">
        <v>1585</v>
      </c>
    </row>
    <row r="16">
      <c r="A16" s="1"/>
      <c r="B16" s="4" t="s">
        <v>3236</v>
      </c>
      <c r="C16" s="1"/>
      <c r="D16" s="1"/>
      <c r="E16" s="1"/>
      <c r="F16" s="1"/>
      <c r="G16" s="67">
        <v>100000.0</v>
      </c>
      <c r="H16" s="77"/>
    </row>
    <row r="17">
      <c r="A17" s="1"/>
      <c r="B17" s="4" t="s">
        <v>3237</v>
      </c>
      <c r="C17" s="1"/>
      <c r="D17" s="1"/>
      <c r="E17" s="1"/>
      <c r="F17" s="1"/>
      <c r="G17" s="67">
        <v>175000.0</v>
      </c>
      <c r="H17" s="77"/>
    </row>
    <row r="18">
      <c r="A18" s="1"/>
      <c r="B18" s="4" t="s">
        <v>3965</v>
      </c>
      <c r="C18" s="1"/>
      <c r="D18" s="1"/>
      <c r="E18" s="1"/>
      <c r="F18" s="1"/>
      <c r="G18" s="67">
        <v>80000.0</v>
      </c>
      <c r="H18" s="77"/>
    </row>
    <row r="19">
      <c r="A19" s="1"/>
      <c r="B19" s="4" t="s">
        <v>3238</v>
      </c>
      <c r="C19" s="1"/>
      <c r="D19" s="1"/>
      <c r="E19" s="1"/>
      <c r="F19" s="1"/>
      <c r="G19" s="67">
        <v>175000.0</v>
      </c>
      <c r="H19" s="77"/>
    </row>
    <row r="20">
      <c r="A20" s="1"/>
      <c r="B20" s="4" t="s">
        <v>3966</v>
      </c>
      <c r="C20" s="1"/>
      <c r="D20" s="1"/>
      <c r="E20" s="1"/>
      <c r="F20" s="1"/>
      <c r="G20" s="67">
        <v>150000.0</v>
      </c>
      <c r="H20" s="77"/>
    </row>
    <row r="21" ht="15.75" customHeight="1">
      <c r="A21" s="1"/>
      <c r="B21" s="4" t="s">
        <v>4029</v>
      </c>
      <c r="C21" s="1"/>
      <c r="D21" s="1"/>
      <c r="E21" s="1"/>
      <c r="F21" s="1"/>
      <c r="G21" s="67">
        <v>100000.0</v>
      </c>
      <c r="H21" s="77"/>
    </row>
    <row r="22" ht="15.75" customHeight="1">
      <c r="A22" s="1"/>
      <c r="B22" s="9" t="s">
        <v>3432</v>
      </c>
      <c r="C22" s="10"/>
      <c r="D22" s="10"/>
      <c r="E22" s="10"/>
      <c r="F22" s="10"/>
      <c r="G22" s="101">
        <f>SUM(G12:G21)</f>
        <v>1300000</v>
      </c>
      <c r="H22" s="53"/>
    </row>
    <row r="23" ht="15.75" customHeight="1">
      <c r="A23" s="1"/>
      <c r="B23" s="12" t="s">
        <v>19</v>
      </c>
      <c r="C23" s="15"/>
      <c r="D23" s="1"/>
      <c r="E23" s="1"/>
      <c r="F23" s="1"/>
    </row>
    <row r="24" ht="15.75" customHeight="1">
      <c r="A24" s="1"/>
      <c r="B24" s="4" t="s">
        <v>4030</v>
      </c>
      <c r="C24" s="15"/>
      <c r="D24" s="1"/>
      <c r="E24" s="1"/>
      <c r="F24" s="1"/>
      <c r="G24" s="67">
        <v>6250.0</v>
      </c>
    </row>
    <row r="25" ht="15.75" customHeight="1">
      <c r="A25" s="1"/>
      <c r="B25" s="4" t="s">
        <v>4031</v>
      </c>
      <c r="C25" s="15"/>
      <c r="D25" s="1"/>
      <c r="E25" s="1"/>
      <c r="F25" s="1"/>
      <c r="G25" s="67">
        <v>10000.0</v>
      </c>
    </row>
    <row r="26" ht="15.75" customHeight="1">
      <c r="A26" s="1"/>
      <c r="B26" s="97" t="s">
        <v>4032</v>
      </c>
      <c r="C26" s="15"/>
      <c r="D26" s="1"/>
      <c r="E26" s="1"/>
      <c r="F26" s="1"/>
      <c r="G26" s="67">
        <v>67950.0</v>
      </c>
      <c r="H26" s="2"/>
    </row>
    <row r="27" ht="15.75" customHeight="1">
      <c r="A27" s="1"/>
      <c r="B27" s="97" t="s">
        <v>4033</v>
      </c>
      <c r="C27" s="15"/>
      <c r="D27" s="1"/>
      <c r="E27" s="1"/>
      <c r="F27" s="1"/>
      <c r="G27" s="67">
        <v>1200.0</v>
      </c>
      <c r="H27" s="2"/>
    </row>
    <row r="28" ht="15.75" customHeight="1">
      <c r="A28" s="1"/>
      <c r="B28" s="97" t="s">
        <v>4034</v>
      </c>
      <c r="C28" s="15"/>
      <c r="D28" s="1"/>
      <c r="E28" s="1"/>
      <c r="F28" s="1"/>
      <c r="G28" s="67">
        <v>50000.0</v>
      </c>
      <c r="H28" s="2"/>
    </row>
    <row r="29" ht="15.75" customHeight="1">
      <c r="A29" s="1"/>
      <c r="B29" s="97" t="s">
        <v>4035</v>
      </c>
      <c r="C29" s="15"/>
      <c r="D29" s="1"/>
      <c r="E29" s="1"/>
      <c r="F29" s="1"/>
      <c r="G29" s="67">
        <v>7000.0</v>
      </c>
      <c r="H29" s="2"/>
    </row>
    <row r="30" ht="15.75" customHeight="1">
      <c r="A30" s="1"/>
      <c r="B30" s="97" t="s">
        <v>4036</v>
      </c>
      <c r="C30" s="15"/>
      <c r="D30" s="1"/>
      <c r="E30" s="1"/>
      <c r="F30" s="1"/>
      <c r="G30" s="67">
        <v>100000.0</v>
      </c>
      <c r="H30" s="2"/>
    </row>
    <row r="31" ht="15.75" customHeight="1">
      <c r="A31" s="1"/>
      <c r="B31" s="97" t="s">
        <v>4037</v>
      </c>
      <c r="C31" s="15"/>
      <c r="D31" s="1"/>
      <c r="E31" s="1"/>
      <c r="F31" s="1"/>
      <c r="G31" s="67">
        <v>482982.0</v>
      </c>
      <c r="H31" s="2"/>
    </row>
    <row r="32" ht="15.75" customHeight="1">
      <c r="A32" s="1"/>
      <c r="B32" s="97" t="s">
        <v>4038</v>
      </c>
      <c r="C32" s="15"/>
      <c r="D32" s="1" t="s">
        <v>480</v>
      </c>
      <c r="E32" s="1"/>
      <c r="F32" s="1"/>
      <c r="G32" s="67">
        <v>1500.0</v>
      </c>
      <c r="H32" s="2"/>
    </row>
    <row r="33" ht="15.75" customHeight="1">
      <c r="A33" s="1"/>
      <c r="B33" s="97" t="s">
        <v>4039</v>
      </c>
      <c r="C33" s="15"/>
      <c r="D33" s="1"/>
      <c r="E33" s="1"/>
      <c r="F33" s="1"/>
      <c r="G33" s="67">
        <v>45000.0</v>
      </c>
      <c r="H33" s="2"/>
    </row>
    <row r="34" ht="15.75" customHeight="1">
      <c r="A34" s="1"/>
      <c r="B34" s="97" t="s">
        <v>4040</v>
      </c>
      <c r="C34" s="15"/>
      <c r="D34" s="1"/>
      <c r="E34" s="1"/>
      <c r="F34" s="1"/>
      <c r="G34" s="99">
        <v>15000.0</v>
      </c>
      <c r="H34" s="2"/>
    </row>
    <row r="35" ht="15.75" customHeight="1">
      <c r="A35" s="1"/>
      <c r="B35" s="97" t="s">
        <v>4041</v>
      </c>
      <c r="C35" s="15"/>
      <c r="D35" s="1"/>
      <c r="E35" s="1"/>
      <c r="F35" s="1"/>
      <c r="G35" s="67">
        <v>7600.0</v>
      </c>
      <c r="H35" s="2"/>
    </row>
    <row r="36" ht="15.75" customHeight="1">
      <c r="A36" s="1"/>
      <c r="B36" s="97" t="s">
        <v>4042</v>
      </c>
      <c r="C36" s="15"/>
      <c r="D36" s="1"/>
      <c r="E36" s="1"/>
      <c r="F36" s="1"/>
      <c r="G36" s="67">
        <v>1400.0</v>
      </c>
      <c r="H36" s="2"/>
    </row>
    <row r="37" ht="15.75" customHeight="1">
      <c r="A37" s="1"/>
      <c r="B37" s="97" t="s">
        <v>4043</v>
      </c>
      <c r="C37" s="15"/>
      <c r="D37" s="1"/>
      <c r="E37" s="1"/>
      <c r="F37" s="1"/>
      <c r="G37" s="67">
        <v>13029.0</v>
      </c>
      <c r="H37" s="2"/>
    </row>
    <row r="38" ht="15.75" customHeight="1">
      <c r="A38" s="1"/>
      <c r="B38" s="97" t="s">
        <v>4044</v>
      </c>
      <c r="C38" s="15"/>
      <c r="D38" s="1" t="s">
        <v>480</v>
      </c>
      <c r="E38" s="1"/>
      <c r="F38" s="1"/>
      <c r="G38" s="67">
        <v>2000.0</v>
      </c>
      <c r="H38" s="2"/>
    </row>
    <row r="39" ht="15.75" customHeight="1">
      <c r="A39" s="1"/>
      <c r="B39" s="97" t="s">
        <v>4045</v>
      </c>
      <c r="C39" s="15"/>
      <c r="D39" s="1"/>
      <c r="E39" s="1"/>
      <c r="F39" s="1"/>
      <c r="G39" s="67">
        <v>3500.0</v>
      </c>
      <c r="H39" s="2"/>
    </row>
    <row r="40" ht="15.75" customHeight="1">
      <c r="A40" s="1"/>
      <c r="B40" s="97" t="s">
        <v>4046</v>
      </c>
      <c r="C40" s="15"/>
      <c r="D40" s="1" t="s">
        <v>480</v>
      </c>
      <c r="E40" s="1"/>
      <c r="F40" s="1"/>
      <c r="G40" s="67">
        <v>20000.0</v>
      </c>
      <c r="H40" s="2"/>
    </row>
    <row r="41" ht="15.75" customHeight="1">
      <c r="A41" s="1"/>
      <c r="B41" s="97" t="s">
        <v>4047</v>
      </c>
      <c r="C41" s="15"/>
      <c r="D41" s="1"/>
      <c r="E41" s="1"/>
      <c r="F41" s="1"/>
      <c r="G41" s="67">
        <v>362500.0</v>
      </c>
      <c r="H41" s="2"/>
    </row>
    <row r="42" ht="15.75" customHeight="1">
      <c r="A42" s="1"/>
      <c r="B42" s="97" t="s">
        <v>4048</v>
      </c>
      <c r="C42" s="15"/>
      <c r="D42" s="1"/>
      <c r="E42" s="1"/>
      <c r="F42" s="1"/>
      <c r="G42" s="67">
        <v>20500.0</v>
      </c>
      <c r="H42" s="2"/>
    </row>
    <row r="43" ht="15.75" customHeight="1">
      <c r="A43" s="1"/>
      <c r="B43" s="97" t="s">
        <v>3649</v>
      </c>
      <c r="C43" s="15"/>
      <c r="D43" s="1"/>
      <c r="E43" s="1"/>
      <c r="F43" s="1"/>
      <c r="G43" s="67">
        <v>2500.0</v>
      </c>
      <c r="H43" s="2"/>
    </row>
    <row r="44" ht="15.75" customHeight="1">
      <c r="A44" s="1"/>
      <c r="B44" s="97" t="s">
        <v>4049</v>
      </c>
      <c r="C44" s="15"/>
      <c r="D44" s="1"/>
      <c r="E44" s="1"/>
      <c r="F44" s="1"/>
      <c r="G44" s="67">
        <v>8400.0</v>
      </c>
      <c r="H44" s="2"/>
    </row>
    <row r="45" ht="15.75" customHeight="1">
      <c r="A45" s="1"/>
      <c r="B45" s="97" t="s">
        <v>4050</v>
      </c>
      <c r="C45" s="15"/>
      <c r="D45" s="1"/>
      <c r="E45" s="1"/>
      <c r="F45" s="1"/>
      <c r="G45" s="67">
        <v>7000.0</v>
      </c>
      <c r="H45" s="2"/>
    </row>
    <row r="46" ht="15.75" customHeight="1">
      <c r="A46" s="1"/>
      <c r="B46" s="97" t="s">
        <v>4051</v>
      </c>
      <c r="C46" s="15"/>
      <c r="D46" s="1"/>
      <c r="E46" s="1"/>
      <c r="F46" s="1"/>
      <c r="G46" s="67">
        <v>1800.0</v>
      </c>
      <c r="H46" s="2"/>
    </row>
    <row r="47" ht="15.75" customHeight="1">
      <c r="A47" s="1"/>
      <c r="B47" s="97" t="s">
        <v>4052</v>
      </c>
      <c r="C47" s="15"/>
      <c r="D47" s="1"/>
      <c r="E47" s="1"/>
      <c r="F47" s="1"/>
      <c r="G47" s="67">
        <v>25000.0</v>
      </c>
      <c r="H47" s="2"/>
    </row>
    <row r="48" ht="15.75" customHeight="1">
      <c r="A48" s="1"/>
      <c r="B48" s="97" t="s">
        <v>4053</v>
      </c>
      <c r="C48" s="15"/>
      <c r="D48" s="1"/>
      <c r="E48" s="1"/>
      <c r="F48" s="1"/>
      <c r="G48" s="67">
        <v>25000.0</v>
      </c>
      <c r="H48" s="2"/>
    </row>
    <row r="49" ht="15.75" customHeight="1">
      <c r="A49" s="1"/>
      <c r="B49" s="97" t="s">
        <v>4049</v>
      </c>
      <c r="C49" s="15"/>
      <c r="D49" s="1"/>
      <c r="E49" s="1"/>
      <c r="F49" s="1"/>
      <c r="G49" s="67">
        <v>1600.0</v>
      </c>
      <c r="H49" s="2"/>
    </row>
    <row r="50" ht="15.75" customHeight="1">
      <c r="A50" s="1"/>
      <c r="B50" s="97" t="s">
        <v>4054</v>
      </c>
      <c r="C50" s="15"/>
      <c r="D50" s="1"/>
      <c r="E50" s="1"/>
      <c r="F50" s="1"/>
      <c r="G50" s="67">
        <v>14000.0</v>
      </c>
      <c r="H50" s="2"/>
    </row>
    <row r="51" ht="15.75" customHeight="1">
      <c r="A51" s="1"/>
      <c r="B51" s="97" t="s">
        <v>4055</v>
      </c>
      <c r="C51" s="15"/>
      <c r="D51" s="1"/>
      <c r="E51" s="1"/>
      <c r="F51" s="1"/>
      <c r="G51" s="67">
        <v>10000.0</v>
      </c>
      <c r="H51" s="2"/>
    </row>
    <row r="52" ht="15.75" customHeight="1">
      <c r="A52" s="1"/>
      <c r="B52" s="97" t="s">
        <v>4056</v>
      </c>
      <c r="C52" s="15"/>
      <c r="D52" s="1"/>
      <c r="E52" s="1"/>
      <c r="F52" s="1"/>
      <c r="G52" s="67">
        <v>297500.0</v>
      </c>
      <c r="H52" s="2"/>
    </row>
    <row r="53" ht="15.75" customHeight="1">
      <c r="A53" s="1"/>
      <c r="B53" s="97" t="s">
        <v>4057</v>
      </c>
      <c r="C53" s="15"/>
      <c r="D53" s="1"/>
      <c r="E53" s="1"/>
      <c r="F53" s="1" t="s">
        <v>480</v>
      </c>
      <c r="G53" s="67">
        <v>5000.0</v>
      </c>
      <c r="H53" s="2"/>
    </row>
    <row r="54" ht="15.75" customHeight="1">
      <c r="A54" s="1"/>
      <c r="B54" s="97" t="s">
        <v>4058</v>
      </c>
      <c r="C54" s="15"/>
      <c r="D54" s="1"/>
      <c r="E54" s="1"/>
      <c r="F54" s="1"/>
      <c r="G54" s="67">
        <v>2500.0</v>
      </c>
      <c r="H54" s="2"/>
    </row>
    <row r="55" ht="15.75" customHeight="1">
      <c r="A55" s="1"/>
      <c r="B55" s="97" t="s">
        <v>4059</v>
      </c>
      <c r="C55" s="15"/>
      <c r="D55" s="1" t="s">
        <v>480</v>
      </c>
      <c r="E55" s="1"/>
      <c r="F55" s="1"/>
      <c r="G55" s="67">
        <v>100000.0</v>
      </c>
      <c r="H55" s="2"/>
    </row>
    <row r="56" ht="15.75" customHeight="1">
      <c r="A56" s="1"/>
      <c r="B56" s="4" t="s">
        <v>4060</v>
      </c>
      <c r="C56" s="15"/>
      <c r="D56" s="1"/>
      <c r="E56" s="1"/>
      <c r="F56" s="1"/>
      <c r="G56" s="67">
        <v>60000.0</v>
      </c>
      <c r="H56" s="2"/>
    </row>
    <row r="57" ht="15.75" customHeight="1">
      <c r="A57" s="1"/>
      <c r="B57" s="97" t="s">
        <v>4061</v>
      </c>
      <c r="C57" s="15"/>
      <c r="D57" s="1"/>
      <c r="E57" s="1"/>
      <c r="F57" s="1"/>
      <c r="G57" s="67">
        <v>268500.0</v>
      </c>
      <c r="H57" s="2"/>
    </row>
    <row r="58" ht="15.75" customHeight="1">
      <c r="A58" s="1"/>
      <c r="B58" s="97" t="s">
        <v>4062</v>
      </c>
      <c r="C58" s="15"/>
      <c r="D58" s="1"/>
      <c r="E58" s="1"/>
      <c r="F58" s="1"/>
      <c r="G58" s="67">
        <v>22000.0</v>
      </c>
      <c r="H58" s="2"/>
    </row>
    <row r="59" ht="15.75" customHeight="1">
      <c r="A59" s="1"/>
      <c r="B59" s="97" t="s">
        <v>3557</v>
      </c>
      <c r="C59" s="15"/>
      <c r="D59" s="1"/>
      <c r="E59" s="1"/>
      <c r="F59" s="1"/>
      <c r="G59" s="67">
        <v>30000.0</v>
      </c>
      <c r="H59" s="2"/>
    </row>
    <row r="60" ht="15.75" customHeight="1">
      <c r="A60" s="1"/>
      <c r="B60" s="97" t="s">
        <v>4063</v>
      </c>
      <c r="C60" s="15"/>
      <c r="D60" s="1"/>
      <c r="E60" s="1"/>
      <c r="F60" s="1"/>
      <c r="G60" s="67">
        <v>27000.0</v>
      </c>
      <c r="H60" s="2"/>
    </row>
    <row r="61" ht="15.75" customHeight="1">
      <c r="A61" s="1"/>
      <c r="B61" s="97" t="s">
        <v>4064</v>
      </c>
      <c r="C61" s="15"/>
      <c r="D61" s="1"/>
      <c r="E61" s="1"/>
      <c r="F61" s="1"/>
      <c r="G61" s="67">
        <v>3000.0</v>
      </c>
      <c r="H61" s="2"/>
    </row>
    <row r="62" ht="15.75" customHeight="1">
      <c r="A62" s="1"/>
      <c r="B62" s="97" t="s">
        <v>4065</v>
      </c>
      <c r="C62" s="15"/>
      <c r="D62" s="1"/>
      <c r="E62" s="1"/>
      <c r="F62" s="1"/>
      <c r="G62" s="67">
        <v>301210.0</v>
      </c>
      <c r="H62" s="2"/>
    </row>
    <row r="63" ht="15.75" customHeight="1">
      <c r="A63" s="1"/>
      <c r="B63" s="97" t="s">
        <v>4066</v>
      </c>
      <c r="C63" s="15"/>
      <c r="D63" s="1"/>
      <c r="E63" s="1"/>
      <c r="F63" s="1"/>
      <c r="G63" s="67">
        <v>425000.0</v>
      </c>
      <c r="H63" s="2"/>
    </row>
    <row r="64" ht="15.75" customHeight="1">
      <c r="A64" s="1"/>
      <c r="B64" s="97" t="s">
        <v>4067</v>
      </c>
      <c r="G64" s="67">
        <v>99000.0</v>
      </c>
      <c r="H64" s="2"/>
    </row>
    <row r="65" ht="15.75" customHeight="1">
      <c r="A65" s="1"/>
      <c r="B65" s="4" t="s">
        <v>4068</v>
      </c>
      <c r="G65" s="67">
        <v>118000.0</v>
      </c>
      <c r="H65" s="2"/>
    </row>
    <row r="66" ht="15.75" customHeight="1">
      <c r="A66" s="1"/>
      <c r="B66" s="4" t="s">
        <v>4069</v>
      </c>
      <c r="G66" s="67">
        <v>487000.0</v>
      </c>
      <c r="H66" s="2"/>
    </row>
    <row r="67" ht="15.75" customHeight="1">
      <c r="A67" s="1"/>
      <c r="B67" s="4" t="s">
        <v>4070</v>
      </c>
      <c r="G67" s="67">
        <v>118750.0</v>
      </c>
      <c r="H67" s="2"/>
    </row>
    <row r="68" ht="15.75" customHeight="1">
      <c r="A68" s="1"/>
      <c r="B68" s="4" t="s">
        <v>4071</v>
      </c>
      <c r="G68" s="67">
        <v>380640.0</v>
      </c>
      <c r="H68" s="2"/>
    </row>
    <row r="69" ht="15.75" customHeight="1">
      <c r="A69" s="1"/>
      <c r="B69" s="4" t="s">
        <v>4072</v>
      </c>
      <c r="G69" s="67">
        <v>552150.0</v>
      </c>
      <c r="H69" s="2"/>
    </row>
    <row r="70" ht="15.75" customHeight="1">
      <c r="A70" s="1"/>
      <c r="B70" s="3" t="s">
        <v>43</v>
      </c>
      <c r="C70" s="1"/>
      <c r="D70" s="1"/>
      <c r="E70" s="1"/>
      <c r="F70" s="1"/>
      <c r="G70" s="54">
        <f>SUM(G24:G69)</f>
        <v>4609961</v>
      </c>
    </row>
    <row r="71" ht="15.75" customHeight="1">
      <c r="A71" s="1"/>
      <c r="B71" s="19" t="s">
        <v>45</v>
      </c>
      <c r="C71" s="20"/>
      <c r="D71" s="20"/>
      <c r="E71" s="20"/>
      <c r="F71" s="20"/>
      <c r="G71" s="102">
        <f>SUM(G22+G70)</f>
        <v>5909961</v>
      </c>
      <c r="H71" s="53"/>
    </row>
    <row r="72" ht="15.75" customHeight="1">
      <c r="A72" s="35" t="s">
        <v>3130</v>
      </c>
      <c r="B72" s="36" t="s">
        <v>3301</v>
      </c>
      <c r="C72" s="37"/>
      <c r="D72" s="82"/>
      <c r="E72" s="37"/>
      <c r="F72" s="37"/>
      <c r="G72" s="103">
        <f>SUM(G9-G71)</f>
        <v>4140789</v>
      </c>
      <c r="H72" s="53"/>
    </row>
    <row r="73" ht="15.75" customHeight="1">
      <c r="A73" s="22" t="s">
        <v>254</v>
      </c>
      <c r="B73" s="43" t="s">
        <v>255</v>
      </c>
      <c r="C73" s="1"/>
      <c r="D73" s="1"/>
      <c r="E73" s="1"/>
      <c r="F73" s="1"/>
      <c r="H73" s="2"/>
    </row>
    <row r="74" ht="15.75" customHeight="1">
      <c r="B74" s="4"/>
      <c r="C74" s="15"/>
      <c r="D74" s="1"/>
      <c r="E74" s="1"/>
      <c r="F74" s="1"/>
      <c r="G74" s="60"/>
      <c r="H74" s="112"/>
    </row>
    <row r="75" ht="15.75" customHeight="1">
      <c r="B75" s="43"/>
      <c r="C75" s="1"/>
      <c r="D75" s="1"/>
      <c r="E75" s="1"/>
      <c r="F75" s="1"/>
      <c r="H75" s="2"/>
    </row>
    <row r="76" ht="15.75" customHeight="1">
      <c r="A76" s="22"/>
      <c r="B76" s="72" t="s">
        <v>51</v>
      </c>
      <c r="C76" s="27"/>
      <c r="D76" s="27"/>
      <c r="E76" s="27"/>
      <c r="F76" s="27"/>
      <c r="G76" s="104"/>
      <c r="H76" s="53"/>
    </row>
    <row r="77" ht="15.75" customHeight="1">
      <c r="A77" s="22"/>
      <c r="B77" s="91" t="s">
        <v>3305</v>
      </c>
      <c r="C77" s="45"/>
      <c r="D77" s="45"/>
      <c r="E77" s="46"/>
      <c r="F77" s="46"/>
      <c r="G77" s="105">
        <f>G2+G72-G76</f>
        <v>32828592</v>
      </c>
      <c r="H77" s="53"/>
    </row>
    <row r="78" ht="15.75" customHeight="1">
      <c r="A78" s="22"/>
      <c r="B78" s="32" t="s">
        <v>3365</v>
      </c>
    </row>
    <row r="79" ht="15.75" customHeight="1">
      <c r="A79" s="22"/>
      <c r="B79" s="1"/>
      <c r="C79" s="1" t="s">
        <v>3137</v>
      </c>
      <c r="D79" s="1"/>
      <c r="E79" s="1"/>
      <c r="F79" s="1"/>
      <c r="H79" s="38">
        <v>69400.0</v>
      </c>
    </row>
    <row r="80" ht="15.75" customHeight="1">
      <c r="A80" s="22"/>
      <c r="B80" s="1"/>
      <c r="C80" s="1" t="s">
        <v>3218</v>
      </c>
      <c r="D80" s="1"/>
      <c r="E80" s="1"/>
      <c r="F80" s="1"/>
      <c r="H80" s="38">
        <v>2004350.0</v>
      </c>
    </row>
    <row r="81" ht="18.0" customHeight="1">
      <c r="A81" s="44"/>
      <c r="B81" s="1"/>
      <c r="C81" s="43" t="s">
        <v>115</v>
      </c>
      <c r="D81" s="1"/>
      <c r="E81" s="1"/>
      <c r="F81" s="1"/>
      <c r="H81" s="133">
        <f>SUM(H79+H80)</f>
        <v>2073750</v>
      </c>
    </row>
    <row r="82" ht="16.5" customHeight="1">
      <c r="A82" s="44"/>
      <c r="B82" s="43"/>
      <c r="C82" s="43"/>
      <c r="D82" s="1"/>
      <c r="E82" s="1"/>
      <c r="F82" s="1"/>
      <c r="G82" s="1"/>
    </row>
    <row r="83" ht="15.75" customHeight="1">
      <c r="A83" s="1"/>
      <c r="B83" s="33"/>
      <c r="C83" s="1"/>
      <c r="D83" s="1"/>
      <c r="E83" s="1"/>
      <c r="F83" s="1"/>
      <c r="G83" s="2"/>
    </row>
    <row r="84" ht="15.75" customHeight="1">
      <c r="A84" s="43" t="s">
        <v>3420</v>
      </c>
      <c r="B84" s="56"/>
      <c r="C84" s="56"/>
      <c r="D84" s="56"/>
      <c r="F84" s="93"/>
      <c r="G84" s="55"/>
    </row>
    <row r="85" ht="15.75" customHeight="1">
      <c r="A85" s="134" t="s">
        <v>4073</v>
      </c>
      <c r="B85" s="135"/>
      <c r="C85" s="135"/>
      <c r="D85" s="135"/>
      <c r="E85" s="136"/>
      <c r="F85" s="137"/>
      <c r="G85" s="138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</row>
    <row r="86" ht="15.75" customHeight="1">
      <c r="A86" s="124" t="s">
        <v>4074</v>
      </c>
      <c r="B86" s="107"/>
      <c r="C86" s="107"/>
      <c r="D86" s="55"/>
      <c r="G86" s="77"/>
    </row>
    <row r="87" ht="15.75" customHeight="1">
      <c r="A87" s="106" t="s">
        <v>4075</v>
      </c>
      <c r="B87" s="108"/>
      <c r="C87" s="109"/>
      <c r="D87" s="109"/>
      <c r="E87" s="109"/>
    </row>
    <row r="88" ht="15.75" customHeight="1">
      <c r="A88" s="107" t="s">
        <v>3054</v>
      </c>
      <c r="B88" s="109"/>
      <c r="C88" s="109"/>
      <c r="D88" s="109"/>
      <c r="E88" s="109"/>
      <c r="F88" s="108" t="s">
        <v>3227</v>
      </c>
      <c r="G88" s="109"/>
      <c r="H88" s="109"/>
    </row>
    <row r="89" ht="15.75" customHeight="1">
      <c r="A89" s="107" t="s">
        <v>3055</v>
      </c>
      <c r="B89" s="109"/>
      <c r="C89" s="109"/>
      <c r="D89" s="109"/>
      <c r="E89" s="109"/>
      <c r="F89" s="108" t="s">
        <v>3311</v>
      </c>
      <c r="G89" s="109"/>
      <c r="H89" s="109"/>
    </row>
    <row r="90" ht="15.75" customHeight="1">
      <c r="A90" s="139" t="s">
        <v>3224</v>
      </c>
      <c r="B90" s="109"/>
      <c r="C90" s="109"/>
      <c r="D90" s="109"/>
      <c r="E90" s="109"/>
      <c r="F90" s="125" t="s">
        <v>4076</v>
      </c>
      <c r="G90" s="109"/>
      <c r="H90" s="109"/>
    </row>
    <row r="91" ht="15.75" customHeight="1">
      <c r="A91" s="139" t="s">
        <v>3057</v>
      </c>
      <c r="B91" s="109"/>
      <c r="C91" s="109"/>
      <c r="D91" s="109"/>
      <c r="E91" s="109"/>
      <c r="F91" s="125" t="s">
        <v>4077</v>
      </c>
      <c r="G91" s="109"/>
      <c r="H91" s="109"/>
    </row>
    <row r="92" ht="15.75" customHeight="1">
      <c r="A92" s="139" t="s">
        <v>3313</v>
      </c>
      <c r="B92" s="109"/>
      <c r="C92" s="109"/>
      <c r="D92" s="109"/>
      <c r="E92" s="109"/>
      <c r="F92" s="126" t="s">
        <v>3228</v>
      </c>
      <c r="G92" s="109"/>
      <c r="H92" s="109"/>
    </row>
    <row r="93" ht="15.75" customHeight="1">
      <c r="A93" s="108"/>
    </row>
    <row r="94" ht="15.75" customHeight="1">
      <c r="A94" s="55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G71:H71"/>
    <mergeCell ref="G72:H72"/>
    <mergeCell ref="G76:H76"/>
    <mergeCell ref="G77:H77"/>
    <mergeCell ref="B78:G78"/>
    <mergeCell ref="A2:F2"/>
    <mergeCell ref="G2:H2"/>
    <mergeCell ref="A8:B8"/>
    <mergeCell ref="B9:F9"/>
    <mergeCell ref="G9:H9"/>
    <mergeCell ref="G22:H22"/>
    <mergeCell ref="G70:H70"/>
  </mergeCells>
  <printOptions/>
  <pageMargins bottom="0.75" footer="0.0" header="0.0" left="0.7" right="0.7" top="0.75"/>
  <pageSetup paperSize="9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9.14"/>
    <col customWidth="1" min="9" max="35" width="10.71"/>
  </cols>
  <sheetData>
    <row r="1" ht="24.75" customHeight="1">
      <c r="A1" s="111" t="s">
        <v>480</v>
      </c>
      <c r="B1" s="3" t="s">
        <v>4078</v>
      </c>
      <c r="C1" s="3"/>
      <c r="D1" s="3"/>
      <c r="E1" s="3"/>
      <c r="F1" s="3"/>
      <c r="G1" s="3"/>
    </row>
    <row r="2" ht="18.75" customHeight="1">
      <c r="A2" s="75" t="s">
        <v>4079</v>
      </c>
      <c r="G2" s="87">
        <v>3.2843592E7</v>
      </c>
      <c r="H2" s="53"/>
    </row>
    <row r="3">
      <c r="A3" s="6" t="s">
        <v>4080</v>
      </c>
      <c r="B3" s="1"/>
      <c r="C3" s="1"/>
      <c r="D3" s="1" t="s">
        <v>3001</v>
      </c>
      <c r="E3" s="50" t="s">
        <v>3428</v>
      </c>
      <c r="F3" s="50" t="s">
        <v>3003</v>
      </c>
      <c r="G3" s="85" t="s">
        <v>3004</v>
      </c>
      <c r="H3" s="67" t="s">
        <v>3146</v>
      </c>
    </row>
    <row r="4">
      <c r="A4" s="1"/>
      <c r="B4" s="4" t="s">
        <v>63</v>
      </c>
      <c r="C4" s="1"/>
      <c r="D4" s="2">
        <v>107000.0</v>
      </c>
      <c r="E4" s="2">
        <v>163000.0</v>
      </c>
      <c r="F4" s="2">
        <v>237500.0</v>
      </c>
      <c r="G4" s="7">
        <v>1614250.0</v>
      </c>
      <c r="H4" s="60">
        <v>186000.0</v>
      </c>
    </row>
    <row r="5">
      <c r="A5" s="1"/>
      <c r="B5" s="4" t="s">
        <v>64</v>
      </c>
      <c r="C5" s="1"/>
      <c r="D5" s="2">
        <v>100500.0</v>
      </c>
      <c r="E5" s="2">
        <v>108000.0</v>
      </c>
      <c r="F5" s="2">
        <v>190000.0</v>
      </c>
      <c r="G5" s="7">
        <v>1317300.0</v>
      </c>
      <c r="H5" s="2">
        <v>117000.0</v>
      </c>
    </row>
    <row r="6">
      <c r="A6" s="1"/>
      <c r="B6" s="4" t="s">
        <v>65</v>
      </c>
      <c r="C6" s="1"/>
      <c r="D6" s="2">
        <v>15000.0</v>
      </c>
      <c r="E6" s="2">
        <v>62000.0</v>
      </c>
      <c r="F6" s="2">
        <v>135000.0</v>
      </c>
      <c r="G6" s="7">
        <v>644500.0</v>
      </c>
      <c r="H6" s="2">
        <v>67000.0</v>
      </c>
    </row>
    <row r="7">
      <c r="A7" s="1"/>
      <c r="B7" s="4" t="s">
        <v>4081</v>
      </c>
      <c r="C7" s="1"/>
      <c r="D7" s="2">
        <v>69000.0</v>
      </c>
      <c r="E7" s="2">
        <v>147000.0</v>
      </c>
      <c r="F7" s="2">
        <v>230000.0</v>
      </c>
      <c r="G7" s="76">
        <v>1319000.0</v>
      </c>
      <c r="H7" s="2">
        <v>103000.0</v>
      </c>
      <c r="J7" s="2"/>
    </row>
    <row r="8">
      <c r="A8" s="1"/>
      <c r="B8" s="4" t="s">
        <v>3963</v>
      </c>
      <c r="C8" s="1"/>
      <c r="D8" s="2">
        <v>46000.0</v>
      </c>
      <c r="E8" s="2">
        <v>121000.0</v>
      </c>
      <c r="F8" s="2">
        <v>77500.0</v>
      </c>
      <c r="G8" s="76">
        <v>935400.0</v>
      </c>
      <c r="H8" s="2">
        <v>48000.0</v>
      </c>
      <c r="J8" s="2"/>
    </row>
    <row r="9">
      <c r="A9" s="50" t="s">
        <v>405</v>
      </c>
      <c r="D9" s="60">
        <f t="shared" ref="D9:H9" si="1">SUM(D4:D8)</f>
        <v>337500</v>
      </c>
      <c r="E9" s="60">
        <f t="shared" si="1"/>
        <v>601000</v>
      </c>
      <c r="F9" s="60">
        <f t="shared" si="1"/>
        <v>870000</v>
      </c>
      <c r="G9" s="60">
        <f t="shared" si="1"/>
        <v>5830450</v>
      </c>
      <c r="H9" s="60">
        <f t="shared" si="1"/>
        <v>521000</v>
      </c>
    </row>
    <row r="10">
      <c r="A10" s="1"/>
      <c r="B10" s="51" t="s">
        <v>9</v>
      </c>
      <c r="C10" s="52"/>
      <c r="D10" s="52"/>
      <c r="E10" s="52"/>
      <c r="F10" s="53"/>
      <c r="G10" s="100">
        <f>SUM(D9:H9)</f>
        <v>8159950</v>
      </c>
      <c r="H10" s="53"/>
    </row>
    <row r="11">
      <c r="A11" s="6" t="s">
        <v>4082</v>
      </c>
      <c r="B11" s="1"/>
      <c r="C11" s="1"/>
      <c r="D11" s="1"/>
      <c r="E11" s="1"/>
      <c r="F11" s="1"/>
      <c r="G11" s="2" t="s">
        <v>480</v>
      </c>
    </row>
    <row r="12">
      <c r="A12" s="1"/>
      <c r="B12" s="12" t="s">
        <v>3373</v>
      </c>
      <c r="C12" s="1"/>
      <c r="D12" s="1"/>
      <c r="E12" s="1"/>
      <c r="F12" s="1"/>
      <c r="G12" s="2"/>
    </row>
    <row r="13">
      <c r="A13" s="1"/>
      <c r="B13" s="4" t="s">
        <v>3494</v>
      </c>
      <c r="C13" s="1"/>
      <c r="D13" s="1"/>
      <c r="E13" s="1"/>
      <c r="F13" s="1"/>
      <c r="G13" s="67">
        <v>240000.0</v>
      </c>
      <c r="H13" s="77"/>
    </row>
    <row r="14">
      <c r="A14" s="1"/>
      <c r="B14" s="4" t="s">
        <v>3234</v>
      </c>
      <c r="C14" s="1"/>
      <c r="D14" s="1"/>
      <c r="E14" s="1"/>
      <c r="F14" s="1"/>
      <c r="G14" s="67">
        <v>250000.0</v>
      </c>
      <c r="H14" s="77"/>
      <c r="M14" s="67" t="s">
        <v>2139</v>
      </c>
    </row>
    <row r="15">
      <c r="A15" s="1"/>
      <c r="B15" s="4" t="s">
        <v>3318</v>
      </c>
      <c r="C15" s="1"/>
      <c r="D15" s="1"/>
      <c r="E15" s="1"/>
      <c r="F15" s="1"/>
      <c r="G15" s="67">
        <v>100000.0</v>
      </c>
      <c r="H15" s="77"/>
      <c r="L15" s="67" t="s">
        <v>480</v>
      </c>
    </row>
    <row r="16">
      <c r="A16" s="1"/>
      <c r="B16" s="4" t="s">
        <v>3150</v>
      </c>
      <c r="C16" s="1"/>
      <c r="D16" s="1"/>
      <c r="E16" s="1"/>
      <c r="F16" s="1"/>
      <c r="G16" s="67">
        <v>80000.0</v>
      </c>
      <c r="H16" s="77"/>
      <c r="L16" s="67" t="s">
        <v>1585</v>
      </c>
    </row>
    <row r="17">
      <c r="A17" s="1"/>
      <c r="B17" s="4" t="s">
        <v>3236</v>
      </c>
      <c r="C17" s="1"/>
      <c r="D17" s="1"/>
      <c r="E17" s="1"/>
      <c r="F17" s="1"/>
      <c r="G17" s="67">
        <v>100000.0</v>
      </c>
      <c r="H17" s="77"/>
    </row>
    <row r="18">
      <c r="A18" s="1"/>
      <c r="B18" s="4" t="s">
        <v>3237</v>
      </c>
      <c r="C18" s="1"/>
      <c r="D18" s="1"/>
      <c r="E18" s="1"/>
      <c r="F18" s="1"/>
      <c r="G18" s="67">
        <v>175000.0</v>
      </c>
      <c r="H18" s="77"/>
    </row>
    <row r="19">
      <c r="A19" s="1"/>
      <c r="B19" s="4" t="s">
        <v>3965</v>
      </c>
      <c r="C19" s="1"/>
      <c r="D19" s="1"/>
      <c r="E19" s="1"/>
      <c r="F19" s="1"/>
      <c r="G19" s="67">
        <v>80000.0</v>
      </c>
      <c r="H19" s="77"/>
    </row>
    <row r="20">
      <c r="A20" s="1"/>
      <c r="B20" s="4" t="s">
        <v>3238</v>
      </c>
      <c r="C20" s="1"/>
      <c r="D20" s="1"/>
      <c r="E20" s="1"/>
      <c r="F20" s="1"/>
      <c r="G20" s="67">
        <v>175000.0</v>
      </c>
      <c r="H20" s="77"/>
    </row>
    <row r="21" ht="15.75" customHeight="1">
      <c r="A21" s="1"/>
      <c r="B21" s="4" t="s">
        <v>3966</v>
      </c>
      <c r="C21" s="1"/>
      <c r="D21" s="1"/>
      <c r="E21" s="1"/>
      <c r="F21" s="1"/>
      <c r="G21" s="67">
        <v>150000.0</v>
      </c>
      <c r="H21" s="77"/>
    </row>
    <row r="22" ht="15.75" customHeight="1">
      <c r="A22" s="1"/>
      <c r="B22" s="4" t="s">
        <v>4029</v>
      </c>
      <c r="C22" s="1"/>
      <c r="D22" s="1"/>
      <c r="E22" s="1"/>
      <c r="F22" s="1"/>
      <c r="G22" s="67">
        <v>20000.0</v>
      </c>
      <c r="H22" s="77"/>
    </row>
    <row r="23" ht="15.75" customHeight="1">
      <c r="A23" s="1"/>
      <c r="B23" s="9" t="s">
        <v>3432</v>
      </c>
      <c r="C23" s="10"/>
      <c r="D23" s="10"/>
      <c r="E23" s="10"/>
      <c r="F23" s="10"/>
      <c r="G23" s="101">
        <f>SUM(G13:G22)</f>
        <v>1370000</v>
      </c>
      <c r="H23" s="53"/>
    </row>
    <row r="24" ht="15.75" customHeight="1">
      <c r="A24" s="1"/>
      <c r="B24" s="12" t="s">
        <v>19</v>
      </c>
      <c r="C24" s="15"/>
      <c r="D24" s="1"/>
      <c r="E24" s="1"/>
      <c r="F24" s="1"/>
    </row>
    <row r="25" ht="15.75" customHeight="1">
      <c r="A25" s="1"/>
      <c r="B25" s="97" t="s">
        <v>4083</v>
      </c>
      <c r="C25" s="15"/>
      <c r="D25" s="1"/>
      <c r="E25" s="1"/>
      <c r="F25" s="1"/>
      <c r="G25" s="67">
        <v>10000.0</v>
      </c>
    </row>
    <row r="26" ht="15.75" customHeight="1">
      <c r="A26" s="1"/>
      <c r="B26" s="97" t="s">
        <v>4084</v>
      </c>
      <c r="C26" s="15"/>
      <c r="D26" s="1"/>
      <c r="E26" s="1"/>
      <c r="F26" s="1"/>
      <c r="G26" s="60">
        <v>150000.0</v>
      </c>
    </row>
    <row r="27" ht="15.75" customHeight="1">
      <c r="A27" s="1"/>
      <c r="B27" s="97" t="s">
        <v>4085</v>
      </c>
      <c r="C27" s="15"/>
      <c r="D27" s="1"/>
      <c r="E27" s="1"/>
      <c r="F27" s="1"/>
      <c r="G27" s="67">
        <v>35990.0</v>
      </c>
      <c r="H27" s="2"/>
    </row>
    <row r="28" ht="15.75" customHeight="1">
      <c r="A28" s="1"/>
      <c r="B28" s="97" t="s">
        <v>4086</v>
      </c>
      <c r="C28" s="15"/>
      <c r="D28" s="1"/>
      <c r="E28" s="1"/>
      <c r="F28" s="1"/>
      <c r="G28" s="67">
        <v>10000.0</v>
      </c>
      <c r="H28" s="2"/>
    </row>
    <row r="29" ht="15.75" customHeight="1">
      <c r="A29" s="1"/>
      <c r="B29" s="97" t="s">
        <v>4087</v>
      </c>
      <c r="C29" s="15"/>
      <c r="D29" s="1"/>
      <c r="E29" s="1"/>
      <c r="F29" s="1"/>
      <c r="G29" s="67">
        <v>5000.0</v>
      </c>
      <c r="H29" s="2"/>
    </row>
    <row r="30" ht="15.75" customHeight="1">
      <c r="A30" s="1"/>
      <c r="B30" s="97" t="s">
        <v>4088</v>
      </c>
      <c r="C30" s="15"/>
      <c r="D30" s="1"/>
      <c r="E30" s="1"/>
      <c r="F30" s="1"/>
      <c r="G30" s="67">
        <v>67950.0</v>
      </c>
      <c r="H30" s="2"/>
    </row>
    <row r="31" ht="15.75" customHeight="1">
      <c r="A31" s="1"/>
      <c r="B31" s="97" t="s">
        <v>4089</v>
      </c>
      <c r="C31" s="15"/>
      <c r="D31" s="1"/>
      <c r="E31" s="1"/>
      <c r="F31" s="1"/>
      <c r="G31" s="67">
        <v>45000.0</v>
      </c>
      <c r="H31" s="2"/>
    </row>
    <row r="32" ht="15.75" customHeight="1">
      <c r="A32" s="1"/>
      <c r="B32" s="97" t="s">
        <v>4090</v>
      </c>
      <c r="C32" s="15"/>
      <c r="D32" s="1"/>
      <c r="E32" s="1"/>
      <c r="F32" s="1"/>
      <c r="G32" s="67">
        <v>160000.0</v>
      </c>
      <c r="H32" s="2"/>
    </row>
    <row r="33" ht="15.75" customHeight="1">
      <c r="A33" s="1"/>
      <c r="B33" s="97" t="s">
        <v>4091</v>
      </c>
      <c r="C33" s="15"/>
      <c r="D33" s="1"/>
      <c r="E33" s="1"/>
      <c r="F33" s="1"/>
      <c r="G33" s="67">
        <v>145000.0</v>
      </c>
      <c r="H33" s="2"/>
    </row>
    <row r="34" ht="15.75" customHeight="1">
      <c r="A34" s="1"/>
      <c r="B34" s="97" t="s">
        <v>4092</v>
      </c>
      <c r="C34" s="15"/>
      <c r="D34" s="1"/>
      <c r="E34" s="1"/>
      <c r="F34" s="1"/>
      <c r="G34" s="67">
        <v>31253.0</v>
      </c>
      <c r="H34" s="2"/>
    </row>
    <row r="35" ht="15.75" customHeight="1">
      <c r="A35" s="1"/>
      <c r="B35" s="4" t="s">
        <v>4093</v>
      </c>
      <c r="C35" s="15"/>
      <c r="D35" s="1"/>
      <c r="E35" s="1"/>
      <c r="F35" s="1"/>
      <c r="G35" s="67">
        <v>20000.0</v>
      </c>
      <c r="H35" s="2"/>
    </row>
    <row r="36" ht="15.75" customHeight="1">
      <c r="A36" s="1"/>
      <c r="B36" s="97" t="s">
        <v>4094</v>
      </c>
      <c r="C36" s="15"/>
      <c r="D36" s="1"/>
      <c r="E36" s="1"/>
      <c r="F36" s="1"/>
      <c r="G36" s="67">
        <v>5017.0</v>
      </c>
      <c r="H36" s="2"/>
    </row>
    <row r="37" ht="15.75" customHeight="1">
      <c r="A37" s="1"/>
      <c r="B37" s="97" t="s">
        <v>4095</v>
      </c>
      <c r="C37" s="15"/>
      <c r="D37" s="1"/>
      <c r="E37" s="1"/>
      <c r="F37" s="1"/>
      <c r="G37" s="67">
        <v>10000.0</v>
      </c>
      <c r="H37" s="2"/>
    </row>
    <row r="38" ht="15.75" customHeight="1">
      <c r="A38" s="1"/>
      <c r="B38" s="97" t="s">
        <v>4096</v>
      </c>
      <c r="C38" s="15"/>
      <c r="D38" s="1"/>
      <c r="E38" s="1"/>
      <c r="F38" s="1"/>
      <c r="G38" s="67">
        <v>6250.0</v>
      </c>
      <c r="H38" s="2"/>
    </row>
    <row r="39" ht="15.75" customHeight="1">
      <c r="A39" s="1"/>
      <c r="B39" s="97" t="s">
        <v>4097</v>
      </c>
      <c r="C39" s="15"/>
      <c r="D39" s="1"/>
      <c r="E39" s="1"/>
      <c r="F39" s="1"/>
      <c r="G39" s="67">
        <v>15544.0</v>
      </c>
      <c r="H39" s="2"/>
      <c r="J39" s="4"/>
      <c r="K39" s="15"/>
      <c r="L39" s="1"/>
      <c r="M39" s="1"/>
      <c r="N39" s="1"/>
    </row>
    <row r="40" ht="15.75" customHeight="1">
      <c r="A40" s="1"/>
      <c r="B40" s="97" t="s">
        <v>4098</v>
      </c>
      <c r="C40" s="15"/>
      <c r="D40" s="1"/>
      <c r="E40" s="1"/>
      <c r="F40" s="1"/>
      <c r="G40" s="67">
        <v>30000.0</v>
      </c>
      <c r="H40" s="2"/>
    </row>
    <row r="41" ht="15.75" customHeight="1">
      <c r="A41" s="1"/>
      <c r="B41" s="97" t="s">
        <v>4099</v>
      </c>
      <c r="C41" s="15"/>
      <c r="D41" s="1" t="s">
        <v>480</v>
      </c>
      <c r="E41" s="1"/>
      <c r="F41" s="1"/>
      <c r="G41" s="67">
        <v>9000.0</v>
      </c>
      <c r="H41" s="2"/>
    </row>
    <row r="42" ht="15.75" customHeight="1">
      <c r="A42" s="1"/>
      <c r="B42" s="97" t="s">
        <v>3649</v>
      </c>
      <c r="C42" s="15"/>
      <c r="D42" s="1"/>
      <c r="E42" s="1"/>
      <c r="F42" s="1"/>
      <c r="G42" s="67">
        <v>2500.0</v>
      </c>
      <c r="H42" s="2"/>
    </row>
    <row r="43" ht="15.75" customHeight="1">
      <c r="A43" s="1"/>
      <c r="B43" s="97" t="s">
        <v>4100</v>
      </c>
      <c r="C43" s="15"/>
      <c r="D43" s="1"/>
      <c r="E43" s="1"/>
      <c r="F43" s="1"/>
      <c r="G43" s="67">
        <v>1075.0</v>
      </c>
      <c r="H43" s="2"/>
    </row>
    <row r="44" ht="15.75" customHeight="1">
      <c r="A44" s="1"/>
      <c r="B44" s="97" t="s">
        <v>4101</v>
      </c>
      <c r="C44" s="15"/>
      <c r="D44" s="1"/>
      <c r="E44" s="1"/>
      <c r="F44" s="1"/>
      <c r="G44" s="67">
        <v>10000.0</v>
      </c>
      <c r="H44" s="2"/>
    </row>
    <row r="45" ht="15.75" customHeight="1">
      <c r="A45" s="1"/>
      <c r="B45" s="97" t="s">
        <v>4102</v>
      </c>
      <c r="C45" s="15"/>
      <c r="D45" s="1"/>
      <c r="E45" s="1"/>
      <c r="F45" s="1"/>
      <c r="G45" s="67">
        <v>25370.0</v>
      </c>
      <c r="H45" s="2"/>
    </row>
    <row r="46" ht="15.75" customHeight="1">
      <c r="A46" s="1"/>
      <c r="B46" s="97" t="s">
        <v>4103</v>
      </c>
      <c r="C46" s="15"/>
      <c r="D46" s="1"/>
      <c r="E46" s="1"/>
      <c r="F46" s="1"/>
      <c r="G46" s="67">
        <v>305000.0</v>
      </c>
      <c r="H46" s="2"/>
    </row>
    <row r="47" ht="15.75" customHeight="1">
      <c r="A47" s="1"/>
      <c r="B47" s="97" t="s">
        <v>4104</v>
      </c>
      <c r="C47" s="15"/>
      <c r="D47" s="1"/>
      <c r="E47" s="1"/>
      <c r="F47" s="1"/>
      <c r="G47" s="67">
        <v>2500.0</v>
      </c>
      <c r="H47" s="2"/>
    </row>
    <row r="48" ht="15.75" customHeight="1">
      <c r="A48" s="1"/>
      <c r="B48" s="97" t="s">
        <v>4105</v>
      </c>
      <c r="C48" s="15"/>
      <c r="D48" s="1"/>
      <c r="E48" s="1"/>
      <c r="F48" s="1"/>
      <c r="G48" s="67">
        <v>5000.0</v>
      </c>
      <c r="H48" s="2"/>
    </row>
    <row r="49" ht="15.75" customHeight="1">
      <c r="A49" s="1"/>
      <c r="B49" s="97" t="s">
        <v>4106</v>
      </c>
      <c r="C49" s="15"/>
      <c r="D49" s="1"/>
      <c r="E49" s="1"/>
      <c r="F49" s="1"/>
      <c r="G49" s="67">
        <v>160000.0</v>
      </c>
      <c r="H49" s="2"/>
    </row>
    <row r="50" ht="15.75" customHeight="1">
      <c r="A50" s="1"/>
      <c r="B50" s="97" t="s">
        <v>4107</v>
      </c>
      <c r="C50" s="15"/>
      <c r="D50" s="1"/>
      <c r="E50" s="1"/>
      <c r="F50" s="1"/>
      <c r="G50" s="67">
        <v>2000.0</v>
      </c>
      <c r="H50" s="2"/>
    </row>
    <row r="51" ht="15.75" customHeight="1">
      <c r="A51" s="1"/>
      <c r="B51" s="97" t="s">
        <v>4108</v>
      </c>
      <c r="C51" s="15"/>
      <c r="D51" s="1"/>
      <c r="E51" s="1"/>
      <c r="F51" s="1"/>
      <c r="G51" s="67">
        <v>200000.0</v>
      </c>
      <c r="H51" s="2"/>
    </row>
    <row r="52" ht="15.75" customHeight="1">
      <c r="A52" s="1"/>
      <c r="B52" s="97" t="s">
        <v>4109</v>
      </c>
      <c r="C52" s="15"/>
      <c r="D52" s="1"/>
      <c r="E52" s="1"/>
      <c r="F52" s="1"/>
      <c r="G52" s="67">
        <v>1600.0</v>
      </c>
      <c r="H52" s="2"/>
    </row>
    <row r="53" ht="15.75" customHeight="1">
      <c r="A53" s="1"/>
      <c r="B53" s="97" t="s">
        <v>3557</v>
      </c>
      <c r="C53" s="15"/>
      <c r="D53" s="1"/>
      <c r="E53" s="1"/>
      <c r="F53" s="1" t="s">
        <v>480</v>
      </c>
      <c r="G53" s="67">
        <v>60000.0</v>
      </c>
      <c r="H53" s="2"/>
    </row>
    <row r="54" ht="15.75" customHeight="1">
      <c r="A54" s="1"/>
      <c r="B54" s="97" t="s">
        <v>3396</v>
      </c>
      <c r="C54" s="15"/>
      <c r="D54" s="1"/>
      <c r="E54" s="1"/>
      <c r="F54" s="1"/>
      <c r="G54" s="67">
        <v>12000.0</v>
      </c>
      <c r="H54" s="2"/>
    </row>
    <row r="55" ht="15.75" customHeight="1">
      <c r="A55" s="1"/>
      <c r="B55" s="97" t="s">
        <v>4110</v>
      </c>
      <c r="C55" s="15"/>
      <c r="D55" s="1"/>
      <c r="E55" s="1"/>
      <c r="F55" s="1"/>
      <c r="G55" s="67">
        <v>1000000.0</v>
      </c>
      <c r="H55" s="2"/>
    </row>
    <row r="56" ht="15.75" customHeight="1">
      <c r="A56" s="1"/>
      <c r="B56" s="97" t="s">
        <v>4111</v>
      </c>
      <c r="C56" s="15"/>
      <c r="D56" s="1"/>
      <c r="E56" s="1"/>
      <c r="F56" s="1"/>
      <c r="G56" s="67">
        <v>9000.0</v>
      </c>
      <c r="H56" s="2"/>
    </row>
    <row r="57" ht="15.75" customHeight="1">
      <c r="A57" s="1"/>
      <c r="B57" s="97" t="s">
        <v>4112</v>
      </c>
      <c r="C57" s="15"/>
      <c r="D57" s="1"/>
      <c r="E57" s="1"/>
      <c r="F57" s="1"/>
      <c r="G57" s="67">
        <v>1000.0</v>
      </c>
      <c r="H57" s="2"/>
    </row>
    <row r="58" ht="15.75" customHeight="1">
      <c r="A58" s="1"/>
      <c r="B58" s="97" t="s">
        <v>4113</v>
      </c>
      <c r="C58" s="15"/>
      <c r="D58" s="1"/>
      <c r="E58" s="1"/>
      <c r="F58" s="1"/>
      <c r="G58" s="67">
        <v>212500.0</v>
      </c>
      <c r="H58" s="2"/>
    </row>
    <row r="59" ht="15.75" customHeight="1">
      <c r="A59" s="1"/>
      <c r="B59" s="97" t="s">
        <v>4114</v>
      </c>
      <c r="C59" s="15"/>
      <c r="D59" s="1"/>
      <c r="E59" s="1"/>
      <c r="F59" s="1"/>
      <c r="G59" s="67">
        <v>50000.0</v>
      </c>
      <c r="H59" s="2"/>
    </row>
    <row r="60" ht="15.75" customHeight="1">
      <c r="A60" s="1"/>
      <c r="B60" s="97" t="s">
        <v>4115</v>
      </c>
      <c r="C60" s="15"/>
      <c r="D60" s="1"/>
      <c r="E60" s="1"/>
      <c r="F60" s="1"/>
      <c r="G60" s="67">
        <v>50000.0</v>
      </c>
      <c r="H60" s="2"/>
    </row>
    <row r="61" ht="15.75" customHeight="1">
      <c r="A61" s="1"/>
      <c r="B61" s="97" t="s">
        <v>4116</v>
      </c>
      <c r="C61" s="15"/>
      <c r="D61" s="1"/>
      <c r="E61" s="1"/>
      <c r="F61" s="1"/>
      <c r="G61" s="67">
        <v>50000.0</v>
      </c>
      <c r="H61" s="2"/>
    </row>
    <row r="62" ht="15.75" customHeight="1">
      <c r="A62" s="1"/>
      <c r="B62" s="3" t="s">
        <v>43</v>
      </c>
      <c r="C62" s="1"/>
      <c r="D62" s="1"/>
      <c r="E62" s="1"/>
      <c r="F62" s="1"/>
      <c r="G62" s="54">
        <f>SUM(G25:G61)</f>
        <v>2915549</v>
      </c>
    </row>
    <row r="63" ht="15.75" customHeight="1">
      <c r="A63" s="1"/>
      <c r="B63" s="19" t="s">
        <v>45</v>
      </c>
      <c r="C63" s="20"/>
      <c r="D63" s="20"/>
      <c r="E63" s="20"/>
      <c r="F63" s="20"/>
      <c r="G63" s="102">
        <f>SUM(G23+G62)</f>
        <v>4285549</v>
      </c>
      <c r="H63" s="53"/>
    </row>
    <row r="64" ht="15.75" customHeight="1">
      <c r="A64" s="35" t="s">
        <v>3130</v>
      </c>
      <c r="B64" s="36" t="s">
        <v>3301</v>
      </c>
      <c r="C64" s="37"/>
      <c r="D64" s="82"/>
      <c r="E64" s="37"/>
      <c r="F64" s="37"/>
      <c r="G64" s="103">
        <f>SUM(G10-G63)</f>
        <v>3874401</v>
      </c>
      <c r="H64" s="53"/>
    </row>
    <row r="65" ht="15.75" customHeight="1">
      <c r="A65" s="22" t="s">
        <v>254</v>
      </c>
      <c r="B65" s="43" t="s">
        <v>255</v>
      </c>
      <c r="C65" s="1"/>
      <c r="D65" s="1"/>
      <c r="E65" s="1"/>
      <c r="F65" s="1"/>
      <c r="H65" s="2"/>
    </row>
    <row r="66" ht="15.75" customHeight="1">
      <c r="B66" s="43" t="s">
        <v>4117</v>
      </c>
      <c r="C66" s="1"/>
      <c r="D66" s="1"/>
      <c r="E66" s="1"/>
      <c r="F66" s="1"/>
      <c r="G66" s="67">
        <v>6750000.0</v>
      </c>
      <c r="H66" s="2"/>
    </row>
    <row r="67" ht="15.75" customHeight="1">
      <c r="B67" s="43" t="s">
        <v>4118</v>
      </c>
      <c r="C67" s="1"/>
      <c r="D67" s="1"/>
      <c r="E67" s="1"/>
      <c r="F67" s="1"/>
      <c r="G67" s="67">
        <v>1386500.0</v>
      </c>
      <c r="H67" s="2"/>
    </row>
    <row r="68" ht="15.75" customHeight="1">
      <c r="A68" s="22"/>
      <c r="B68" s="72" t="s">
        <v>51</v>
      </c>
      <c r="C68" s="27"/>
      <c r="D68" s="27"/>
      <c r="E68" s="27"/>
      <c r="F68" s="27"/>
      <c r="G68" s="104">
        <f>SUM(G66:G67)</f>
        <v>8136500</v>
      </c>
      <c r="H68" s="53"/>
    </row>
    <row r="69" ht="15.75" customHeight="1">
      <c r="A69" s="22"/>
      <c r="B69" s="91" t="s">
        <v>4119</v>
      </c>
      <c r="C69" s="45"/>
      <c r="D69" s="45"/>
      <c r="E69" s="46"/>
      <c r="F69" s="46"/>
      <c r="G69" s="140">
        <f>SUM(G2+G64-G68)</f>
        <v>28581493</v>
      </c>
      <c r="H69" s="53"/>
    </row>
    <row r="70" ht="15.75" customHeight="1">
      <c r="A70" s="22"/>
      <c r="B70" s="32" t="s">
        <v>3365</v>
      </c>
    </row>
    <row r="71" ht="15.75" customHeight="1">
      <c r="A71" s="22"/>
      <c r="B71" s="1"/>
      <c r="C71" s="1" t="s">
        <v>3137</v>
      </c>
      <c r="D71" s="1"/>
      <c r="E71" s="1"/>
      <c r="F71" s="1"/>
      <c r="H71" s="38">
        <v>71000.0</v>
      </c>
    </row>
    <row r="72" ht="15.75" customHeight="1">
      <c r="A72" s="22"/>
      <c r="B72" s="1"/>
      <c r="C72" s="1" t="s">
        <v>3218</v>
      </c>
      <c r="D72" s="1"/>
      <c r="E72" s="1"/>
      <c r="F72" s="1"/>
      <c r="H72" s="38">
        <v>1628550.0</v>
      </c>
    </row>
    <row r="73" ht="18.0" customHeight="1">
      <c r="A73" s="44"/>
      <c r="B73" s="1"/>
      <c r="C73" s="43" t="s">
        <v>115</v>
      </c>
      <c r="D73" s="1"/>
      <c r="E73" s="1"/>
      <c r="F73" s="1"/>
      <c r="H73" s="133">
        <f>SUM(H71+H72)</f>
        <v>1699550</v>
      </c>
    </row>
    <row r="74" ht="16.5" customHeight="1">
      <c r="A74" s="44"/>
      <c r="B74" s="43"/>
      <c r="C74" s="43"/>
      <c r="D74" s="1"/>
      <c r="E74" s="1"/>
      <c r="F74" s="1"/>
      <c r="G74" s="1"/>
    </row>
    <row r="75" ht="15.75" customHeight="1">
      <c r="A75" s="1"/>
      <c r="B75" s="33"/>
      <c r="C75" s="1"/>
      <c r="D75" s="1"/>
      <c r="E75" s="1"/>
      <c r="F75" s="1"/>
      <c r="G75" s="2"/>
    </row>
    <row r="76" ht="15.75" customHeight="1">
      <c r="A76" s="43" t="s">
        <v>3420</v>
      </c>
      <c r="B76" s="56"/>
      <c r="C76" s="56"/>
      <c r="D76" s="56"/>
      <c r="F76" s="93"/>
      <c r="G76" s="55"/>
    </row>
    <row r="77" ht="15.75" customHeight="1">
      <c r="A77" s="134" t="s">
        <v>4120</v>
      </c>
      <c r="B77" s="135"/>
      <c r="C77" s="135"/>
      <c r="D77" s="135"/>
      <c r="E77" s="136"/>
      <c r="F77" s="137"/>
      <c r="G77" s="138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</row>
    <row r="78" ht="15.75" customHeight="1">
      <c r="A78" s="43" t="s">
        <v>4022</v>
      </c>
      <c r="B78" s="107"/>
      <c r="C78" s="107"/>
      <c r="D78" s="55"/>
      <c r="G78" s="77"/>
    </row>
    <row r="79" ht="15.75" customHeight="1">
      <c r="A79" s="106" t="s">
        <v>4121</v>
      </c>
      <c r="B79" s="108"/>
      <c r="C79" s="109"/>
      <c r="D79" s="109"/>
      <c r="E79" s="109"/>
    </row>
    <row r="80" ht="15.75" customHeight="1">
      <c r="A80" s="107" t="s">
        <v>3054</v>
      </c>
      <c r="B80" s="109"/>
      <c r="C80" s="109"/>
      <c r="D80" s="109"/>
      <c r="E80" s="109"/>
      <c r="F80" s="108" t="s">
        <v>3227</v>
      </c>
      <c r="G80" s="109"/>
      <c r="H80" s="109"/>
    </row>
    <row r="81" ht="15.75" customHeight="1">
      <c r="A81" s="107" t="s">
        <v>3055</v>
      </c>
      <c r="B81" s="109"/>
      <c r="C81" s="109"/>
      <c r="D81" s="109"/>
      <c r="E81" s="109"/>
      <c r="F81" s="108" t="s">
        <v>3311</v>
      </c>
      <c r="G81" s="109"/>
      <c r="H81" s="109"/>
    </row>
    <row r="82" ht="15.75" customHeight="1">
      <c r="A82" s="139" t="s">
        <v>4122</v>
      </c>
      <c r="B82" s="109"/>
      <c r="C82" s="109"/>
      <c r="D82" s="109"/>
      <c r="E82" s="109"/>
      <c r="F82" s="125" t="s">
        <v>4123</v>
      </c>
      <c r="G82" s="109"/>
      <c r="H82" s="109"/>
    </row>
    <row r="83" ht="15.75" customHeight="1">
      <c r="A83" s="107" t="s">
        <v>3057</v>
      </c>
      <c r="B83" s="109"/>
      <c r="C83" s="109"/>
      <c r="D83" s="109"/>
      <c r="E83" s="109"/>
      <c r="F83" s="126" t="s">
        <v>3228</v>
      </c>
      <c r="G83" s="109"/>
      <c r="H83" s="109"/>
    </row>
    <row r="84" ht="15.75" customHeight="1">
      <c r="A84" s="108" t="s">
        <v>3313</v>
      </c>
    </row>
    <row r="85" ht="15.75" customHeight="1">
      <c r="A85" s="55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63:H63"/>
    <mergeCell ref="G64:H64"/>
    <mergeCell ref="G68:H68"/>
    <mergeCell ref="G69:H69"/>
    <mergeCell ref="B70:G70"/>
    <mergeCell ref="A2:F2"/>
    <mergeCell ref="G2:H2"/>
    <mergeCell ref="A9:B9"/>
    <mergeCell ref="B10:F10"/>
    <mergeCell ref="G10:H10"/>
    <mergeCell ref="G23:H23"/>
    <mergeCell ref="G62:H62"/>
  </mergeCells>
  <printOptions/>
  <pageMargins bottom="0.75" footer="0.0" header="0.0" left="0.7" right="0.7" top="0.75"/>
  <pageSetup paperSize="9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5.14"/>
    <col customWidth="1" min="4" max="4" width="11.29"/>
    <col customWidth="1" min="5" max="5" width="11.43"/>
    <col customWidth="1" min="6" max="6" width="10.29"/>
    <col customWidth="1" min="7" max="7" width="10.14"/>
    <col customWidth="1" min="8" max="8" width="9.14"/>
    <col customWidth="1" min="9" max="33" width="10.71"/>
  </cols>
  <sheetData>
    <row r="1" ht="24.75" customHeight="1">
      <c r="A1" s="1"/>
      <c r="B1" s="3"/>
      <c r="C1" s="3"/>
      <c r="D1" s="3"/>
      <c r="E1" s="3"/>
      <c r="F1" s="3"/>
      <c r="G1" s="3"/>
    </row>
    <row r="2" ht="24.75" customHeight="1">
      <c r="A2" s="1"/>
      <c r="B2" s="3"/>
      <c r="C2" s="3"/>
      <c r="D2" s="3"/>
      <c r="E2" s="3"/>
      <c r="F2" s="3"/>
      <c r="G2" s="3"/>
    </row>
    <row r="3" ht="24.75" customHeight="1">
      <c r="A3" s="1" t="s">
        <v>721</v>
      </c>
      <c r="B3" s="3" t="s">
        <v>4124</v>
      </c>
      <c r="C3" s="3"/>
      <c r="D3" s="3"/>
      <c r="E3" s="3"/>
      <c r="F3" s="3"/>
      <c r="G3" s="3"/>
    </row>
    <row r="4" ht="18.75" customHeight="1">
      <c r="A4" s="75" t="s">
        <v>4125</v>
      </c>
      <c r="G4" s="87" t="s">
        <v>480</v>
      </c>
      <c r="H4" s="53"/>
    </row>
    <row r="5">
      <c r="A5" s="141" t="s">
        <v>4126</v>
      </c>
      <c r="B5" s="1"/>
      <c r="C5" s="1"/>
      <c r="D5" s="1" t="s">
        <v>3001</v>
      </c>
      <c r="E5" s="50" t="s">
        <v>3428</v>
      </c>
      <c r="F5" s="50" t="s">
        <v>3003</v>
      </c>
      <c r="G5" s="85" t="s">
        <v>3004</v>
      </c>
      <c r="H5" s="67" t="s">
        <v>3146</v>
      </c>
    </row>
    <row r="6">
      <c r="A6" s="1"/>
      <c r="B6" s="4" t="s">
        <v>63</v>
      </c>
      <c r="C6" s="1"/>
      <c r="D6" s="142">
        <v>67500.0</v>
      </c>
      <c r="E6" s="142">
        <v>124000.0</v>
      </c>
      <c r="F6" s="142">
        <v>87500.0</v>
      </c>
      <c r="G6" s="143">
        <v>1103600.0</v>
      </c>
      <c r="H6" s="127">
        <v>65000.0</v>
      </c>
    </row>
    <row r="7">
      <c r="A7" s="1"/>
      <c r="B7" s="4" t="s">
        <v>64</v>
      </c>
      <c r="C7" s="1"/>
      <c r="D7" s="142">
        <v>101000.0</v>
      </c>
      <c r="E7" s="142">
        <v>170000.0</v>
      </c>
      <c r="F7" s="142">
        <v>180000.0</v>
      </c>
      <c r="G7" s="143">
        <v>1771400.0</v>
      </c>
      <c r="H7" s="142">
        <v>146000.0</v>
      </c>
    </row>
    <row r="8">
      <c r="A8" s="1"/>
      <c r="B8" s="4" t="s">
        <v>65</v>
      </c>
      <c r="C8" s="1"/>
      <c r="D8" s="142">
        <v>117000.0</v>
      </c>
      <c r="E8" s="142">
        <v>156000.0</v>
      </c>
      <c r="F8" s="142">
        <v>280000.0</v>
      </c>
      <c r="G8" s="143">
        <v>2059200.0</v>
      </c>
      <c r="H8" s="142">
        <v>189000.0</v>
      </c>
    </row>
    <row r="9">
      <c r="A9" s="1"/>
      <c r="B9" s="97" t="s">
        <v>4081</v>
      </c>
      <c r="C9" s="1"/>
      <c r="D9" s="142">
        <v>74500.0</v>
      </c>
      <c r="E9" s="142">
        <v>166000.0</v>
      </c>
      <c r="F9" s="142">
        <v>260000.0</v>
      </c>
      <c r="G9" s="144">
        <v>1617300.0</v>
      </c>
      <c r="H9" s="142">
        <v>115000.0</v>
      </c>
      <c r="J9" s="2"/>
    </row>
    <row r="10">
      <c r="A10" s="50"/>
      <c r="B10" s="4" t="s">
        <v>3963</v>
      </c>
      <c r="C10" s="1"/>
      <c r="D10" s="127">
        <v>125500.0</v>
      </c>
      <c r="E10" s="127">
        <v>92000.0</v>
      </c>
      <c r="F10" s="127">
        <v>190000.0</v>
      </c>
      <c r="G10" s="127">
        <v>1334500.0</v>
      </c>
      <c r="H10" s="127">
        <v>80000.0</v>
      </c>
    </row>
    <row r="11">
      <c r="A11" s="50" t="s">
        <v>405</v>
      </c>
      <c r="D11" s="127">
        <f t="shared" ref="D11:H11" si="1">SUM(D6:D10)</f>
        <v>485500</v>
      </c>
      <c r="E11" s="127">
        <f t="shared" si="1"/>
        <v>708000</v>
      </c>
      <c r="F11" s="127">
        <f t="shared" si="1"/>
        <v>997500</v>
      </c>
      <c r="G11" s="127">
        <f t="shared" si="1"/>
        <v>7886000</v>
      </c>
      <c r="H11" s="60">
        <f t="shared" si="1"/>
        <v>595000</v>
      </c>
    </row>
    <row r="12">
      <c r="A12" s="1"/>
      <c r="B12" s="51" t="s">
        <v>9</v>
      </c>
      <c r="C12" s="52"/>
      <c r="D12" s="52"/>
      <c r="E12" s="52"/>
      <c r="F12" s="53"/>
      <c r="G12" s="100">
        <f>SUM(D11:H11)</f>
        <v>10672000</v>
      </c>
      <c r="H12" s="53"/>
    </row>
    <row r="13">
      <c r="A13" s="6" t="s">
        <v>4127</v>
      </c>
      <c r="B13" s="1"/>
      <c r="C13" s="1"/>
      <c r="D13" s="1"/>
      <c r="E13" s="1"/>
      <c r="F13" s="1"/>
      <c r="G13" s="2" t="s">
        <v>480</v>
      </c>
    </row>
    <row r="14">
      <c r="A14" s="1"/>
      <c r="B14" s="12" t="s">
        <v>3373</v>
      </c>
      <c r="C14" s="1"/>
      <c r="D14" s="1"/>
      <c r="E14" s="1"/>
      <c r="F14" s="1"/>
      <c r="G14" s="2"/>
    </row>
    <row r="15">
      <c r="A15" s="1"/>
      <c r="B15" s="4" t="s">
        <v>3494</v>
      </c>
      <c r="C15" s="1"/>
      <c r="D15" s="1"/>
      <c r="E15" s="1"/>
      <c r="F15" s="1"/>
      <c r="G15" s="99">
        <v>415000.0</v>
      </c>
      <c r="H15" s="77"/>
      <c r="N15" s="99" t="s">
        <v>480</v>
      </c>
    </row>
    <row r="16">
      <c r="A16" s="1"/>
      <c r="B16" s="4" t="s">
        <v>3234</v>
      </c>
      <c r="C16" s="1"/>
      <c r="D16" s="1"/>
      <c r="E16" s="1"/>
      <c r="F16" s="1"/>
      <c r="G16" s="99">
        <v>250000.0</v>
      </c>
      <c r="H16" s="77"/>
      <c r="M16" s="67" t="s">
        <v>2139</v>
      </c>
    </row>
    <row r="17">
      <c r="A17" s="1"/>
      <c r="B17" s="4" t="s">
        <v>3318</v>
      </c>
      <c r="C17" s="1"/>
      <c r="D17" s="1"/>
      <c r="E17" s="1"/>
      <c r="F17" s="1"/>
      <c r="G17" s="99">
        <v>100000.0</v>
      </c>
      <c r="H17" s="77"/>
      <c r="L17" s="67" t="s">
        <v>480</v>
      </c>
    </row>
    <row r="18">
      <c r="A18" s="1"/>
      <c r="B18" s="4" t="s">
        <v>3150</v>
      </c>
      <c r="C18" s="1"/>
      <c r="D18" s="1"/>
      <c r="E18" s="1"/>
      <c r="F18" s="1"/>
      <c r="G18" s="99">
        <v>80000.0</v>
      </c>
      <c r="H18" s="77"/>
      <c r="L18" s="67" t="s">
        <v>1585</v>
      </c>
    </row>
    <row r="19">
      <c r="A19" s="1"/>
      <c r="B19" s="4" t="s">
        <v>3236</v>
      </c>
      <c r="C19" s="1"/>
      <c r="D19" s="1"/>
      <c r="E19" s="1"/>
      <c r="F19" s="1"/>
      <c r="G19" s="99">
        <v>100000.0</v>
      </c>
      <c r="H19" s="77"/>
    </row>
    <row r="20">
      <c r="A20" s="1"/>
      <c r="B20" s="4" t="s">
        <v>3237</v>
      </c>
      <c r="C20" s="1"/>
      <c r="D20" s="1"/>
      <c r="E20" s="1"/>
      <c r="F20" s="1"/>
      <c r="G20" s="99">
        <v>175000.0</v>
      </c>
      <c r="H20" s="77"/>
    </row>
    <row r="21">
      <c r="A21" s="1"/>
      <c r="B21" s="4" t="s">
        <v>3965</v>
      </c>
      <c r="C21" s="1"/>
      <c r="D21" s="1"/>
      <c r="E21" s="1"/>
      <c r="F21" s="1"/>
      <c r="G21" s="99">
        <v>80000.0</v>
      </c>
      <c r="H21" s="77"/>
    </row>
    <row r="22">
      <c r="A22" s="1"/>
      <c r="B22" s="4" t="s">
        <v>3238</v>
      </c>
      <c r="C22" s="1"/>
      <c r="D22" s="1"/>
      <c r="E22" s="1"/>
      <c r="F22" s="1"/>
      <c r="G22" s="99">
        <v>175000.0</v>
      </c>
      <c r="H22" s="77"/>
    </row>
    <row r="23">
      <c r="A23" s="1"/>
      <c r="B23" s="4" t="s">
        <v>3966</v>
      </c>
      <c r="C23" s="1"/>
      <c r="D23" s="1"/>
      <c r="E23" s="1"/>
      <c r="F23" s="1"/>
      <c r="G23" s="99">
        <v>150000.0</v>
      </c>
      <c r="H23" s="77"/>
    </row>
    <row r="24" ht="15.75" customHeight="1">
      <c r="A24" s="1"/>
      <c r="B24" s="4" t="s">
        <v>4029</v>
      </c>
      <c r="C24" s="1"/>
      <c r="D24" s="1"/>
      <c r="E24" s="1"/>
      <c r="F24" s="1"/>
      <c r="G24" s="99">
        <v>70000.0</v>
      </c>
      <c r="H24" s="77"/>
    </row>
    <row r="25" ht="15.75" customHeight="1">
      <c r="A25" s="1"/>
      <c r="B25" s="9" t="s">
        <v>3432</v>
      </c>
      <c r="C25" s="10"/>
      <c r="D25" s="10"/>
      <c r="E25" s="10"/>
      <c r="F25" s="10"/>
      <c r="G25" s="145">
        <v>1595000.0</v>
      </c>
      <c r="H25" s="53"/>
    </row>
    <row r="26" ht="15.75" customHeight="1">
      <c r="A26" s="1"/>
      <c r="B26" s="12" t="s">
        <v>19</v>
      </c>
      <c r="C26" s="15"/>
      <c r="D26" s="1"/>
      <c r="E26" s="1"/>
      <c r="F26" s="1"/>
    </row>
    <row r="27" ht="15.75" customHeight="1">
      <c r="A27" s="1"/>
      <c r="B27" s="97" t="s">
        <v>4128</v>
      </c>
      <c r="C27" s="15"/>
      <c r="D27" s="1"/>
      <c r="E27" s="1"/>
      <c r="F27" s="1"/>
      <c r="G27" s="67">
        <v>60000.0</v>
      </c>
    </row>
    <row r="28" ht="15.75" customHeight="1">
      <c r="A28" s="1"/>
      <c r="B28" s="97" t="s">
        <v>4129</v>
      </c>
      <c r="C28" s="15"/>
      <c r="D28" s="1"/>
      <c r="E28" s="1"/>
      <c r="F28" s="1"/>
      <c r="G28" s="67">
        <v>16400.0</v>
      </c>
    </row>
    <row r="29" ht="15.75" customHeight="1">
      <c r="A29" s="1"/>
      <c r="B29" s="97" t="s">
        <v>4130</v>
      </c>
      <c r="C29" s="146"/>
      <c r="D29" s="147"/>
      <c r="E29" s="1"/>
      <c r="F29" s="1"/>
      <c r="G29" s="60">
        <v>9000.0</v>
      </c>
    </row>
    <row r="30" ht="15.75" customHeight="1">
      <c r="A30" s="1"/>
      <c r="B30" s="97" t="s">
        <v>4131</v>
      </c>
      <c r="C30" s="15"/>
      <c r="D30" s="147"/>
      <c r="E30" s="1"/>
      <c r="F30" s="1"/>
      <c r="G30" s="67">
        <v>18500.0</v>
      </c>
      <c r="H30" s="2"/>
    </row>
    <row r="31" ht="15.75" customHeight="1">
      <c r="A31" s="1"/>
      <c r="B31" s="97" t="s">
        <v>4132</v>
      </c>
      <c r="C31" s="15"/>
      <c r="D31" s="1"/>
      <c r="E31" s="1"/>
      <c r="F31" s="1"/>
      <c r="G31" s="67">
        <v>6250.0</v>
      </c>
      <c r="H31" s="2"/>
    </row>
    <row r="32" ht="15.75" customHeight="1">
      <c r="A32" s="1"/>
      <c r="B32" s="97" t="s">
        <v>4133</v>
      </c>
      <c r="C32" s="15"/>
      <c r="D32" s="1"/>
      <c r="E32" s="1"/>
      <c r="F32" s="1"/>
      <c r="G32" s="67">
        <v>2100.0</v>
      </c>
      <c r="H32" s="2"/>
    </row>
    <row r="33" ht="15.75" customHeight="1">
      <c r="A33" s="1"/>
      <c r="B33" s="97" t="s">
        <v>4134</v>
      </c>
      <c r="C33" s="15"/>
      <c r="D33" s="1"/>
      <c r="E33" s="1"/>
      <c r="F33" s="1"/>
      <c r="G33" s="67">
        <v>5000.0</v>
      </c>
      <c r="H33" s="2"/>
    </row>
    <row r="34" ht="15.75" customHeight="1">
      <c r="A34" s="1"/>
      <c r="B34" s="97" t="s">
        <v>4135</v>
      </c>
      <c r="C34" s="15"/>
      <c r="D34" s="1"/>
      <c r="E34" s="1"/>
      <c r="F34" s="1"/>
      <c r="G34" s="67">
        <v>50000.0</v>
      </c>
      <c r="H34" s="2"/>
    </row>
    <row r="35" ht="15.75" customHeight="1">
      <c r="A35" s="1"/>
      <c r="B35" s="97" t="s">
        <v>4136</v>
      </c>
      <c r="C35" s="15"/>
      <c r="D35" s="1"/>
      <c r="E35" s="1"/>
      <c r="F35" s="1"/>
      <c r="G35" s="67">
        <v>9500.0</v>
      </c>
      <c r="H35" s="2"/>
    </row>
    <row r="36" ht="15.75" customHeight="1">
      <c r="A36" s="1"/>
      <c r="B36" s="97" t="s">
        <v>4137</v>
      </c>
      <c r="C36" s="15"/>
      <c r="D36" s="1"/>
      <c r="E36" s="1"/>
      <c r="F36" s="1"/>
      <c r="G36" s="67">
        <v>39167.0</v>
      </c>
      <c r="H36" s="2"/>
    </row>
    <row r="37" ht="15.75" customHeight="1">
      <c r="A37" s="1"/>
      <c r="B37" s="97" t="s">
        <v>4138</v>
      </c>
      <c r="C37" s="15"/>
      <c r="D37" s="1"/>
      <c r="E37" s="1"/>
      <c r="F37" s="1"/>
      <c r="G37" s="67">
        <v>1370.0</v>
      </c>
      <c r="H37" s="2"/>
    </row>
    <row r="38" ht="15.75" customHeight="1">
      <c r="A38" s="1"/>
      <c r="B38" s="97" t="s">
        <v>4139</v>
      </c>
      <c r="C38" s="15"/>
      <c r="D38" s="1"/>
      <c r="E38" s="1"/>
      <c r="F38" s="1"/>
      <c r="G38" s="67">
        <v>2000.0</v>
      </c>
      <c r="H38" s="2"/>
    </row>
    <row r="39" ht="15.75" customHeight="1">
      <c r="A39" s="1"/>
      <c r="B39" s="97" t="s">
        <v>4140</v>
      </c>
      <c r="C39" s="15"/>
      <c r="D39" s="1"/>
      <c r="E39" s="1"/>
      <c r="F39" s="1"/>
      <c r="G39" s="99">
        <v>52500.0</v>
      </c>
      <c r="H39" s="2"/>
    </row>
    <row r="40" ht="15.75" customHeight="1">
      <c r="A40" s="1"/>
      <c r="B40" s="97" t="s">
        <v>4141</v>
      </c>
      <c r="C40" s="15"/>
      <c r="D40" s="1"/>
      <c r="E40" s="1"/>
      <c r="F40" s="1"/>
      <c r="G40" s="99">
        <v>4529.0</v>
      </c>
      <c r="H40" s="2"/>
    </row>
    <row r="41" ht="15.75" customHeight="1">
      <c r="A41" s="1"/>
      <c r="B41" s="97" t="s">
        <v>4142</v>
      </c>
      <c r="C41" s="15"/>
      <c r="D41" s="1"/>
      <c r="E41" s="1"/>
      <c r="F41" s="1"/>
      <c r="G41" s="99">
        <v>275000.0</v>
      </c>
      <c r="H41" s="2"/>
    </row>
    <row r="42" ht="15.75" customHeight="1">
      <c r="A42" s="1"/>
      <c r="B42" s="97" t="s">
        <v>4143</v>
      </c>
      <c r="C42" s="15"/>
      <c r="D42" s="1"/>
      <c r="E42" s="1"/>
      <c r="F42" s="1"/>
      <c r="G42" s="67">
        <v>7000.0</v>
      </c>
      <c r="H42" s="2"/>
    </row>
    <row r="43" ht="15.75" customHeight="1">
      <c r="A43" s="1"/>
      <c r="B43" s="97" t="s">
        <v>4144</v>
      </c>
      <c r="C43" s="15"/>
      <c r="D43" s="1"/>
      <c r="E43" s="1"/>
      <c r="F43" s="1"/>
      <c r="G43" s="67">
        <v>12000.0</v>
      </c>
      <c r="H43" s="2"/>
    </row>
    <row r="44" ht="15.75" customHeight="1">
      <c r="A44" s="1"/>
      <c r="B44" s="97" t="s">
        <v>4145</v>
      </c>
      <c r="C44" s="15"/>
      <c r="D44" s="1"/>
      <c r="E44" s="1"/>
      <c r="F44" s="1"/>
      <c r="G44" s="67">
        <v>67950.0</v>
      </c>
      <c r="H44" s="2"/>
    </row>
    <row r="45" ht="15.75" customHeight="1">
      <c r="A45" s="1"/>
      <c r="B45" s="97" t="s">
        <v>4146</v>
      </c>
      <c r="C45" s="15"/>
      <c r="D45" s="1"/>
      <c r="E45" s="1"/>
      <c r="F45" s="1"/>
      <c r="G45" s="67">
        <v>2000.0</v>
      </c>
      <c r="H45" s="2"/>
    </row>
    <row r="46" ht="15.75" customHeight="1">
      <c r="A46" s="1"/>
      <c r="B46" s="97" t="s">
        <v>4147</v>
      </c>
      <c r="C46" s="15"/>
      <c r="D46" s="1"/>
      <c r="E46" s="1"/>
      <c r="F46" s="1"/>
      <c r="G46" s="67">
        <v>6940.0</v>
      </c>
      <c r="H46" s="2"/>
    </row>
    <row r="47" ht="15.75" customHeight="1">
      <c r="A47" s="1"/>
      <c r="B47" s="97" t="s">
        <v>4148</v>
      </c>
      <c r="C47" s="15"/>
      <c r="D47" s="1"/>
      <c r="E47" s="1"/>
      <c r="F47" s="1"/>
      <c r="G47" s="99">
        <v>6000.0</v>
      </c>
      <c r="H47" s="2"/>
    </row>
    <row r="48" ht="15.75" customHeight="1">
      <c r="A48" s="1"/>
      <c r="B48" s="97" t="s">
        <v>4149</v>
      </c>
      <c r="C48" s="15"/>
      <c r="D48" s="1"/>
      <c r="E48" s="1"/>
      <c r="F48" s="1"/>
      <c r="G48" s="99">
        <v>100000.0</v>
      </c>
      <c r="H48" s="2"/>
    </row>
    <row r="49" ht="15.75" customHeight="1">
      <c r="A49" s="1"/>
      <c r="B49" s="97" t="s">
        <v>4150</v>
      </c>
      <c r="C49" s="15"/>
      <c r="D49" s="1"/>
      <c r="E49" s="1"/>
      <c r="F49" s="1"/>
      <c r="G49" s="99">
        <v>15000.0</v>
      </c>
      <c r="H49" s="2"/>
    </row>
    <row r="50" ht="15.75" customHeight="1">
      <c r="A50" s="1"/>
      <c r="B50" s="97" t="s">
        <v>4151</v>
      </c>
      <c r="C50" s="15"/>
      <c r="D50" s="1"/>
      <c r="E50" s="1"/>
      <c r="F50" s="1"/>
      <c r="G50" s="99">
        <v>282000.0</v>
      </c>
      <c r="H50" s="2"/>
    </row>
    <row r="51" ht="15.75" customHeight="1">
      <c r="A51" s="1"/>
      <c r="B51" s="97" t="s">
        <v>4152</v>
      </c>
      <c r="C51" s="15"/>
      <c r="D51" s="1"/>
      <c r="E51" s="1"/>
      <c r="F51" s="1"/>
      <c r="G51" s="99">
        <v>100000.0</v>
      </c>
      <c r="H51" s="2"/>
    </row>
    <row r="52" ht="15.75" customHeight="1">
      <c r="A52" s="1"/>
      <c r="B52" s="97" t="s">
        <v>4153</v>
      </c>
      <c r="C52" s="15"/>
      <c r="D52" s="1"/>
      <c r="E52" s="1"/>
      <c r="F52" s="1"/>
      <c r="G52" s="99">
        <v>9800.0</v>
      </c>
      <c r="H52" s="2"/>
    </row>
    <row r="53" ht="15.75" customHeight="1">
      <c r="A53" s="1"/>
      <c r="B53" s="97" t="s">
        <v>4154</v>
      </c>
      <c r="C53" s="15"/>
      <c r="D53" s="1"/>
      <c r="E53" s="1"/>
      <c r="F53" s="1"/>
      <c r="G53" s="99">
        <v>15000.0</v>
      </c>
      <c r="H53" s="2"/>
    </row>
    <row r="54" ht="15.75" customHeight="1">
      <c r="A54" s="1"/>
      <c r="B54" s="97" t="s">
        <v>4155</v>
      </c>
      <c r="C54" s="15"/>
      <c r="D54" s="1"/>
      <c r="E54" s="1"/>
      <c r="F54" s="1"/>
      <c r="G54" s="99">
        <v>75000.0</v>
      </c>
      <c r="H54" s="2"/>
    </row>
    <row r="55" ht="15.75" customHeight="1">
      <c r="A55" s="1"/>
      <c r="B55" s="97" t="s">
        <v>4156</v>
      </c>
      <c r="C55" s="15"/>
      <c r="D55" s="1"/>
      <c r="E55" s="1"/>
      <c r="F55" s="1"/>
      <c r="G55" s="99">
        <v>12000.0</v>
      </c>
      <c r="H55" s="2"/>
    </row>
    <row r="56" ht="15.75" customHeight="1">
      <c r="A56" s="1"/>
      <c r="B56" s="97" t="s">
        <v>4157</v>
      </c>
      <c r="C56" s="15"/>
      <c r="D56" s="1"/>
      <c r="E56" s="1"/>
      <c r="F56" s="1"/>
      <c r="G56" s="99">
        <v>104000.0</v>
      </c>
      <c r="H56" s="2"/>
    </row>
    <row r="57" ht="15.75" customHeight="1">
      <c r="A57" s="1"/>
      <c r="B57" s="97" t="s">
        <v>4158</v>
      </c>
      <c r="C57" s="15"/>
      <c r="D57" s="1"/>
      <c r="E57" s="1"/>
      <c r="F57" s="1"/>
      <c r="G57" s="99">
        <v>30000.0</v>
      </c>
      <c r="H57" s="2"/>
    </row>
    <row r="58" ht="15.75" customHeight="1">
      <c r="A58" s="1"/>
      <c r="B58" s="97" t="s">
        <v>4159</v>
      </c>
      <c r="C58" s="15"/>
      <c r="D58" s="1"/>
      <c r="E58" s="1"/>
      <c r="F58" s="1"/>
      <c r="G58" s="99">
        <v>55000.0</v>
      </c>
      <c r="H58" s="2"/>
    </row>
    <row r="59" ht="15.75" customHeight="1">
      <c r="A59" s="1"/>
      <c r="B59" s="97" t="s">
        <v>4160</v>
      </c>
      <c r="C59" s="15"/>
      <c r="D59" s="1"/>
      <c r="E59" s="1"/>
      <c r="F59" s="1"/>
      <c r="G59" s="99">
        <v>2000.0</v>
      </c>
      <c r="H59" s="2"/>
    </row>
    <row r="60" ht="15.75" customHeight="1">
      <c r="A60" s="1"/>
      <c r="B60" s="97" t="s">
        <v>4161</v>
      </c>
      <c r="C60" s="15"/>
      <c r="D60" s="1"/>
      <c r="E60" s="1"/>
      <c r="F60" s="1"/>
      <c r="G60" s="99">
        <v>30000.0</v>
      </c>
      <c r="H60" s="2"/>
    </row>
    <row r="61" ht="15.75" customHeight="1">
      <c r="A61" s="1"/>
      <c r="B61" s="97" t="s">
        <v>4162</v>
      </c>
      <c r="C61" s="15"/>
      <c r="D61" s="1"/>
      <c r="E61" s="1"/>
      <c r="F61" s="1"/>
      <c r="G61" s="99">
        <v>217000.0</v>
      </c>
      <c r="H61" s="2"/>
    </row>
    <row r="62" ht="15.75" customHeight="1">
      <c r="A62" s="1"/>
      <c r="B62" s="97" t="s">
        <v>4163</v>
      </c>
      <c r="C62" s="15"/>
      <c r="D62" s="1"/>
      <c r="E62" s="1"/>
      <c r="F62" s="1"/>
      <c r="G62" s="99">
        <v>5000.0</v>
      </c>
      <c r="H62" s="2"/>
      <c r="J62" s="148"/>
      <c r="M62" s="149"/>
    </row>
    <row r="63" ht="15.75" customHeight="1">
      <c r="A63" s="1"/>
      <c r="B63" s="97" t="s">
        <v>4164</v>
      </c>
      <c r="C63" s="15"/>
      <c r="D63" s="1"/>
      <c r="E63" s="1"/>
      <c r="F63" s="1"/>
      <c r="G63" s="99">
        <v>90000.0</v>
      </c>
      <c r="H63" s="2"/>
    </row>
    <row r="64" ht="15.75" customHeight="1">
      <c r="A64" s="1"/>
      <c r="B64" s="97" t="s">
        <v>4165</v>
      </c>
      <c r="C64" s="15"/>
      <c r="D64" s="1"/>
      <c r="E64" s="1"/>
      <c r="F64" s="1"/>
      <c r="G64" s="99">
        <v>3000.0</v>
      </c>
      <c r="H64" s="2"/>
    </row>
    <row r="65" ht="15.75" customHeight="1">
      <c r="A65" s="1"/>
      <c r="B65" s="97" t="s">
        <v>4166</v>
      </c>
      <c r="C65" s="15"/>
      <c r="D65" s="1"/>
      <c r="E65" s="150">
        <v>46133.0</v>
      </c>
      <c r="F65" s="1"/>
      <c r="G65" s="99">
        <v>362500.0</v>
      </c>
      <c r="H65" s="2"/>
    </row>
    <row r="66" ht="15.75" customHeight="1">
      <c r="A66" s="1"/>
      <c r="B66" s="97" t="s">
        <v>4167</v>
      </c>
      <c r="C66" s="151">
        <v>46133.0</v>
      </c>
      <c r="D66" s="1"/>
      <c r="E66" s="1"/>
      <c r="F66" s="1"/>
      <c r="G66" s="99">
        <v>18000.0</v>
      </c>
      <c r="H66" s="2"/>
    </row>
    <row r="67" ht="15.75" customHeight="1">
      <c r="A67" s="1"/>
      <c r="B67" s="97" t="s">
        <v>4168</v>
      </c>
      <c r="C67" s="15"/>
      <c r="D67" s="1"/>
      <c r="E67" s="1"/>
      <c r="F67" s="1"/>
      <c r="G67" s="99">
        <v>60000.0</v>
      </c>
      <c r="H67" s="2"/>
    </row>
    <row r="68" ht="15.75" customHeight="1">
      <c r="A68" s="1"/>
      <c r="B68" s="97" t="s">
        <v>4169</v>
      </c>
      <c r="C68" s="15"/>
      <c r="D68" s="1"/>
      <c r="E68" s="1"/>
      <c r="F68" s="1"/>
      <c r="G68" s="99">
        <v>10000.0</v>
      </c>
      <c r="H68" s="2"/>
    </row>
    <row r="69" ht="15.75" customHeight="1">
      <c r="A69" s="1"/>
      <c r="B69" s="152" t="s">
        <v>4170</v>
      </c>
      <c r="C69" s="93"/>
      <c r="D69" s="93"/>
      <c r="E69" s="93"/>
      <c r="F69" s="111" t="s">
        <v>1585</v>
      </c>
      <c r="G69" s="153">
        <v>122000.0</v>
      </c>
      <c r="H69" s="54"/>
    </row>
    <row r="70" ht="15.75" customHeight="1">
      <c r="A70" s="1"/>
      <c r="B70" s="152" t="s">
        <v>4171</v>
      </c>
      <c r="C70" s="1"/>
      <c r="D70" s="1"/>
      <c r="E70" s="1"/>
      <c r="F70" s="1"/>
      <c r="G70" s="153">
        <v>2350.0</v>
      </c>
      <c r="H70" s="54"/>
    </row>
    <row r="71" ht="15.75" customHeight="1">
      <c r="A71" s="1"/>
      <c r="B71" s="152" t="s">
        <v>4172</v>
      </c>
      <c r="C71" s="93"/>
      <c r="D71" s="93"/>
      <c r="E71" s="93"/>
      <c r="F71" s="1"/>
      <c r="G71" s="153">
        <v>52392.0</v>
      </c>
      <c r="H71" s="54"/>
    </row>
    <row r="72" ht="15.75" customHeight="1">
      <c r="A72" s="1"/>
      <c r="B72" s="152" t="s">
        <v>4173</v>
      </c>
      <c r="C72" s="93"/>
      <c r="D72" s="93"/>
      <c r="E72" s="93"/>
      <c r="F72" s="1"/>
      <c r="G72" s="153">
        <v>75000.0</v>
      </c>
      <c r="H72" s="54"/>
    </row>
    <row r="73" ht="15.75" customHeight="1">
      <c r="A73" s="1"/>
      <c r="B73" s="154" t="s">
        <v>4174</v>
      </c>
      <c r="C73" s="1"/>
      <c r="D73" s="1"/>
      <c r="E73" s="1"/>
      <c r="F73" s="1"/>
      <c r="G73" s="153">
        <v>127000.0</v>
      </c>
      <c r="H73" s="54"/>
    </row>
    <row r="74" ht="15.75" customHeight="1">
      <c r="A74" s="1"/>
      <c r="B74" s="154" t="s">
        <v>4175</v>
      </c>
      <c r="C74" s="1"/>
      <c r="D74" s="1"/>
      <c r="E74" s="1"/>
      <c r="F74" s="1"/>
      <c r="G74" s="153">
        <v>73000.0</v>
      </c>
      <c r="H74" s="54"/>
    </row>
    <row r="75" ht="15.75" customHeight="1">
      <c r="A75" s="1"/>
      <c r="B75" s="152" t="s">
        <v>4176</v>
      </c>
      <c r="C75" s="1"/>
      <c r="D75" s="1"/>
      <c r="E75" s="1"/>
      <c r="F75" s="1"/>
      <c r="G75" s="153">
        <v>47000.0</v>
      </c>
      <c r="H75" s="54"/>
    </row>
    <row r="76" ht="15.75" customHeight="1">
      <c r="A76" s="1"/>
      <c r="B76" s="154" t="s">
        <v>4177</v>
      </c>
      <c r="C76" s="1"/>
      <c r="D76" s="1"/>
      <c r="E76" s="1"/>
      <c r="F76" s="1"/>
      <c r="G76" s="153">
        <v>40400.0</v>
      </c>
      <c r="H76" s="54"/>
    </row>
    <row r="77" ht="15.75" customHeight="1">
      <c r="A77" s="1"/>
      <c r="B77" s="154" t="s">
        <v>4178</v>
      </c>
      <c r="C77" s="1"/>
      <c r="D77" s="1"/>
      <c r="E77" s="1"/>
      <c r="F77" s="1"/>
      <c r="G77" s="153">
        <v>6000.0</v>
      </c>
      <c r="H77" s="54"/>
    </row>
    <row r="78" ht="15.75" customHeight="1">
      <c r="A78" s="1"/>
      <c r="B78" s="154" t="s">
        <v>4179</v>
      </c>
      <c r="C78" s="1"/>
      <c r="D78" s="1"/>
      <c r="E78" s="1"/>
      <c r="F78" s="1"/>
      <c r="G78" s="153">
        <v>210000.0</v>
      </c>
      <c r="H78" s="54"/>
    </row>
    <row r="79" ht="15.75" customHeight="1">
      <c r="A79" s="1"/>
      <c r="B79" s="154" t="s">
        <v>4180</v>
      </c>
      <c r="C79" s="1"/>
      <c r="D79" s="1"/>
      <c r="E79" s="1"/>
      <c r="F79" s="1"/>
      <c r="G79" s="153">
        <v>242000.0</v>
      </c>
      <c r="H79" s="54"/>
    </row>
    <row r="80" ht="15.75" customHeight="1">
      <c r="A80" s="1"/>
      <c r="B80" s="155" t="s">
        <v>4181</v>
      </c>
      <c r="C80" s="1"/>
      <c r="D80" s="1"/>
      <c r="E80" s="1"/>
      <c r="F80" s="1"/>
      <c r="G80" s="153">
        <v>50000.0</v>
      </c>
      <c r="H80" s="54"/>
    </row>
    <row r="81" ht="15.75" customHeight="1">
      <c r="A81" s="1"/>
      <c r="B81" s="110" t="s">
        <v>4182</v>
      </c>
      <c r="C81" s="1"/>
      <c r="D81" s="1"/>
      <c r="E81" s="1"/>
      <c r="F81" s="1"/>
      <c r="G81" s="153">
        <v>2500.0</v>
      </c>
      <c r="H81" s="54"/>
    </row>
    <row r="82" ht="15.75" customHeight="1">
      <c r="A82" s="1"/>
      <c r="B82" s="154" t="s">
        <v>4183</v>
      </c>
      <c r="C82" s="1"/>
      <c r="D82" s="1"/>
      <c r="E82" s="1"/>
      <c r="F82" s="1"/>
      <c r="G82" s="153">
        <v>17000.0</v>
      </c>
      <c r="H82" s="54"/>
    </row>
    <row r="83" ht="15.75" customHeight="1">
      <c r="A83" s="1"/>
      <c r="B83" s="152" t="s">
        <v>4184</v>
      </c>
      <c r="C83" s="1"/>
      <c r="D83" s="1"/>
      <c r="E83" s="1"/>
      <c r="F83" s="1"/>
      <c r="G83" s="153">
        <v>43350.0</v>
      </c>
      <c r="H83" s="54"/>
    </row>
    <row r="84" ht="15.75" customHeight="1">
      <c r="A84" s="1"/>
      <c r="B84" s="154" t="s">
        <v>4185</v>
      </c>
      <c r="C84" s="1"/>
      <c r="D84" s="1"/>
      <c r="E84" s="1"/>
      <c r="F84" s="1"/>
      <c r="G84" s="153">
        <v>7000.0</v>
      </c>
      <c r="H84" s="54"/>
    </row>
    <row r="85" ht="15.75" customHeight="1">
      <c r="A85" s="1"/>
      <c r="B85" s="152" t="s">
        <v>4186</v>
      </c>
      <c r="C85" s="1"/>
      <c r="D85" s="1"/>
      <c r="E85" s="1"/>
      <c r="F85" s="1"/>
      <c r="G85" s="153">
        <v>1630000.0</v>
      </c>
      <c r="H85" s="54"/>
    </row>
    <row r="86" ht="15.75" customHeight="1">
      <c r="A86" s="1"/>
      <c r="B86" s="110" t="s">
        <v>4187</v>
      </c>
      <c r="C86" s="93"/>
      <c r="D86" s="93"/>
      <c r="E86" s="93"/>
      <c r="F86" s="93"/>
      <c r="G86" s="153">
        <v>50000.0</v>
      </c>
      <c r="H86" s="54"/>
    </row>
    <row r="87" ht="15.75" customHeight="1">
      <c r="A87" s="1"/>
      <c r="B87" s="110" t="s">
        <v>4188</v>
      </c>
      <c r="C87" s="93"/>
      <c r="D87" s="93"/>
      <c r="E87" s="93"/>
      <c r="F87" s="93"/>
      <c r="G87" s="153">
        <v>50000.0</v>
      </c>
      <c r="H87" s="54"/>
    </row>
    <row r="88" ht="15.75" customHeight="1">
      <c r="A88" s="1"/>
      <c r="B88" s="110" t="s">
        <v>4189</v>
      </c>
      <c r="C88" s="93"/>
      <c r="D88" s="93"/>
      <c r="E88" s="93"/>
      <c r="F88" s="93"/>
      <c r="G88" s="153">
        <v>50000.0</v>
      </c>
      <c r="H88" s="54"/>
    </row>
    <row r="89" ht="15.75" customHeight="1">
      <c r="A89" s="1"/>
      <c r="B89" s="152" t="s">
        <v>4190</v>
      </c>
      <c r="C89" s="1"/>
      <c r="D89" s="1"/>
      <c r="E89" s="1"/>
      <c r="F89" s="1"/>
      <c r="G89" s="153">
        <v>50000.0</v>
      </c>
      <c r="H89" s="54"/>
    </row>
    <row r="90" ht="15.75" customHeight="1">
      <c r="A90" s="1"/>
      <c r="B90" s="110" t="s">
        <v>4191</v>
      </c>
      <c r="C90" s="93"/>
      <c r="D90" s="93"/>
      <c r="E90" s="1"/>
      <c r="F90" s="1"/>
      <c r="G90" s="153">
        <v>1676.0</v>
      </c>
      <c r="H90" s="54"/>
    </row>
    <row r="91" ht="15.75" customHeight="1">
      <c r="A91" s="1"/>
      <c r="B91" s="154" t="s">
        <v>4192</v>
      </c>
      <c r="C91" s="1"/>
      <c r="D91" s="1"/>
      <c r="E91" s="1"/>
      <c r="F91" s="1"/>
      <c r="G91" s="153">
        <v>2000.0</v>
      </c>
      <c r="H91" s="54"/>
    </row>
    <row r="92" ht="15.75" customHeight="1">
      <c r="A92" s="1"/>
      <c r="B92" s="110" t="s">
        <v>4193</v>
      </c>
      <c r="C92" s="93"/>
      <c r="D92" s="93"/>
      <c r="E92" s="93"/>
      <c r="F92" s="1"/>
      <c r="G92" s="153">
        <v>60000.0</v>
      </c>
      <c r="H92" s="54"/>
    </row>
    <row r="93" ht="15.75" customHeight="1">
      <c r="A93" s="1"/>
      <c r="B93" s="152" t="s">
        <v>4194</v>
      </c>
      <c r="C93" s="1"/>
      <c r="D93" s="1"/>
      <c r="E93" s="1"/>
      <c r="F93" s="1"/>
      <c r="G93" s="153">
        <v>155000.0</v>
      </c>
      <c r="H93" s="54"/>
    </row>
    <row r="94" ht="15.75" customHeight="1">
      <c r="A94" s="1"/>
      <c r="B94" s="152" t="s">
        <v>3399</v>
      </c>
      <c r="C94" s="1"/>
      <c r="D94" s="1"/>
      <c r="E94" s="1"/>
      <c r="F94" s="1"/>
      <c r="G94" s="153">
        <v>18000.0</v>
      </c>
      <c r="H94" s="54"/>
    </row>
    <row r="95" ht="15.75" customHeight="1">
      <c r="A95" s="1"/>
      <c r="B95" s="152" t="s">
        <v>4195</v>
      </c>
      <c r="C95" s="1"/>
      <c r="D95" s="1"/>
      <c r="E95" s="1"/>
      <c r="F95" s="1"/>
      <c r="G95" s="153">
        <v>2000.0</v>
      </c>
      <c r="H95" s="54"/>
    </row>
    <row r="96" ht="15.75" customHeight="1">
      <c r="A96" s="1"/>
      <c r="B96" s="152" t="s">
        <v>3656</v>
      </c>
      <c r="C96" s="1"/>
      <c r="D96" s="1"/>
      <c r="E96" s="1"/>
      <c r="F96" s="1"/>
      <c r="G96" s="153">
        <v>115000.0</v>
      </c>
      <c r="H96" s="54"/>
    </row>
    <row r="97" ht="15.75" customHeight="1">
      <c r="A97" s="1"/>
      <c r="B97" s="152" t="s">
        <v>4196</v>
      </c>
      <c r="C97" s="1"/>
      <c r="D97" s="1"/>
      <c r="E97" s="1"/>
      <c r="F97" s="1"/>
      <c r="G97" s="153">
        <v>34150.0</v>
      </c>
      <c r="H97" s="54"/>
    </row>
    <row r="98" ht="15.75" customHeight="1">
      <c r="A98" s="1"/>
      <c r="B98" s="19" t="s">
        <v>45</v>
      </c>
      <c r="C98" s="20"/>
      <c r="D98" s="20"/>
      <c r="E98" s="20"/>
      <c r="F98" s="20"/>
      <c r="G98" s="156">
        <v>5583324.0</v>
      </c>
      <c r="H98" s="53"/>
    </row>
    <row r="99" ht="15.75" customHeight="1">
      <c r="A99" s="35" t="s">
        <v>3130</v>
      </c>
      <c r="B99" s="36" t="s">
        <v>3301</v>
      </c>
      <c r="C99" s="37"/>
      <c r="D99" s="82"/>
      <c r="E99" s="37"/>
      <c r="F99" s="37"/>
      <c r="G99" s="103">
        <f>SUM(G12-G98)</f>
        <v>5088676</v>
      </c>
      <c r="H99" s="53"/>
    </row>
    <row r="100" ht="15.75" customHeight="1">
      <c r="A100" s="22" t="s">
        <v>254</v>
      </c>
      <c r="B100" s="43" t="s">
        <v>255</v>
      </c>
      <c r="C100" s="1"/>
      <c r="D100" s="1"/>
      <c r="E100" s="1"/>
      <c r="F100" s="1"/>
      <c r="H100" s="2"/>
    </row>
    <row r="101" ht="15.75" customHeight="1">
      <c r="B101" s="124" t="s">
        <v>4197</v>
      </c>
      <c r="C101" s="1"/>
      <c r="D101" s="1"/>
      <c r="E101" s="1"/>
      <c r="F101" s="1"/>
      <c r="G101" s="99">
        <v>765.9</v>
      </c>
      <c r="H101" s="2"/>
    </row>
    <row r="102" ht="15.75" customHeight="1">
      <c r="B102" s="43"/>
      <c r="C102" s="1"/>
      <c r="D102" s="1"/>
      <c r="E102" s="1"/>
      <c r="F102" s="1"/>
      <c r="H102" s="2"/>
    </row>
    <row r="103" ht="15.75" customHeight="1">
      <c r="A103" s="22"/>
      <c r="B103" s="72" t="s">
        <v>51</v>
      </c>
      <c r="C103" s="27"/>
      <c r="D103" s="27"/>
      <c r="E103" s="27"/>
      <c r="F103" s="27"/>
      <c r="G103" s="104">
        <f>SUM(G101:G102)</f>
        <v>765.9</v>
      </c>
      <c r="H103" s="53"/>
    </row>
    <row r="104" ht="15.75" customHeight="1">
      <c r="A104" s="22"/>
      <c r="B104" s="157" t="s">
        <v>4198</v>
      </c>
      <c r="C104" s="45"/>
      <c r="D104" s="45"/>
      <c r="E104" s="46"/>
      <c r="F104" s="46"/>
      <c r="G104" s="105"/>
      <c r="H104" s="53"/>
    </row>
    <row r="105" ht="15.75" customHeight="1">
      <c r="A105" s="22"/>
      <c r="B105" s="32" t="s">
        <v>3365</v>
      </c>
    </row>
    <row r="106" ht="15.75" customHeight="1">
      <c r="A106" s="22"/>
      <c r="B106" s="1"/>
      <c r="C106" s="1" t="s">
        <v>3137</v>
      </c>
      <c r="D106" s="1"/>
      <c r="E106" s="1"/>
      <c r="F106" s="1"/>
      <c r="H106" s="133">
        <v>1844240.0</v>
      </c>
    </row>
    <row r="107" ht="15.75" customHeight="1">
      <c r="A107" s="22"/>
      <c r="B107" s="1"/>
      <c r="C107" s="1" t="s">
        <v>3218</v>
      </c>
      <c r="D107" s="1"/>
      <c r="E107" s="1"/>
      <c r="F107" s="1"/>
      <c r="H107" s="133">
        <v>105000.0</v>
      </c>
    </row>
    <row r="108" ht="18.0" customHeight="1">
      <c r="A108" s="44"/>
      <c r="B108" s="1"/>
      <c r="C108" s="43" t="s">
        <v>115</v>
      </c>
      <c r="D108" s="1"/>
      <c r="E108" s="1"/>
      <c r="F108" s="1"/>
      <c r="H108" s="38"/>
    </row>
    <row r="109" ht="16.5" customHeight="1">
      <c r="A109" s="44"/>
      <c r="B109" s="43"/>
      <c r="C109" s="43"/>
      <c r="D109" s="1"/>
      <c r="E109" s="1"/>
      <c r="F109" s="1"/>
      <c r="G109" s="1"/>
    </row>
    <row r="110" ht="15.75" customHeight="1">
      <c r="A110" s="1"/>
      <c r="B110" s="33"/>
      <c r="C110" s="1"/>
      <c r="D110" s="1"/>
      <c r="E110" s="1"/>
      <c r="F110" s="1"/>
      <c r="G110" s="2"/>
    </row>
    <row r="111" ht="15.75" customHeight="1">
      <c r="A111" s="43" t="s">
        <v>3420</v>
      </c>
      <c r="B111" s="56"/>
      <c r="C111" s="56"/>
      <c r="D111" s="56"/>
      <c r="F111" s="93"/>
      <c r="G111" s="55"/>
    </row>
    <row r="112" ht="15.75" customHeight="1">
      <c r="A112" s="158" t="s">
        <v>3421</v>
      </c>
      <c r="B112" s="135"/>
      <c r="C112" s="135"/>
      <c r="D112" s="135"/>
      <c r="E112" s="136"/>
      <c r="F112" s="137"/>
      <c r="G112" s="138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</row>
    <row r="113" ht="15.75" customHeight="1">
      <c r="A113" s="43" t="s">
        <v>4022</v>
      </c>
      <c r="B113" s="107"/>
      <c r="C113" s="107"/>
      <c r="D113" s="55"/>
      <c r="G113" s="77"/>
    </row>
    <row r="114" ht="15.75" customHeight="1">
      <c r="A114" s="106" t="s">
        <v>4199</v>
      </c>
      <c r="B114" s="108"/>
      <c r="C114" s="109"/>
      <c r="D114" s="109"/>
      <c r="E114" s="109"/>
    </row>
    <row r="115" ht="15.75" customHeight="1">
      <c r="A115" s="107" t="s">
        <v>3054</v>
      </c>
      <c r="B115" s="109"/>
      <c r="C115" s="109"/>
      <c r="D115" s="109"/>
      <c r="E115" s="109"/>
      <c r="F115" s="108" t="s">
        <v>3227</v>
      </c>
      <c r="G115" s="109"/>
      <c r="H115" s="109"/>
    </row>
    <row r="116" ht="15.75" customHeight="1">
      <c r="A116" s="107" t="s">
        <v>3055</v>
      </c>
      <c r="B116" s="109"/>
      <c r="C116" s="109"/>
      <c r="D116" s="109"/>
      <c r="E116" s="109"/>
      <c r="F116" s="108" t="s">
        <v>3311</v>
      </c>
      <c r="G116" s="109"/>
      <c r="H116" s="109"/>
    </row>
    <row r="117" ht="15.75" customHeight="1">
      <c r="A117" s="107" t="s">
        <v>3224</v>
      </c>
      <c r="B117" s="109"/>
      <c r="C117" s="109"/>
      <c r="D117" s="109"/>
      <c r="E117" s="109"/>
      <c r="F117" s="108" t="s">
        <v>3618</v>
      </c>
      <c r="G117" s="109"/>
      <c r="H117" s="109"/>
    </row>
    <row r="118" ht="15.75" customHeight="1">
      <c r="A118" s="107" t="s">
        <v>3057</v>
      </c>
      <c r="B118" s="109"/>
      <c r="C118" s="109"/>
      <c r="D118" s="109"/>
      <c r="E118" s="109"/>
      <c r="F118" s="109" t="s">
        <v>3619</v>
      </c>
      <c r="G118" s="109"/>
      <c r="H118" s="109"/>
    </row>
    <row r="119" ht="15.75" customHeight="1">
      <c r="A119" s="108" t="s">
        <v>3313</v>
      </c>
    </row>
    <row r="120" ht="15.75" customHeight="1">
      <c r="A120" s="5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mergeCells count="11">
    <mergeCell ref="G99:H99"/>
    <mergeCell ref="G103:H103"/>
    <mergeCell ref="G104:H104"/>
    <mergeCell ref="B105:G105"/>
    <mergeCell ref="A4:F4"/>
    <mergeCell ref="G4:H4"/>
    <mergeCell ref="A11:B11"/>
    <mergeCell ref="B12:F12"/>
    <mergeCell ref="G12:H12"/>
    <mergeCell ref="G25:H25"/>
    <mergeCell ref="G98:H98"/>
  </mergeCells>
  <printOptions/>
  <pageMargins bottom="0.75" footer="0.0" header="0.0" left="0.7" right="0.7" top="0.75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.71"/>
    <col customWidth="1" min="3" max="3" width="10.0"/>
    <col customWidth="1" min="4" max="4" width="10.29"/>
    <col customWidth="1" min="5" max="5" width="9.57"/>
    <col customWidth="1" min="6" max="6" width="10.29"/>
    <col customWidth="1" min="7" max="7" width="10.14"/>
    <col customWidth="1" min="8" max="8" width="9.14"/>
    <col customWidth="1" min="9" max="33" width="10.71"/>
  </cols>
  <sheetData>
    <row r="1" ht="24.75" customHeight="1">
      <c r="A1" s="1"/>
      <c r="B1" s="3"/>
      <c r="C1" s="3"/>
      <c r="D1" s="3"/>
      <c r="E1" s="3"/>
      <c r="F1" s="3"/>
      <c r="G1" s="3"/>
    </row>
    <row r="2" ht="24.75" customHeight="1">
      <c r="A2" s="1"/>
      <c r="B2" s="3"/>
      <c r="C2" s="3"/>
      <c r="D2" s="3"/>
      <c r="E2" s="3"/>
      <c r="F2" s="3"/>
      <c r="G2" s="3"/>
    </row>
    <row r="3" ht="24.75" customHeight="1">
      <c r="A3" s="1" t="s">
        <v>721</v>
      </c>
      <c r="B3" s="3" t="s">
        <v>4124</v>
      </c>
      <c r="C3" s="3"/>
      <c r="D3" s="3"/>
      <c r="E3" s="3"/>
      <c r="F3" s="3"/>
      <c r="G3" s="3"/>
    </row>
    <row r="4" ht="18.75" customHeight="1">
      <c r="A4" s="75" t="s">
        <v>4125</v>
      </c>
      <c r="G4" s="87" t="s">
        <v>480</v>
      </c>
      <c r="H4" s="53"/>
    </row>
    <row r="5">
      <c r="A5" s="6" t="s">
        <v>4200</v>
      </c>
      <c r="B5" s="1"/>
      <c r="C5" s="1"/>
      <c r="D5" s="1" t="s">
        <v>3001</v>
      </c>
      <c r="E5" s="50" t="s">
        <v>3428</v>
      </c>
      <c r="F5" s="50" t="s">
        <v>3003</v>
      </c>
      <c r="G5" s="85" t="s">
        <v>3004</v>
      </c>
      <c r="H5" s="67" t="s">
        <v>3146</v>
      </c>
    </row>
    <row r="6">
      <c r="A6" s="1"/>
      <c r="B6" s="4" t="s">
        <v>63</v>
      </c>
      <c r="C6" s="1"/>
      <c r="D6" s="142"/>
      <c r="E6" s="142"/>
      <c r="F6" s="142"/>
      <c r="G6" s="143"/>
      <c r="H6" s="60"/>
    </row>
    <row r="7">
      <c r="A7" s="1"/>
      <c r="B7" s="4" t="s">
        <v>64</v>
      </c>
      <c r="C7" s="1"/>
      <c r="D7" s="142"/>
      <c r="E7" s="142"/>
      <c r="F7" s="142"/>
      <c r="G7" s="143"/>
      <c r="H7" s="2"/>
    </row>
    <row r="8">
      <c r="A8" s="1"/>
      <c r="B8" s="4" t="s">
        <v>65</v>
      </c>
      <c r="C8" s="1"/>
      <c r="D8" s="142"/>
      <c r="E8" s="142"/>
      <c r="F8" s="142"/>
      <c r="G8" s="143"/>
      <c r="H8" s="2"/>
    </row>
    <row r="9">
      <c r="A9" s="1"/>
      <c r="B9" s="4" t="s">
        <v>3963</v>
      </c>
      <c r="C9" s="1"/>
      <c r="D9" s="2"/>
      <c r="E9" s="2"/>
      <c r="F9" s="2"/>
      <c r="G9" s="76"/>
      <c r="H9" s="2"/>
      <c r="J9" s="2"/>
    </row>
    <row r="10">
      <c r="A10" s="50" t="s">
        <v>405</v>
      </c>
      <c r="D10" s="60"/>
      <c r="E10" s="60"/>
      <c r="F10" s="60"/>
      <c r="G10" s="60"/>
      <c r="H10" s="60">
        <f>SUM(H6:H9)</f>
        <v>0</v>
      </c>
    </row>
    <row r="11">
      <c r="A11" s="1"/>
      <c r="B11" s="51" t="s">
        <v>9</v>
      </c>
      <c r="C11" s="52"/>
      <c r="D11" s="52"/>
      <c r="E11" s="52"/>
      <c r="F11" s="53"/>
      <c r="G11" s="100">
        <f>SUM(D10:H10)</f>
        <v>0</v>
      </c>
      <c r="H11" s="53"/>
    </row>
    <row r="12">
      <c r="A12" s="6" t="s">
        <v>4201</v>
      </c>
      <c r="B12" s="1"/>
      <c r="C12" s="1"/>
      <c r="D12" s="1"/>
      <c r="E12" s="1"/>
      <c r="F12" s="1"/>
      <c r="G12" s="2" t="s">
        <v>480</v>
      </c>
    </row>
    <row r="13">
      <c r="A13" s="1"/>
      <c r="B13" s="12" t="s">
        <v>3373</v>
      </c>
      <c r="C13" s="1"/>
      <c r="D13" s="1"/>
      <c r="E13" s="1"/>
      <c r="F13" s="1"/>
      <c r="G13" s="2"/>
    </row>
    <row r="14">
      <c r="A14" s="1"/>
      <c r="B14" s="4" t="s">
        <v>3494</v>
      </c>
      <c r="C14" s="1"/>
      <c r="D14" s="1"/>
      <c r="E14" s="1"/>
      <c r="F14" s="1"/>
      <c r="H14" s="77"/>
    </row>
    <row r="15">
      <c r="A15" s="1"/>
      <c r="B15" s="4" t="s">
        <v>3234</v>
      </c>
      <c r="C15" s="1"/>
      <c r="D15" s="1"/>
      <c r="E15" s="1"/>
      <c r="F15" s="1"/>
      <c r="H15" s="159">
        <v>250000.0</v>
      </c>
      <c r="M15" s="67" t="s">
        <v>2139</v>
      </c>
    </row>
    <row r="16">
      <c r="A16" s="1"/>
      <c r="B16" s="4" t="s">
        <v>3318</v>
      </c>
      <c r="C16" s="1"/>
      <c r="D16" s="1"/>
      <c r="E16" s="1"/>
      <c r="F16" s="1"/>
      <c r="H16" s="159">
        <v>100000.0</v>
      </c>
      <c r="L16" s="67" t="s">
        <v>480</v>
      </c>
    </row>
    <row r="17">
      <c r="A17" s="1"/>
      <c r="B17" s="4" t="s">
        <v>3150</v>
      </c>
      <c r="C17" s="1"/>
      <c r="D17" s="1"/>
      <c r="E17" s="1"/>
      <c r="F17" s="1"/>
      <c r="H17" s="159">
        <v>80000.0</v>
      </c>
      <c r="L17" s="67" t="s">
        <v>1585</v>
      </c>
    </row>
    <row r="18">
      <c r="A18" s="1"/>
      <c r="B18" s="4" t="s">
        <v>3236</v>
      </c>
      <c r="C18" s="1"/>
      <c r="D18" s="1"/>
      <c r="E18" s="1"/>
      <c r="F18" s="1"/>
      <c r="H18" s="159">
        <v>100000.0</v>
      </c>
    </row>
    <row r="19">
      <c r="A19" s="1"/>
      <c r="B19" s="4" t="s">
        <v>3237</v>
      </c>
      <c r="C19" s="1"/>
      <c r="D19" s="1"/>
      <c r="E19" s="1"/>
      <c r="F19" s="1"/>
      <c r="H19" s="159">
        <v>175000.0</v>
      </c>
    </row>
    <row r="20">
      <c r="A20" s="1"/>
      <c r="B20" s="4" t="s">
        <v>3965</v>
      </c>
      <c r="C20" s="1"/>
      <c r="D20" s="1"/>
      <c r="E20" s="1"/>
      <c r="F20" s="1"/>
      <c r="H20" s="159">
        <v>80000.0</v>
      </c>
    </row>
    <row r="21">
      <c r="A21" s="1"/>
      <c r="B21" s="4" t="s">
        <v>3238</v>
      </c>
      <c r="C21" s="1"/>
      <c r="D21" s="1"/>
      <c r="E21" s="1"/>
      <c r="F21" s="1"/>
      <c r="H21" s="159">
        <v>175000.0</v>
      </c>
    </row>
    <row r="22">
      <c r="A22" s="1"/>
      <c r="B22" s="4" t="s">
        <v>3966</v>
      </c>
      <c r="C22" s="1"/>
      <c r="D22" s="1"/>
      <c r="E22" s="1"/>
      <c r="F22" s="1"/>
      <c r="H22" s="159">
        <v>150000.0</v>
      </c>
    </row>
    <row r="23" ht="15.75" customHeight="1">
      <c r="A23" s="1"/>
      <c r="B23" s="4" t="s">
        <v>4029</v>
      </c>
      <c r="C23" s="1"/>
      <c r="D23" s="1"/>
      <c r="E23" s="1"/>
      <c r="F23" s="1"/>
      <c r="H23" s="159">
        <v>10000.0</v>
      </c>
    </row>
    <row r="24" ht="15.75" customHeight="1">
      <c r="A24" s="1"/>
      <c r="B24" s="9" t="s">
        <v>3432</v>
      </c>
      <c r="C24" s="10"/>
      <c r="D24" s="10"/>
      <c r="E24" s="10"/>
      <c r="F24" s="10"/>
      <c r="G24" s="101">
        <f>SUM(L23)</f>
        <v>0</v>
      </c>
      <c r="H24" s="53"/>
    </row>
    <row r="25" ht="15.75" customHeight="1">
      <c r="A25" s="1"/>
      <c r="B25" s="12" t="s">
        <v>19</v>
      </c>
      <c r="C25" s="15"/>
      <c r="D25" s="1"/>
      <c r="E25" s="1"/>
      <c r="F25" s="1"/>
    </row>
    <row r="26" ht="15.75" customHeight="1">
      <c r="A26" s="1"/>
      <c r="B26" s="97" t="s">
        <v>4202</v>
      </c>
      <c r="C26" s="15"/>
      <c r="D26" s="1"/>
      <c r="E26" s="1"/>
      <c r="F26" s="1"/>
      <c r="G26" s="99">
        <v>8400.0</v>
      </c>
    </row>
    <row r="27" ht="15.75" customHeight="1">
      <c r="A27" s="1"/>
      <c r="B27" s="97" t="s">
        <v>4203</v>
      </c>
      <c r="C27" s="15"/>
      <c r="D27" s="1"/>
      <c r="E27" s="1"/>
      <c r="F27" s="1"/>
      <c r="G27" s="99">
        <v>9800.0</v>
      </c>
    </row>
    <row r="28" ht="15.75" customHeight="1">
      <c r="A28" s="1"/>
      <c r="B28" s="97" t="s">
        <v>4204</v>
      </c>
      <c r="C28" s="146"/>
      <c r="D28" s="147"/>
      <c r="E28" s="1"/>
      <c r="F28" s="1"/>
      <c r="G28" s="127">
        <v>33174.0</v>
      </c>
    </row>
    <row r="29" ht="15.75" customHeight="1">
      <c r="A29" s="1"/>
      <c r="B29" s="97" t="s">
        <v>4205</v>
      </c>
      <c r="C29" s="15"/>
      <c r="D29" s="147"/>
      <c r="E29" s="1"/>
      <c r="F29" s="1"/>
      <c r="G29" s="99">
        <v>8500.0</v>
      </c>
      <c r="H29" s="2"/>
    </row>
    <row r="30" ht="15.75" customHeight="1">
      <c r="A30" s="1"/>
      <c r="B30" s="97" t="s">
        <v>4206</v>
      </c>
      <c r="C30" s="15"/>
      <c r="D30" s="1"/>
      <c r="E30" s="1"/>
      <c r="F30" s="1"/>
      <c r="G30" s="99">
        <v>10000.0</v>
      </c>
      <c r="H30" s="2"/>
    </row>
    <row r="31" ht="15.75" customHeight="1">
      <c r="A31" s="1"/>
      <c r="B31" s="97" t="s">
        <v>4207</v>
      </c>
      <c r="C31" s="15"/>
      <c r="D31" s="1"/>
      <c r="E31" s="1"/>
      <c r="F31" s="1"/>
      <c r="G31" s="99">
        <v>125000.0</v>
      </c>
      <c r="H31" s="2"/>
    </row>
    <row r="32" ht="15.75" customHeight="1">
      <c r="A32" s="1"/>
      <c r="B32" s="97" t="s">
        <v>4208</v>
      </c>
      <c r="C32" s="15"/>
      <c r="D32" s="1"/>
      <c r="E32" s="1"/>
      <c r="F32" s="1"/>
      <c r="G32" s="99">
        <v>360500.0</v>
      </c>
      <c r="H32" s="2"/>
    </row>
    <row r="33" ht="15.75" customHeight="1">
      <c r="A33" s="1"/>
      <c r="B33" s="97" t="s">
        <v>4209</v>
      </c>
      <c r="C33" s="15"/>
      <c r="D33" s="1"/>
      <c r="E33" s="1"/>
      <c r="F33" s="1"/>
      <c r="G33" s="99">
        <v>60000.0</v>
      </c>
      <c r="H33" s="2"/>
    </row>
    <row r="34" ht="15.75" customHeight="1">
      <c r="A34" s="1"/>
      <c r="B34" s="97" t="s">
        <v>4210</v>
      </c>
      <c r="C34" s="15"/>
      <c r="D34" s="1"/>
      <c r="E34" s="1"/>
      <c r="F34" s="1"/>
      <c r="G34" s="99">
        <v>87000.0</v>
      </c>
      <c r="H34" s="2"/>
    </row>
    <row r="35" ht="15.75" customHeight="1">
      <c r="A35" s="1"/>
      <c r="B35" s="97" t="s">
        <v>4211</v>
      </c>
      <c r="C35" s="15"/>
      <c r="D35" s="1"/>
      <c r="E35" s="1"/>
      <c r="F35" s="1"/>
      <c r="G35" s="99">
        <v>2000.0</v>
      </c>
      <c r="H35" s="2"/>
    </row>
    <row r="36" ht="15.75" customHeight="1">
      <c r="A36" s="1"/>
      <c r="B36" s="97" t="s">
        <v>4212</v>
      </c>
      <c r="C36" s="15"/>
      <c r="D36" s="1"/>
      <c r="E36" s="1"/>
      <c r="F36" s="1"/>
      <c r="G36" s="99">
        <v>1000.0</v>
      </c>
      <c r="H36" s="2"/>
    </row>
    <row r="37" ht="15.75" customHeight="1">
      <c r="A37" s="1"/>
      <c r="B37" s="97" t="s">
        <v>4213</v>
      </c>
      <c r="C37" s="15"/>
      <c r="D37" s="1"/>
      <c r="E37" s="1"/>
      <c r="F37" s="1"/>
      <c r="G37" s="99">
        <v>10000.0</v>
      </c>
      <c r="H37" s="2"/>
    </row>
    <row r="38" ht="15.75" customHeight="1">
      <c r="A38" s="1"/>
      <c r="B38" s="97" t="s">
        <v>4214</v>
      </c>
      <c r="C38" s="15"/>
      <c r="D38" s="1"/>
      <c r="E38" s="1"/>
      <c r="F38" s="1"/>
      <c r="G38" s="99">
        <v>210000.0</v>
      </c>
      <c r="H38" s="2"/>
    </row>
    <row r="39" ht="15.75" customHeight="1">
      <c r="A39" s="1"/>
      <c r="B39" s="97" t="s">
        <v>4215</v>
      </c>
      <c r="C39" s="15"/>
      <c r="D39" s="1"/>
      <c r="E39" s="1"/>
      <c r="F39" s="1"/>
      <c r="G39" s="99">
        <v>212400.0</v>
      </c>
      <c r="H39" s="2"/>
    </row>
    <row r="40" ht="15.75" customHeight="1">
      <c r="A40" s="1"/>
      <c r="B40" s="97" t="s">
        <v>4216</v>
      </c>
      <c r="C40" s="15"/>
      <c r="D40" s="1"/>
      <c r="E40" s="1"/>
      <c r="F40" s="1"/>
      <c r="G40" s="99">
        <v>3000.0</v>
      </c>
      <c r="H40" s="2"/>
    </row>
    <row r="41" ht="15.75" customHeight="1">
      <c r="A41" s="1"/>
      <c r="B41" s="97" t="s">
        <v>4217</v>
      </c>
      <c r="C41" s="15"/>
      <c r="D41" s="1"/>
      <c r="E41" s="1"/>
      <c r="F41" s="1"/>
      <c r="G41" s="99">
        <v>29402.0</v>
      </c>
      <c r="H41" s="2"/>
    </row>
    <row r="42" ht="15.75" customHeight="1">
      <c r="A42" s="1"/>
      <c r="B42" s="97" t="s">
        <v>4218</v>
      </c>
      <c r="C42" s="15"/>
      <c r="D42" s="1"/>
      <c r="E42" s="1"/>
      <c r="F42" s="1"/>
      <c r="G42" s="99">
        <v>77700.0</v>
      </c>
      <c r="H42" s="2"/>
    </row>
    <row r="43" ht="15.75" customHeight="1">
      <c r="A43" s="1"/>
      <c r="B43" s="97" t="s">
        <v>4219</v>
      </c>
      <c r="C43" s="15"/>
      <c r="D43" s="1"/>
      <c r="E43" s="1"/>
      <c r="F43" s="1"/>
      <c r="G43" s="99">
        <v>170000.0</v>
      </c>
      <c r="H43" s="2"/>
    </row>
    <row r="44" ht="15.75" customHeight="1">
      <c r="A44" s="1"/>
      <c r="B44" s="97" t="s">
        <v>4220</v>
      </c>
      <c r="C44" s="15"/>
      <c r="D44" s="1"/>
      <c r="E44" s="1"/>
      <c r="F44" s="1"/>
      <c r="G44" s="99">
        <v>68000.0</v>
      </c>
      <c r="H44" s="2"/>
    </row>
    <row r="45" ht="15.75" customHeight="1">
      <c r="A45" s="1"/>
      <c r="B45" s="97" t="s">
        <v>4221</v>
      </c>
      <c r="C45" s="15"/>
      <c r="D45" s="1"/>
      <c r="E45" s="1"/>
      <c r="F45" s="1"/>
      <c r="G45" s="99">
        <v>25000.0</v>
      </c>
      <c r="H45" s="2"/>
    </row>
    <row r="46" ht="15.75" customHeight="1">
      <c r="A46" s="1"/>
      <c r="B46" s="97" t="s">
        <v>4222</v>
      </c>
      <c r="C46" s="15"/>
      <c r="D46" s="1"/>
      <c r="E46" s="1"/>
      <c r="F46" s="1"/>
      <c r="G46" s="99">
        <v>376500.0</v>
      </c>
      <c r="H46" s="2"/>
    </row>
    <row r="47" ht="15.75" customHeight="1">
      <c r="A47" s="1"/>
      <c r="B47" s="97" t="s">
        <v>4223</v>
      </c>
      <c r="C47" s="15"/>
      <c r="D47" s="1"/>
      <c r="E47" s="1"/>
      <c r="F47" s="1"/>
      <c r="G47" s="99">
        <v>1000.0</v>
      </c>
      <c r="H47" s="2"/>
    </row>
    <row r="48" ht="15.75" customHeight="1">
      <c r="A48" s="1"/>
      <c r="B48" s="97" t="s">
        <v>4224</v>
      </c>
      <c r="C48" s="15"/>
      <c r="D48" s="1"/>
      <c r="E48" s="1"/>
      <c r="F48" s="1"/>
      <c r="G48" s="99">
        <v>10000.0</v>
      </c>
      <c r="H48" s="2"/>
    </row>
    <row r="49" ht="15.75" customHeight="1">
      <c r="A49" s="1"/>
      <c r="B49" s="97" t="s">
        <v>4225</v>
      </c>
      <c r="C49" s="15"/>
      <c r="D49" s="1"/>
      <c r="E49" s="1"/>
      <c r="F49" s="1"/>
      <c r="G49" s="99">
        <v>30000.0</v>
      </c>
      <c r="H49" s="2"/>
    </row>
    <row r="50" ht="15.75" customHeight="1">
      <c r="A50" s="1"/>
      <c r="B50" s="97" t="s">
        <v>4226</v>
      </c>
      <c r="C50" s="15"/>
      <c r="D50" s="1"/>
      <c r="E50" s="1"/>
      <c r="F50" s="1"/>
      <c r="G50" s="99">
        <v>45000.0</v>
      </c>
      <c r="H50" s="2"/>
    </row>
    <row r="51" ht="15.75" customHeight="1">
      <c r="A51" s="1"/>
      <c r="B51" s="97" t="s">
        <v>4227</v>
      </c>
      <c r="C51" s="15"/>
      <c r="D51" s="1"/>
      <c r="E51" s="1"/>
      <c r="F51" s="1"/>
      <c r="G51" s="99">
        <v>158000.0</v>
      </c>
      <c r="H51" s="2"/>
    </row>
    <row r="52" ht="15.75" customHeight="1">
      <c r="A52" s="1"/>
      <c r="B52" s="97" t="s">
        <v>4228</v>
      </c>
      <c r="C52" s="15"/>
      <c r="D52" s="1"/>
      <c r="E52" s="1"/>
      <c r="F52" s="1"/>
      <c r="G52" s="99">
        <v>60000.0</v>
      </c>
      <c r="H52" s="2"/>
    </row>
    <row r="53" ht="15.75" customHeight="1">
      <c r="A53" s="1"/>
      <c r="B53" s="97" t="s">
        <v>4229</v>
      </c>
      <c r="C53" s="15"/>
      <c r="D53" s="1"/>
      <c r="E53" s="1"/>
      <c r="F53" s="1"/>
      <c r="G53" s="99">
        <v>20000.0</v>
      </c>
      <c r="H53" s="2"/>
    </row>
    <row r="54" ht="15.75" customHeight="1">
      <c r="A54" s="1"/>
      <c r="B54" s="97" t="s">
        <v>4230</v>
      </c>
      <c r="C54" s="15"/>
      <c r="D54" s="1"/>
      <c r="E54" s="1"/>
      <c r="F54" s="1"/>
      <c r="G54" s="99">
        <v>50000.0</v>
      </c>
      <c r="H54" s="2"/>
    </row>
    <row r="55" ht="15.75" customHeight="1">
      <c r="A55" s="1"/>
      <c r="B55" s="97" t="s">
        <v>4231</v>
      </c>
      <c r="C55" s="15"/>
      <c r="D55" s="1"/>
      <c r="E55" s="1"/>
      <c r="F55" s="1"/>
      <c r="G55" s="99">
        <v>50000.0</v>
      </c>
      <c r="H55" s="2"/>
    </row>
    <row r="56" ht="15.75" customHeight="1">
      <c r="A56" s="1"/>
      <c r="B56" s="97" t="s">
        <v>4232</v>
      </c>
      <c r="C56" s="15"/>
      <c r="D56" s="1"/>
      <c r="E56" s="1"/>
      <c r="F56" s="1"/>
      <c r="G56" s="99">
        <v>50000.0</v>
      </c>
      <c r="H56" s="2"/>
    </row>
    <row r="57" ht="15.75" customHeight="1">
      <c r="A57" s="1"/>
      <c r="B57" s="97" t="s">
        <v>4233</v>
      </c>
      <c r="C57" s="15"/>
      <c r="D57" s="1"/>
      <c r="E57" s="1"/>
      <c r="F57" s="1"/>
      <c r="G57" s="99">
        <v>20000.0</v>
      </c>
      <c r="H57" s="2"/>
    </row>
    <row r="58" ht="15.75" customHeight="1">
      <c r="A58" s="1"/>
      <c r="B58" s="97" t="s">
        <v>4234</v>
      </c>
      <c r="C58" s="15"/>
      <c r="D58" s="1"/>
      <c r="E58" s="1"/>
      <c r="F58" s="1"/>
      <c r="G58" s="99">
        <v>5000.0</v>
      </c>
      <c r="H58" s="2"/>
    </row>
    <row r="59" ht="15.75" customHeight="1">
      <c r="A59" s="1"/>
      <c r="B59" s="97" t="s">
        <v>4235</v>
      </c>
      <c r="C59" s="15"/>
      <c r="D59" s="1"/>
      <c r="E59" s="1"/>
      <c r="F59" s="1"/>
      <c r="G59" s="99">
        <v>105000.0</v>
      </c>
      <c r="H59" s="2"/>
    </row>
    <row r="60" ht="15.75" customHeight="1">
      <c r="A60" s="1"/>
      <c r="B60" s="97" t="s">
        <v>4236</v>
      </c>
      <c r="C60" s="15"/>
      <c r="D60" s="1"/>
      <c r="E60" s="1"/>
      <c r="F60" s="1"/>
      <c r="G60" s="99">
        <v>250000.0</v>
      </c>
      <c r="H60" s="2"/>
    </row>
    <row r="61" ht="15.75" customHeight="1">
      <c r="A61" s="1"/>
      <c r="B61" s="97"/>
      <c r="C61" s="15"/>
      <c r="D61" s="1"/>
      <c r="E61" s="1"/>
      <c r="F61" s="1"/>
      <c r="H61" s="2"/>
    </row>
    <row r="62" ht="15.75" customHeight="1">
      <c r="A62" s="1"/>
      <c r="B62" s="97"/>
      <c r="C62" s="15"/>
      <c r="D62" s="1"/>
      <c r="E62" s="1"/>
      <c r="F62" s="1"/>
      <c r="H62" s="2"/>
    </row>
    <row r="63" ht="15.75" customHeight="1">
      <c r="A63" s="1"/>
      <c r="B63" s="97"/>
      <c r="C63" s="15"/>
      <c r="D63" s="1"/>
      <c r="E63" s="1"/>
      <c r="F63" s="1"/>
      <c r="H63" s="2"/>
      <c r="J63" s="148"/>
      <c r="M63" s="149"/>
    </row>
    <row r="64" ht="15.75" customHeight="1">
      <c r="A64" s="1"/>
      <c r="B64" s="97"/>
      <c r="C64" s="15"/>
      <c r="D64" s="1"/>
      <c r="E64" s="1"/>
      <c r="F64" s="1"/>
      <c r="H64" s="2"/>
    </row>
    <row r="65" ht="15.75" customHeight="1">
      <c r="A65" s="1"/>
      <c r="B65" s="97"/>
      <c r="C65" s="15"/>
      <c r="D65" s="1"/>
      <c r="E65" s="1"/>
      <c r="F65" s="1"/>
      <c r="H65" s="2"/>
    </row>
    <row r="66" ht="15.75" customHeight="1">
      <c r="A66" s="1"/>
      <c r="B66" s="97"/>
      <c r="C66" s="15"/>
      <c r="D66" s="1"/>
      <c r="E66" s="150"/>
      <c r="F66" s="1"/>
      <c r="H66" s="2"/>
    </row>
    <row r="67" ht="15.75" customHeight="1">
      <c r="A67" s="1"/>
      <c r="B67" s="97"/>
      <c r="C67" s="151"/>
      <c r="D67" s="1"/>
      <c r="E67" s="1"/>
      <c r="F67" s="1"/>
      <c r="H67" s="2"/>
    </row>
    <row r="68" ht="15.75" customHeight="1">
      <c r="A68" s="1"/>
      <c r="B68" s="97"/>
      <c r="C68" s="15"/>
      <c r="D68" s="1"/>
      <c r="E68" s="1"/>
      <c r="F68" s="1"/>
      <c r="H68" s="2"/>
    </row>
    <row r="69" ht="15.75" customHeight="1">
      <c r="A69" s="1"/>
      <c r="B69" s="97"/>
      <c r="C69" s="15"/>
      <c r="D69" s="1"/>
      <c r="E69" s="1"/>
      <c r="F69" s="1"/>
      <c r="H69" s="2"/>
    </row>
    <row r="70" ht="15.75" customHeight="1">
      <c r="A70" s="1"/>
      <c r="B70" s="152"/>
      <c r="C70" s="93"/>
      <c r="D70" s="93"/>
      <c r="E70" s="93"/>
      <c r="F70" s="111"/>
      <c r="G70" s="153"/>
      <c r="H70" s="54"/>
    </row>
    <row r="71" ht="15.75" customHeight="1">
      <c r="A71" s="1"/>
      <c r="B71" s="152"/>
      <c r="C71" s="1"/>
      <c r="D71" s="1"/>
      <c r="E71" s="1"/>
      <c r="F71" s="1"/>
      <c r="G71" s="153"/>
      <c r="H71" s="54"/>
    </row>
    <row r="72" ht="15.75" customHeight="1">
      <c r="A72" s="1"/>
      <c r="B72" s="152"/>
      <c r="C72" s="93"/>
      <c r="D72" s="93"/>
      <c r="E72" s="93"/>
      <c r="F72" s="1"/>
      <c r="G72" s="153"/>
      <c r="H72" s="54"/>
    </row>
    <row r="73" ht="15.75" customHeight="1">
      <c r="A73" s="1"/>
      <c r="B73" s="152"/>
      <c r="C73" s="93"/>
      <c r="D73" s="93"/>
      <c r="E73" s="93"/>
      <c r="F73" s="1"/>
      <c r="G73" s="153"/>
      <c r="H73" s="54"/>
    </row>
    <row r="74" ht="15.75" customHeight="1">
      <c r="A74" s="1"/>
      <c r="B74" s="154"/>
      <c r="C74" s="1"/>
      <c r="D74" s="1"/>
      <c r="E74" s="1"/>
      <c r="F74" s="1"/>
      <c r="G74" s="153"/>
      <c r="H74" s="54"/>
    </row>
    <row r="75" ht="15.75" customHeight="1">
      <c r="A75" s="1"/>
      <c r="B75" s="154"/>
      <c r="C75" s="1"/>
      <c r="D75" s="1"/>
      <c r="E75" s="1"/>
      <c r="F75" s="1"/>
      <c r="G75" s="153"/>
      <c r="H75" s="54"/>
    </row>
    <row r="76" ht="15.75" customHeight="1">
      <c r="A76" s="1"/>
      <c r="B76" s="152"/>
      <c r="C76" s="1"/>
      <c r="D76" s="1"/>
      <c r="E76" s="1"/>
      <c r="F76" s="1"/>
      <c r="G76" s="153"/>
      <c r="H76" s="54"/>
    </row>
    <row r="77" ht="15.75" customHeight="1">
      <c r="A77" s="1"/>
      <c r="B77" s="154"/>
      <c r="C77" s="1"/>
      <c r="D77" s="1"/>
      <c r="E77" s="1"/>
      <c r="F77" s="1"/>
      <c r="G77" s="153"/>
      <c r="H77" s="54"/>
    </row>
    <row r="78" ht="15.75" customHeight="1">
      <c r="A78" s="1"/>
      <c r="B78" s="154"/>
      <c r="C78" s="1"/>
      <c r="D78" s="1"/>
      <c r="E78" s="1"/>
      <c r="F78" s="1"/>
      <c r="G78" s="153"/>
      <c r="H78" s="54"/>
    </row>
    <row r="79" ht="15.75" customHeight="1">
      <c r="A79" s="1"/>
      <c r="B79" s="154"/>
      <c r="C79" s="1"/>
      <c r="D79" s="1"/>
      <c r="E79" s="1"/>
      <c r="F79" s="1"/>
      <c r="G79" s="153"/>
      <c r="H79" s="54"/>
    </row>
    <row r="80" ht="15.75" customHeight="1">
      <c r="A80" s="1"/>
      <c r="B80" s="154"/>
      <c r="C80" s="1"/>
      <c r="D80" s="1"/>
      <c r="E80" s="1"/>
      <c r="F80" s="1"/>
      <c r="G80" s="153"/>
      <c r="H80" s="54"/>
    </row>
    <row r="81" ht="15.75" customHeight="1">
      <c r="A81" s="1"/>
      <c r="B81" s="155"/>
      <c r="C81" s="1"/>
      <c r="D81" s="1"/>
      <c r="E81" s="1"/>
      <c r="F81" s="1"/>
      <c r="G81" s="153"/>
      <c r="H81" s="54"/>
    </row>
    <row r="82" ht="15.75" customHeight="1">
      <c r="A82" s="1"/>
      <c r="B82" s="110"/>
      <c r="C82" s="1"/>
      <c r="D82" s="1"/>
      <c r="E82" s="1"/>
      <c r="F82" s="1"/>
      <c r="G82" s="153"/>
      <c r="H82" s="54"/>
    </row>
    <row r="83" ht="15.75" customHeight="1">
      <c r="A83" s="1"/>
      <c r="B83" s="154"/>
      <c r="C83" s="1"/>
      <c r="D83" s="1"/>
      <c r="E83" s="1"/>
      <c r="F83" s="1"/>
      <c r="G83" s="153"/>
      <c r="H83" s="54"/>
    </row>
    <row r="84" ht="15.75" customHeight="1">
      <c r="A84" s="1"/>
      <c r="B84" s="152"/>
      <c r="C84" s="1"/>
      <c r="D84" s="1"/>
      <c r="E84" s="1"/>
      <c r="F84" s="1"/>
      <c r="G84" s="153"/>
      <c r="H84" s="54"/>
    </row>
    <row r="85" ht="15.75" customHeight="1">
      <c r="A85" s="1"/>
      <c r="B85" s="154"/>
      <c r="C85" s="1"/>
      <c r="D85" s="1"/>
      <c r="E85" s="1"/>
      <c r="F85" s="1"/>
      <c r="G85" s="153"/>
      <c r="H85" s="54"/>
    </row>
    <row r="86" ht="15.75" customHeight="1">
      <c r="A86" s="1"/>
      <c r="B86" s="152"/>
      <c r="C86" s="1"/>
      <c r="D86" s="1"/>
      <c r="E86" s="1"/>
      <c r="F86" s="1"/>
      <c r="G86" s="153"/>
      <c r="H86" s="54"/>
    </row>
    <row r="87" ht="15.75" customHeight="1">
      <c r="A87" s="1"/>
      <c r="B87" s="110"/>
      <c r="C87" s="93"/>
      <c r="D87" s="93"/>
      <c r="E87" s="93"/>
      <c r="F87" s="93"/>
      <c r="G87" s="153"/>
      <c r="H87" s="54"/>
    </row>
    <row r="88" ht="15.75" customHeight="1">
      <c r="A88" s="1"/>
      <c r="B88" s="110"/>
      <c r="C88" s="93"/>
      <c r="D88" s="93"/>
      <c r="E88" s="93"/>
      <c r="F88" s="93"/>
      <c r="G88" s="153"/>
      <c r="H88" s="54"/>
    </row>
    <row r="89" ht="15.75" customHeight="1">
      <c r="A89" s="1"/>
      <c r="B89" s="110"/>
      <c r="C89" s="93"/>
      <c r="D89" s="93"/>
      <c r="E89" s="93"/>
      <c r="F89" s="93"/>
      <c r="G89" s="153"/>
      <c r="H89" s="54"/>
    </row>
    <row r="90" ht="15.75" customHeight="1">
      <c r="A90" s="1"/>
      <c r="B90" s="152"/>
      <c r="C90" s="1"/>
      <c r="D90" s="1"/>
      <c r="E90" s="1"/>
      <c r="F90" s="1"/>
      <c r="G90" s="153"/>
      <c r="H90" s="54"/>
    </row>
    <row r="91" ht="15.75" customHeight="1">
      <c r="A91" s="1"/>
      <c r="B91" s="110"/>
      <c r="C91" s="93"/>
      <c r="D91" s="93"/>
      <c r="E91" s="1"/>
      <c r="F91" s="1"/>
      <c r="G91" s="153"/>
      <c r="H91" s="54"/>
    </row>
    <row r="92" ht="15.75" customHeight="1">
      <c r="A92" s="1"/>
      <c r="B92" s="154"/>
      <c r="C92" s="1"/>
      <c r="D92" s="1"/>
      <c r="E92" s="1"/>
      <c r="F92" s="1"/>
      <c r="G92" s="153"/>
      <c r="H92" s="54"/>
    </row>
    <row r="93" ht="15.75" customHeight="1">
      <c r="A93" s="1"/>
      <c r="B93" s="110"/>
      <c r="C93" s="93"/>
      <c r="D93" s="93"/>
      <c r="E93" s="93"/>
      <c r="F93" s="1"/>
      <c r="G93" s="153"/>
      <c r="H93" s="54"/>
    </row>
    <row r="94" ht="15.75" customHeight="1">
      <c r="A94" s="1"/>
      <c r="B94" s="152"/>
      <c r="C94" s="1"/>
      <c r="D94" s="1"/>
      <c r="E94" s="1"/>
      <c r="F94" s="1"/>
      <c r="G94" s="153"/>
      <c r="H94" s="54"/>
    </row>
    <row r="95" ht="15.75" customHeight="1">
      <c r="A95" s="1"/>
      <c r="B95" s="3"/>
      <c r="C95" s="1"/>
      <c r="D95" s="1"/>
      <c r="E95" s="1"/>
      <c r="F95" s="1"/>
      <c r="G95" s="54"/>
      <c r="H95" s="54"/>
    </row>
    <row r="96" ht="15.75" customHeight="1">
      <c r="A96" s="1"/>
      <c r="B96" s="3"/>
      <c r="C96" s="1"/>
      <c r="D96" s="1"/>
      <c r="E96" s="1"/>
      <c r="F96" s="1"/>
      <c r="G96" s="54"/>
    </row>
    <row r="97" ht="15.75" customHeight="1">
      <c r="A97" s="1"/>
      <c r="B97" s="160"/>
      <c r="C97" s="161"/>
      <c r="D97" s="161"/>
      <c r="E97" s="161"/>
      <c r="F97" s="161"/>
      <c r="G97" s="162"/>
      <c r="H97" s="162"/>
    </row>
    <row r="98" ht="15.75" customHeight="1">
      <c r="A98" s="1"/>
      <c r="B98" s="19" t="s">
        <v>45</v>
      </c>
      <c r="C98" s="20"/>
      <c r="D98" s="20"/>
      <c r="E98" s="20"/>
      <c r="F98" s="20"/>
      <c r="G98" s="102">
        <f>SUM(G24+G96)</f>
        <v>0</v>
      </c>
      <c r="H98" s="53"/>
    </row>
    <row r="99" ht="15.75" customHeight="1">
      <c r="A99" s="35" t="s">
        <v>3130</v>
      </c>
      <c r="B99" s="36" t="s">
        <v>3301</v>
      </c>
      <c r="C99" s="37"/>
      <c r="D99" s="82"/>
      <c r="E99" s="37"/>
      <c r="F99" s="37"/>
      <c r="G99" s="103">
        <f>SUM(G11-G98)</f>
        <v>0</v>
      </c>
      <c r="H99" s="53"/>
    </row>
    <row r="100" ht="15.75" customHeight="1">
      <c r="A100" s="22" t="s">
        <v>254</v>
      </c>
      <c r="B100" s="43" t="s">
        <v>255</v>
      </c>
      <c r="C100" s="1"/>
      <c r="D100" s="1"/>
      <c r="E100" s="1"/>
      <c r="F100" s="1"/>
      <c r="H100" s="2"/>
    </row>
    <row r="101" ht="15.75" customHeight="1">
      <c r="B101" s="43" t="s">
        <v>4118</v>
      </c>
      <c r="C101" s="1"/>
      <c r="D101" s="1"/>
      <c r="E101" s="1"/>
      <c r="F101" s="1"/>
      <c r="G101" s="99">
        <v>1770000.0</v>
      </c>
      <c r="H101" s="2"/>
    </row>
    <row r="102" ht="15.75" customHeight="1">
      <c r="B102" s="43"/>
      <c r="C102" s="1"/>
      <c r="D102" s="1"/>
      <c r="E102" s="1"/>
      <c r="F102" s="1"/>
      <c r="H102" s="2"/>
    </row>
    <row r="103" ht="15.75" customHeight="1">
      <c r="A103" s="22"/>
      <c r="B103" s="72" t="s">
        <v>51</v>
      </c>
      <c r="C103" s="27"/>
      <c r="D103" s="27"/>
      <c r="E103" s="27"/>
      <c r="F103" s="27"/>
      <c r="G103" s="104">
        <f>SUM(G101:G102)</f>
        <v>1770000</v>
      </c>
      <c r="H103" s="53"/>
    </row>
    <row r="104" ht="15.75" customHeight="1">
      <c r="A104" s="22"/>
      <c r="B104" s="91" t="s">
        <v>4119</v>
      </c>
      <c r="C104" s="45"/>
      <c r="D104" s="45"/>
      <c r="E104" s="46"/>
      <c r="F104" s="46"/>
      <c r="G104" s="105"/>
      <c r="H104" s="53"/>
    </row>
    <row r="105" ht="15.75" customHeight="1">
      <c r="A105" s="22"/>
      <c r="B105" s="32" t="s">
        <v>3365</v>
      </c>
    </row>
    <row r="106" ht="15.75" customHeight="1">
      <c r="A106" s="22"/>
      <c r="B106" s="1"/>
      <c r="C106" s="1" t="s">
        <v>3137</v>
      </c>
      <c r="D106" s="1"/>
      <c r="E106" s="1"/>
      <c r="F106" s="1"/>
      <c r="H106" s="38"/>
    </row>
    <row r="107" ht="15.75" customHeight="1">
      <c r="A107" s="22"/>
      <c r="B107" s="1"/>
      <c r="C107" s="1" t="s">
        <v>3218</v>
      </c>
      <c r="D107" s="1"/>
      <c r="E107" s="1"/>
      <c r="F107" s="1"/>
      <c r="H107" s="38"/>
    </row>
    <row r="108" ht="18.0" customHeight="1">
      <c r="A108" s="44"/>
      <c r="B108" s="1"/>
      <c r="C108" s="43" t="s">
        <v>115</v>
      </c>
      <c r="D108" s="1"/>
      <c r="E108" s="1"/>
      <c r="F108" s="1"/>
      <c r="H108" s="38"/>
    </row>
    <row r="109" ht="16.5" customHeight="1">
      <c r="A109" s="44"/>
      <c r="B109" s="43"/>
      <c r="C109" s="43"/>
      <c r="D109" s="1"/>
      <c r="E109" s="1"/>
      <c r="F109" s="1"/>
      <c r="G109" s="1"/>
    </row>
    <row r="110" ht="15.75" customHeight="1">
      <c r="A110" s="1"/>
      <c r="B110" s="33"/>
      <c r="C110" s="1"/>
      <c r="D110" s="1"/>
      <c r="E110" s="1"/>
      <c r="F110" s="1"/>
      <c r="G110" s="2"/>
    </row>
    <row r="111" ht="15.75" customHeight="1">
      <c r="A111" s="43" t="s">
        <v>3420</v>
      </c>
      <c r="B111" s="56"/>
      <c r="C111" s="56"/>
      <c r="D111" s="56"/>
      <c r="F111" s="93"/>
      <c r="G111" s="55"/>
    </row>
    <row r="112" ht="15.75" customHeight="1">
      <c r="A112" s="158" t="s">
        <v>3421</v>
      </c>
      <c r="B112" s="135"/>
      <c r="C112" s="135"/>
      <c r="D112" s="135"/>
      <c r="E112" s="136"/>
      <c r="F112" s="137"/>
      <c r="G112" s="138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</row>
    <row r="113" ht="15.75" customHeight="1">
      <c r="A113" s="43" t="s">
        <v>4022</v>
      </c>
      <c r="B113" s="107"/>
      <c r="C113" s="107"/>
      <c r="D113" s="55"/>
      <c r="G113" s="77"/>
    </row>
    <row r="114" ht="15.75" customHeight="1">
      <c r="A114" s="106" t="s">
        <v>4237</v>
      </c>
      <c r="B114" s="108"/>
      <c r="C114" s="109"/>
      <c r="D114" s="109"/>
      <c r="E114" s="109"/>
    </row>
    <row r="115" ht="15.75" customHeight="1">
      <c r="A115" s="107" t="s">
        <v>3054</v>
      </c>
      <c r="B115" s="109"/>
      <c r="C115" s="109"/>
      <c r="D115" s="109"/>
      <c r="E115" s="109"/>
      <c r="F115" s="108" t="s">
        <v>3227</v>
      </c>
      <c r="G115" s="109"/>
      <c r="H115" s="109"/>
    </row>
    <row r="116" ht="15.75" customHeight="1">
      <c r="A116" s="107" t="s">
        <v>3055</v>
      </c>
      <c r="B116" s="109"/>
      <c r="C116" s="109"/>
      <c r="D116" s="109"/>
      <c r="E116" s="109"/>
      <c r="F116" s="108" t="s">
        <v>3311</v>
      </c>
      <c r="G116" s="109"/>
      <c r="H116" s="109"/>
    </row>
    <row r="117" ht="15.75" customHeight="1">
      <c r="A117" s="107" t="s">
        <v>3224</v>
      </c>
      <c r="B117" s="109"/>
      <c r="C117" s="109"/>
      <c r="D117" s="109"/>
      <c r="E117" s="109"/>
      <c r="F117" s="108" t="s">
        <v>3618</v>
      </c>
      <c r="G117" s="109"/>
      <c r="H117" s="109"/>
    </row>
    <row r="118" ht="15.75" customHeight="1">
      <c r="A118" s="107" t="s">
        <v>3057</v>
      </c>
      <c r="B118" s="109"/>
      <c r="C118" s="109"/>
      <c r="D118" s="109"/>
      <c r="E118" s="109"/>
      <c r="F118" s="109" t="s">
        <v>3619</v>
      </c>
      <c r="G118" s="109"/>
      <c r="H118" s="109"/>
    </row>
    <row r="119" ht="15.75" customHeight="1">
      <c r="A119" s="108" t="s">
        <v>3313</v>
      </c>
    </row>
    <row r="120" ht="15.75" customHeight="1">
      <c r="A120" s="5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mergeCells count="12">
    <mergeCell ref="G98:H98"/>
    <mergeCell ref="G99:H99"/>
    <mergeCell ref="G103:H103"/>
    <mergeCell ref="G104:H104"/>
    <mergeCell ref="B105:G105"/>
    <mergeCell ref="A4:F4"/>
    <mergeCell ref="G4:H4"/>
    <mergeCell ref="A10:B10"/>
    <mergeCell ref="B11:F11"/>
    <mergeCell ref="G11:H11"/>
    <mergeCell ref="G24:H24"/>
    <mergeCell ref="G96:H9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2019-01-18T16:30:31Z</dcterms:created>
  <dc:creator>HP</dc:creator>
</cp:coreProperties>
</file>